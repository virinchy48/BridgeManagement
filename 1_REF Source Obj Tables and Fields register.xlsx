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pivotTables/pivotTable2.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hidePivotFieldList="1" defaultThemeVersion="166925"/>
  <mc:AlternateContent xmlns:mc="http://schemas.openxmlformats.org/markup-compatibility/2006">
    <mc:Choice Requires="x15">
      <x15ac:absPath xmlns:x15ac="http://schemas.microsoft.com/office/spreadsheetml/2010/11/ac" url="https://transportcloud.sharepoint.com/sites/RAISI734/Shared Documents/RAISI Phase 1/4. Analyse and Design/4.2 Explore/4.2.04 Data Management/4.2.04.09 Reference Documentation/"/>
    </mc:Choice>
  </mc:AlternateContent>
  <xr:revisionPtr revIDLastSave="0" documentId="8_{65513752-AE79-4257-B4C6-059647179867}" xr6:coauthVersionLast="47" xr6:coauthVersionMax="47" xr10:uidLastSave="{00000000-0000-0000-0000-000000000000}"/>
  <bookViews>
    <workbookView xWindow="2865" yWindow="-18795" windowWidth="28590" windowHeight="15285" tabRatio="837" xr2:uid="{0A162775-0733-4D40-A787-99630B8258D8}"/>
  </bookViews>
  <sheets>
    <sheet name="src Backend Tables" sheetId="3" r:id="rId1"/>
    <sheet name="Ref" sheetId="6" r:id="rId2"/>
    <sheet name="BIS ref_tables" sheetId="8" r:id="rId3"/>
    <sheet name="RAMS_INV_TYPES_ALL" sheetId="13" r:id="rId4"/>
    <sheet name="BIS ref_tables Rd Class" sheetId="11" r:id="rId5"/>
    <sheet name="src Tables BIS_Pivot" sheetId="16" r:id="rId6"/>
    <sheet name="BPD_v1.1_AttrFields" sheetId="14" r:id="rId7"/>
    <sheet name="BPD_v1.1_AttrPivot" sheetId="15" r:id="rId8"/>
    <sheet name="BPD_v1.1_Compare" sheetId="17" r:id="rId9"/>
    <sheet name="BIS rbs_structures" sheetId="9" r:id="rId10"/>
    <sheet name="TACP ref_CwayCodes" sheetId="12" r:id="rId11"/>
    <sheet name="RSMS RAMSR_RRL_ROAD_MV" sheetId="7" r:id="rId12"/>
    <sheet name="sql &lt;BSI Calc&gt;" sheetId="5" r:id="rId13"/>
    <sheet name="sql &lt;General Info&gt;" sheetId="4" r:id="rId14"/>
  </sheets>
  <externalReferences>
    <externalReference r:id="rId15"/>
  </externalReferences>
  <definedNames>
    <definedName name="ServiceName">'[1]Control Sheet'!$A$1</definedName>
    <definedName name="ServiceProvider">'[1]Service Details'!$B$6</definedName>
  </definedNames>
  <calcPr calcId="191028"/>
  <pivotCaches>
    <pivotCache cacheId="1524" r:id="rId16"/>
    <pivotCache cacheId="1525"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8" l="1"/>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J2337" i="8"/>
  <c r="J2338" i="8"/>
  <c r="J2339" i="8"/>
  <c r="J2340" i="8"/>
  <c r="J2341" i="8"/>
  <c r="J2342" i="8"/>
  <c r="J2343" i="8"/>
  <c r="J2344" i="8"/>
  <c r="J2345" i="8"/>
  <c r="J2346" i="8"/>
  <c r="J2347" i="8"/>
  <c r="J2348" i="8"/>
  <c r="J2349" i="8"/>
  <c r="J2350" i="8"/>
  <c r="J2351" i="8"/>
  <c r="J2352" i="8"/>
  <c r="J2353" i="8"/>
  <c r="J2354" i="8"/>
  <c r="J2355" i="8"/>
  <c r="J2356" i="8"/>
  <c r="J2357" i="8"/>
  <c r="J2358" i="8"/>
  <c r="J2359" i="8"/>
  <c r="J2360" i="8"/>
  <c r="J2361" i="8"/>
  <c r="J2362" i="8"/>
  <c r="J2363" i="8"/>
  <c r="J2364" i="8"/>
  <c r="J2365" i="8"/>
  <c r="J2366" i="8"/>
  <c r="J2367" i="8"/>
  <c r="J2368" i="8"/>
  <c r="J2369" i="8"/>
  <c r="J2370" i="8"/>
  <c r="J2371" i="8"/>
  <c r="J2372" i="8"/>
  <c r="J2373" i="8"/>
  <c r="J2374" i="8"/>
  <c r="J2375" i="8"/>
  <c r="J2376" i="8"/>
  <c r="J2377" i="8"/>
  <c r="J2378" i="8"/>
  <c r="J2379" i="8"/>
  <c r="J2380" i="8"/>
  <c r="J2381" i="8"/>
  <c r="J2382" i="8"/>
  <c r="J2383" i="8"/>
  <c r="J2384" i="8"/>
  <c r="J2385" i="8"/>
  <c r="J2386" i="8"/>
  <c r="J2387" i="8"/>
  <c r="J2388" i="8"/>
  <c r="J2389" i="8"/>
  <c r="J2390" i="8"/>
  <c r="J2391" i="8"/>
  <c r="J2392" i="8"/>
  <c r="J2393" i="8"/>
  <c r="J2394" i="8"/>
  <c r="J2395" i="8"/>
  <c r="J2396" i="8"/>
  <c r="J2397" i="8"/>
  <c r="J2398" i="8"/>
  <c r="J2399" i="8"/>
  <c r="J2400" i="8"/>
  <c r="J2401" i="8"/>
  <c r="J2402" i="8"/>
  <c r="J2403" i="8"/>
  <c r="J2404" i="8"/>
  <c r="J2405" i="8"/>
  <c r="J2406" i="8"/>
  <c r="J2407" i="8"/>
  <c r="J2408" i="8"/>
  <c r="J2409" i="8"/>
  <c r="J2410" i="8"/>
  <c r="J2411" i="8"/>
  <c r="J2412" i="8"/>
  <c r="J2413" i="8"/>
  <c r="J2414" i="8"/>
  <c r="J2415" i="8"/>
  <c r="J2416" i="8"/>
  <c r="J2417" i="8"/>
  <c r="J2418" i="8"/>
  <c r="J2419" i="8"/>
  <c r="J2420" i="8"/>
  <c r="J2421" i="8"/>
  <c r="J2422" i="8"/>
  <c r="J2423" i="8"/>
  <c r="J2424" i="8"/>
  <c r="J2425" i="8"/>
  <c r="J2426" i="8"/>
  <c r="J2427" i="8"/>
  <c r="J2428" i="8"/>
  <c r="J2429" i="8"/>
  <c r="J2430" i="8"/>
  <c r="J2431" i="8"/>
  <c r="J2432" i="8"/>
  <c r="J2433" i="8"/>
  <c r="J2434" i="8"/>
  <c r="J2435" i="8"/>
  <c r="J2436" i="8"/>
  <c r="J2437" i="8"/>
  <c r="J2438" i="8"/>
  <c r="J2439" i="8"/>
  <c r="J2440" i="8"/>
  <c r="J2441" i="8"/>
  <c r="J2442" i="8"/>
  <c r="J2443" i="8"/>
  <c r="J2444" i="8"/>
  <c r="J2445" i="8"/>
  <c r="J2446" i="8"/>
  <c r="J2447" i="8"/>
  <c r="J2448" i="8"/>
  <c r="J2449" i="8"/>
  <c r="J2450" i="8"/>
  <c r="J2451" i="8"/>
  <c r="J2452" i="8"/>
  <c r="J2453" i="8"/>
  <c r="J2454" i="8"/>
  <c r="J2455" i="8"/>
  <c r="J2456" i="8"/>
  <c r="J2457" i="8"/>
  <c r="J2458" i="8"/>
  <c r="J2459" i="8"/>
  <c r="J2460" i="8"/>
  <c r="J2461" i="8"/>
  <c r="J2462" i="8"/>
  <c r="J2463" i="8"/>
  <c r="J2464" i="8"/>
  <c r="J2465" i="8"/>
  <c r="J2466" i="8"/>
  <c r="J2467" i="8"/>
  <c r="J2468" i="8"/>
  <c r="J2469" i="8"/>
  <c r="J2470" i="8"/>
  <c r="J2471" i="8"/>
  <c r="J2472" i="8"/>
  <c r="J2473" i="8"/>
  <c r="J2474" i="8"/>
  <c r="J2475" i="8"/>
  <c r="J2476" i="8"/>
  <c r="J2477" i="8"/>
  <c r="J2478" i="8"/>
  <c r="J2479" i="8"/>
  <c r="J2480" i="8"/>
  <c r="J2481" i="8"/>
  <c r="J2482" i="8"/>
  <c r="J2483" i="8"/>
  <c r="J2484" i="8"/>
  <c r="J2485" i="8"/>
  <c r="J2486" i="8"/>
  <c r="J2487" i="8"/>
  <c r="J2488" i="8"/>
  <c r="J2489" i="8"/>
  <c r="J2490" i="8"/>
  <c r="J2491" i="8"/>
  <c r="J2492" i="8"/>
  <c r="J2493" i="8"/>
  <c r="J2494" i="8"/>
  <c r="J2495" i="8"/>
  <c r="J2496" i="8"/>
  <c r="J2497" i="8"/>
  <c r="J2498" i="8"/>
  <c r="J2499" i="8"/>
  <c r="J2500" i="8"/>
  <c r="J2501" i="8"/>
  <c r="J2502" i="8"/>
  <c r="J2503" i="8"/>
  <c r="J2504" i="8"/>
  <c r="J2505" i="8"/>
  <c r="J2506" i="8"/>
  <c r="J2507" i="8"/>
  <c r="J2508" i="8"/>
  <c r="J2509" i="8"/>
  <c r="J2510" i="8"/>
  <c r="J2511" i="8"/>
  <c r="J2512" i="8"/>
  <c r="J2513" i="8"/>
  <c r="J2514" i="8"/>
  <c r="J2515" i="8"/>
  <c r="J2516" i="8"/>
  <c r="J2517" i="8"/>
  <c r="J2518" i="8"/>
  <c r="J2519" i="8"/>
  <c r="J2520" i="8"/>
  <c r="J2521" i="8"/>
  <c r="J2522" i="8"/>
  <c r="J2523" i="8"/>
  <c r="J2524" i="8"/>
  <c r="J2525" i="8"/>
  <c r="J2526" i="8"/>
  <c r="J2527" i="8"/>
  <c r="J2528" i="8"/>
  <c r="J2529" i="8"/>
  <c r="J2530" i="8"/>
  <c r="J2531" i="8"/>
  <c r="J2532" i="8"/>
  <c r="J2533" i="8"/>
  <c r="J2534" i="8"/>
  <c r="J2535" i="8"/>
  <c r="J2536" i="8"/>
  <c r="J2537" i="8"/>
  <c r="J2538" i="8"/>
  <c r="J2539" i="8"/>
  <c r="J2540" i="8"/>
  <c r="J2541" i="8"/>
  <c r="J2542" i="8"/>
  <c r="J2543" i="8"/>
  <c r="J2544" i="8"/>
  <c r="J2545" i="8"/>
  <c r="J2546" i="8"/>
  <c r="J2547" i="8"/>
  <c r="J2548" i="8"/>
  <c r="J2549" i="8"/>
  <c r="J2550" i="8"/>
  <c r="J2551" i="8"/>
  <c r="J2552" i="8"/>
  <c r="J2553" i="8"/>
  <c r="J2554" i="8"/>
  <c r="J2555" i="8"/>
  <c r="J2556" i="8"/>
  <c r="J2557" i="8"/>
  <c r="J2558" i="8"/>
  <c r="J2559" i="8"/>
  <c r="J2560" i="8"/>
  <c r="J2561" i="8"/>
  <c r="J2562" i="8"/>
  <c r="J2563" i="8"/>
  <c r="J2564" i="8"/>
  <c r="J2565" i="8"/>
  <c r="J2566" i="8"/>
  <c r="J2567" i="8"/>
  <c r="J2568" i="8"/>
  <c r="J2569" i="8"/>
  <c r="J2570" i="8"/>
  <c r="J2571" i="8"/>
  <c r="J2572" i="8"/>
  <c r="J2573" i="8"/>
  <c r="J2574" i="8"/>
  <c r="J2575" i="8"/>
  <c r="J2576" i="8"/>
  <c r="J2577" i="8"/>
  <c r="J2578" i="8"/>
  <c r="J2579" i="8"/>
  <c r="J2580" i="8"/>
  <c r="J2581" i="8"/>
  <c r="J2582" i="8"/>
  <c r="J2583" i="8"/>
  <c r="J2584" i="8"/>
  <c r="J2585" i="8"/>
  <c r="J2586" i="8"/>
  <c r="J2587" i="8"/>
  <c r="J2588" i="8"/>
  <c r="J2589" i="8"/>
  <c r="J2590" i="8"/>
  <c r="J2591" i="8"/>
  <c r="J2592" i="8"/>
  <c r="J2593" i="8"/>
  <c r="J2594" i="8"/>
  <c r="J2595" i="8"/>
  <c r="J2596" i="8"/>
  <c r="J2597" i="8"/>
  <c r="J2598" i="8"/>
  <c r="J2599" i="8"/>
  <c r="J2600" i="8"/>
  <c r="J2601" i="8"/>
  <c r="J2602" i="8"/>
  <c r="J2603" i="8"/>
  <c r="J2604" i="8"/>
  <c r="J2605" i="8"/>
  <c r="J2606" i="8"/>
  <c r="J2607" i="8"/>
  <c r="J2608" i="8"/>
  <c r="J2609" i="8"/>
  <c r="J2610" i="8"/>
  <c r="J2611" i="8"/>
  <c r="J2612" i="8"/>
  <c r="J2613" i="8"/>
  <c r="J2614" i="8"/>
  <c r="J2615" i="8"/>
  <c r="J2616" i="8"/>
  <c r="J2617" i="8"/>
  <c r="J2618" i="8"/>
  <c r="J2619" i="8"/>
  <c r="J2620" i="8"/>
  <c r="J2621" i="8"/>
  <c r="J2622" i="8"/>
  <c r="J2623" i="8"/>
  <c r="J2624" i="8"/>
  <c r="J2625" i="8"/>
  <c r="J2626" i="8"/>
  <c r="J2627" i="8"/>
  <c r="J2628" i="8"/>
  <c r="J2629" i="8"/>
  <c r="J2630" i="8"/>
  <c r="J2631" i="8"/>
  <c r="J2632" i="8"/>
  <c r="J2633" i="8"/>
  <c r="J2634" i="8"/>
  <c r="J2635" i="8"/>
  <c r="J2636" i="8"/>
  <c r="J2637" i="8"/>
  <c r="J2638" i="8"/>
  <c r="J2639" i="8"/>
  <c r="J2640" i="8"/>
  <c r="J2641" i="8"/>
  <c r="J2642" i="8"/>
  <c r="J2643" i="8"/>
  <c r="J2644" i="8"/>
  <c r="J2645" i="8"/>
  <c r="J2646" i="8"/>
  <c r="J2647" i="8"/>
  <c r="J2648" i="8"/>
  <c r="J2649" i="8"/>
  <c r="J2650" i="8"/>
  <c r="J2651" i="8"/>
  <c r="J2652" i="8"/>
  <c r="J2653" i="8"/>
  <c r="J2654" i="8"/>
  <c r="J2655" i="8"/>
  <c r="J2656" i="8"/>
  <c r="J2657" i="8"/>
  <c r="J2658" i="8"/>
  <c r="J2659" i="8"/>
  <c r="J2660" i="8"/>
  <c r="J2661" i="8"/>
  <c r="J2662" i="8"/>
  <c r="J2663" i="8"/>
  <c r="J2664" i="8"/>
  <c r="J2665" i="8"/>
  <c r="J2666" i="8"/>
  <c r="J2667" i="8"/>
  <c r="J2668" i="8"/>
  <c r="J2669" i="8"/>
  <c r="J2670" i="8"/>
  <c r="J2671" i="8"/>
  <c r="J2672" i="8"/>
  <c r="J2673" i="8"/>
  <c r="J2674" i="8"/>
  <c r="J2675" i="8"/>
  <c r="J2676" i="8"/>
  <c r="J2677" i="8"/>
  <c r="J2678" i="8"/>
  <c r="J2679" i="8"/>
  <c r="J2680" i="8"/>
  <c r="J2681" i="8"/>
  <c r="J2682" i="8"/>
  <c r="J2683" i="8"/>
  <c r="J2684" i="8"/>
  <c r="J2685" i="8"/>
  <c r="J2686" i="8"/>
  <c r="J2687" i="8"/>
  <c r="J2688" i="8"/>
  <c r="J2689" i="8"/>
  <c r="J2690" i="8"/>
  <c r="J2691" i="8"/>
  <c r="J2692" i="8"/>
  <c r="J2693" i="8"/>
  <c r="J2694" i="8"/>
  <c r="J2695" i="8"/>
  <c r="J2696" i="8"/>
  <c r="J2697" i="8"/>
  <c r="J2698" i="8"/>
  <c r="J2699" i="8"/>
  <c r="J2700" i="8"/>
  <c r="J2701" i="8"/>
  <c r="J2702" i="8"/>
  <c r="J2703" i="8"/>
  <c r="J2704" i="8"/>
  <c r="J2705" i="8"/>
  <c r="J2706" i="8"/>
  <c r="J2707" i="8"/>
  <c r="J2708" i="8"/>
  <c r="J2709" i="8"/>
  <c r="J2710" i="8"/>
  <c r="J2711" i="8"/>
  <c r="J2712" i="8"/>
  <c r="J2713" i="8"/>
  <c r="J2714" i="8"/>
  <c r="J2715" i="8"/>
  <c r="J2716" i="8"/>
  <c r="J2717" i="8"/>
  <c r="J2718" i="8"/>
  <c r="J2719" i="8"/>
  <c r="J2720" i="8"/>
  <c r="J2721" i="8"/>
  <c r="J2722" i="8"/>
  <c r="J2723" i="8"/>
  <c r="J2724" i="8"/>
  <c r="J2725" i="8"/>
  <c r="J2726" i="8"/>
  <c r="J2727" i="8"/>
  <c r="J2728" i="8"/>
  <c r="J2729" i="8"/>
  <c r="J2730" i="8"/>
  <c r="J2731" i="8"/>
  <c r="J2732" i="8"/>
  <c r="J2733" i="8"/>
  <c r="J2734" i="8"/>
  <c r="J2735" i="8"/>
  <c r="J2736" i="8"/>
  <c r="J2737" i="8"/>
  <c r="J2738" i="8"/>
  <c r="J2739" i="8"/>
  <c r="J2740" i="8"/>
  <c r="J2741" i="8"/>
  <c r="J2742" i="8"/>
  <c r="J2743" i="8"/>
  <c r="J2744" i="8"/>
  <c r="J2745" i="8"/>
  <c r="J2746" i="8"/>
  <c r="J2747" i="8"/>
  <c r="J2748" i="8"/>
  <c r="J2749" i="8"/>
  <c r="J2750" i="8"/>
  <c r="J2751" i="8"/>
  <c r="J2752" i="8"/>
  <c r="J2753" i="8"/>
  <c r="J2754" i="8"/>
  <c r="J2755" i="8"/>
  <c r="J2756" i="8"/>
  <c r="J2757" i="8"/>
  <c r="J2758" i="8"/>
  <c r="J2759" i="8"/>
  <c r="J2760" i="8"/>
  <c r="J2761" i="8"/>
  <c r="J2762" i="8"/>
  <c r="J2763" i="8"/>
  <c r="J2764" i="8"/>
  <c r="J2765" i="8"/>
  <c r="J2766" i="8"/>
  <c r="J2767" i="8"/>
  <c r="J2768" i="8"/>
  <c r="J2769" i="8"/>
  <c r="J2770" i="8"/>
  <c r="J2771" i="8"/>
  <c r="J2772" i="8"/>
  <c r="J2773" i="8"/>
  <c r="J2774" i="8"/>
  <c r="J2775" i="8"/>
  <c r="J2776" i="8"/>
  <c r="J2777" i="8"/>
  <c r="J2778" i="8"/>
  <c r="J2779" i="8"/>
  <c r="J2780" i="8"/>
  <c r="J2781" i="8"/>
  <c r="J2782" i="8"/>
  <c r="J2783" i="8"/>
  <c r="J2784" i="8"/>
  <c r="J2785" i="8"/>
  <c r="J2786" i="8"/>
  <c r="J2787" i="8"/>
  <c r="J2788" i="8"/>
  <c r="J2789" i="8"/>
  <c r="J2790" i="8"/>
  <c r="J2791" i="8"/>
  <c r="J2792" i="8"/>
  <c r="J2793" i="8"/>
  <c r="J2794" i="8"/>
  <c r="J2795" i="8"/>
  <c r="J2796" i="8"/>
  <c r="J2797" i="8"/>
  <c r="J2798" i="8"/>
  <c r="J2799" i="8"/>
  <c r="J2800" i="8"/>
  <c r="J2801" i="8"/>
  <c r="J2802" i="8"/>
  <c r="J2803" i="8"/>
  <c r="J2804" i="8"/>
  <c r="J2805" i="8"/>
  <c r="J2806" i="8"/>
  <c r="J2807" i="8"/>
  <c r="J2808" i="8"/>
  <c r="J2809" i="8"/>
  <c r="J2810" i="8"/>
  <c r="J2811" i="8"/>
  <c r="J2812" i="8"/>
  <c r="J2813" i="8"/>
  <c r="J2814" i="8"/>
  <c r="J2815" i="8"/>
  <c r="J2816" i="8"/>
  <c r="J2817" i="8"/>
  <c r="J2818" i="8"/>
  <c r="J2819" i="8"/>
  <c r="J2820" i="8"/>
  <c r="J2821" i="8"/>
  <c r="J2822" i="8"/>
  <c r="J2823" i="8"/>
  <c r="J2824" i="8"/>
  <c r="J2825" i="8"/>
  <c r="J2826" i="8"/>
  <c r="J2827" i="8"/>
  <c r="J2828" i="8"/>
  <c r="J2829" i="8"/>
  <c r="J2830" i="8"/>
  <c r="J2831" i="8"/>
  <c r="J2832" i="8"/>
  <c r="J2833" i="8"/>
  <c r="J2834" i="8"/>
  <c r="J2835" i="8"/>
  <c r="J2836" i="8"/>
  <c r="J2837" i="8"/>
  <c r="J2838" i="8"/>
  <c r="J2839" i="8"/>
  <c r="J2840" i="8"/>
  <c r="J2841" i="8"/>
  <c r="J2842" i="8"/>
  <c r="J2843" i="8"/>
  <c r="J2844" i="8"/>
  <c r="J2845" i="8"/>
  <c r="J2846" i="8"/>
  <c r="J2847" i="8"/>
  <c r="J2848" i="8"/>
  <c r="J2849" i="8"/>
  <c r="J2850" i="8"/>
  <c r="J2851" i="8"/>
  <c r="J2852" i="8"/>
  <c r="J2853" i="8"/>
  <c r="J2854" i="8"/>
  <c r="J2855" i="8"/>
  <c r="J2856" i="8"/>
  <c r="J2857" i="8"/>
  <c r="J2858" i="8"/>
  <c r="J2859" i="8"/>
  <c r="J2860" i="8"/>
  <c r="J2861" i="8"/>
  <c r="J2862" i="8"/>
  <c r="J2863" i="8"/>
  <c r="J2864" i="8"/>
  <c r="J2865" i="8"/>
  <c r="J2866" i="8"/>
  <c r="J2867" i="8"/>
  <c r="J2868" i="8"/>
  <c r="J2869" i="8"/>
  <c r="J2870" i="8"/>
  <c r="J2871" i="8"/>
  <c r="J2872" i="8"/>
  <c r="J2873" i="8"/>
  <c r="J2874" i="8"/>
  <c r="J2875" i="8"/>
  <c r="J2876" i="8"/>
  <c r="J2877" i="8"/>
  <c r="J2878" i="8"/>
  <c r="J2879" i="8"/>
  <c r="J2880" i="8"/>
  <c r="J2881" i="8"/>
  <c r="J2882" i="8"/>
  <c r="J2883" i="8"/>
  <c r="J2884" i="8"/>
  <c r="J2885" i="8"/>
  <c r="J2886" i="8"/>
  <c r="J2887" i="8"/>
  <c r="J2888" i="8"/>
  <c r="J2889" i="8"/>
  <c r="J2890" i="8"/>
  <c r="J2891" i="8"/>
  <c r="J2892" i="8"/>
  <c r="J2893" i="8"/>
  <c r="J2894" i="8"/>
  <c r="J2895" i="8"/>
  <c r="J2896" i="8"/>
  <c r="J2897" i="8"/>
  <c r="J2898" i="8"/>
  <c r="J2899" i="8"/>
  <c r="J2900" i="8"/>
  <c r="J2901" i="8"/>
  <c r="J2902" i="8"/>
  <c r="J2903" i="8"/>
  <c r="J2904" i="8"/>
  <c r="J2905" i="8"/>
  <c r="J2906" i="8"/>
  <c r="J2907" i="8"/>
  <c r="J2908" i="8"/>
  <c r="J2909" i="8"/>
  <c r="J2910" i="8"/>
  <c r="J2911" i="8"/>
  <c r="J2912" i="8"/>
  <c r="J2913" i="8"/>
  <c r="J2914" i="8"/>
  <c r="J2915" i="8"/>
  <c r="J2916" i="8"/>
  <c r="J2917" i="8"/>
  <c r="J2918" i="8"/>
  <c r="J2919" i="8"/>
  <c r="J2920" i="8"/>
  <c r="J2921" i="8"/>
  <c r="J2922" i="8"/>
  <c r="J2923" i="8"/>
  <c r="J2924" i="8"/>
  <c r="J2925" i="8"/>
  <c r="J2926" i="8"/>
  <c r="J2927" i="8"/>
  <c r="J2928" i="8"/>
  <c r="J2929" i="8"/>
  <c r="J2930" i="8"/>
  <c r="J2931" i="8"/>
  <c r="J2932" i="8"/>
  <c r="J2933" i="8"/>
  <c r="J2934" i="8"/>
  <c r="J2935" i="8"/>
  <c r="J2936" i="8"/>
  <c r="J2937" i="8"/>
  <c r="J2938" i="8"/>
  <c r="J2939" i="8"/>
  <c r="J2940" i="8"/>
  <c r="J2941" i="8"/>
  <c r="J2942" i="8"/>
  <c r="J2943" i="8"/>
  <c r="J2944" i="8"/>
  <c r="J2945" i="8"/>
  <c r="J2946" i="8"/>
  <c r="J2947" i="8"/>
  <c r="J2948" i="8"/>
  <c r="J2949" i="8"/>
  <c r="J2950" i="8"/>
  <c r="J2951" i="8"/>
  <c r="J2952" i="8"/>
  <c r="J2953" i="8"/>
  <c r="J2954" i="8"/>
  <c r="J2955" i="8"/>
  <c r="J2956" i="8"/>
  <c r="J2957" i="8"/>
  <c r="J2958" i="8"/>
  <c r="J2959" i="8"/>
  <c r="J2960" i="8"/>
  <c r="J2961" i="8"/>
  <c r="J2962" i="8"/>
  <c r="J2963" i="8"/>
  <c r="J2964" i="8"/>
  <c r="J2965" i="8"/>
  <c r="J2966" i="8"/>
  <c r="J2967" i="8"/>
  <c r="J2968" i="8"/>
  <c r="J2969" i="8"/>
  <c r="J2970" i="8"/>
  <c r="J2971" i="8"/>
  <c r="J2972" i="8"/>
  <c r="J2973" i="8"/>
  <c r="J2974" i="8"/>
  <c r="J2975" i="8"/>
  <c r="J2976" i="8"/>
  <c r="J2977" i="8"/>
  <c r="J2978" i="8"/>
  <c r="J2979" i="8"/>
  <c r="J2980" i="8"/>
  <c r="J2981" i="8"/>
  <c r="J2982" i="8"/>
  <c r="J2983" i="8"/>
  <c r="J2984" i="8"/>
  <c r="J2985" i="8"/>
  <c r="J2986" i="8"/>
  <c r="J2987" i="8"/>
  <c r="J2988" i="8"/>
  <c r="J2989" i="8"/>
  <c r="J2990" i="8"/>
  <c r="J2991" i="8"/>
  <c r="J2992" i="8"/>
  <c r="J2993" i="8"/>
  <c r="J2994" i="8"/>
  <c r="J2995" i="8"/>
  <c r="J2996" i="8"/>
  <c r="J2997" i="8"/>
  <c r="J2998" i="8"/>
  <c r="J2999" i="8"/>
  <c r="J3000" i="8"/>
  <c r="J3001" i="8"/>
  <c r="J3002" i="8"/>
  <c r="J3003" i="8"/>
  <c r="J3004" i="8"/>
  <c r="J3005" i="8"/>
  <c r="J3006" i="8"/>
  <c r="J3007" i="8"/>
  <c r="J3008" i="8"/>
  <c r="J3009" i="8"/>
  <c r="J3010" i="8"/>
  <c r="J3011" i="8"/>
  <c r="J3012" i="8"/>
  <c r="J3013" i="8"/>
  <c r="J3014" i="8"/>
  <c r="J3015" i="8"/>
  <c r="J3016" i="8"/>
  <c r="J3017" i="8"/>
  <c r="J3018" i="8"/>
  <c r="J3019" i="8"/>
  <c r="J3020" i="8"/>
  <c r="J3021" i="8"/>
  <c r="J3022" i="8"/>
  <c r="J3023" i="8"/>
  <c r="J3024" i="8"/>
  <c r="J3025" i="8"/>
  <c r="J3026" i="8"/>
  <c r="J3027" i="8"/>
  <c r="J3028" i="8"/>
  <c r="J3029" i="8"/>
  <c r="J3030" i="8"/>
  <c r="J3031" i="8"/>
  <c r="J3032" i="8"/>
  <c r="J3033" i="8"/>
  <c r="J3034" i="8"/>
  <c r="J3035" i="8"/>
  <c r="J3036" i="8"/>
  <c r="J3037" i="8"/>
  <c r="J3038" i="8"/>
  <c r="J3039" i="8"/>
  <c r="J3040" i="8"/>
  <c r="J3041" i="8"/>
  <c r="J3042" i="8"/>
  <c r="J3043" i="8"/>
  <c r="J3044" i="8"/>
  <c r="J3045" i="8"/>
  <c r="J3046" i="8"/>
  <c r="J3047" i="8"/>
  <c r="J3048" i="8"/>
  <c r="J3049" i="8"/>
  <c r="J3050" i="8"/>
  <c r="J3051" i="8"/>
  <c r="J3052" i="8"/>
  <c r="J3053" i="8"/>
  <c r="J3054" i="8"/>
  <c r="J3055" i="8"/>
  <c r="J3056" i="8"/>
  <c r="J3057" i="8"/>
  <c r="J3058" i="8"/>
  <c r="J3059" i="8"/>
  <c r="J3060" i="8"/>
  <c r="J3061" i="8"/>
  <c r="J3062" i="8"/>
  <c r="J3063" i="8"/>
  <c r="J3064" i="8"/>
  <c r="J3065" i="8"/>
  <c r="J3066" i="8"/>
  <c r="J3067" i="8"/>
  <c r="J3068" i="8"/>
  <c r="J3069" i="8"/>
  <c r="J3070" i="8"/>
  <c r="J3071" i="8"/>
  <c r="J3072" i="8"/>
  <c r="J3073" i="8"/>
  <c r="J3074" i="8"/>
  <c r="J3075" i="8"/>
  <c r="J3076" i="8"/>
  <c r="J3077" i="8"/>
  <c r="J3078" i="8"/>
  <c r="J3079" i="8"/>
  <c r="J3080" i="8"/>
  <c r="J3081" i="8"/>
  <c r="J3082" i="8"/>
  <c r="J3083" i="8"/>
  <c r="J3084" i="8"/>
  <c r="J3085" i="8"/>
  <c r="J3086" i="8"/>
  <c r="J3087" i="8"/>
  <c r="J3088" i="8"/>
  <c r="J3089" i="8"/>
  <c r="J3090" i="8"/>
  <c r="J3091" i="8"/>
  <c r="J3092" i="8"/>
  <c r="J3093" i="8"/>
  <c r="J3094" i="8"/>
  <c r="J3095" i="8"/>
  <c r="J3096" i="8"/>
  <c r="J3097" i="8"/>
  <c r="J3098" i="8"/>
  <c r="J3099" i="8"/>
  <c r="J3100" i="8"/>
  <c r="J3101" i="8"/>
  <c r="J3102" i="8"/>
  <c r="J3103" i="8"/>
  <c r="J3104" i="8"/>
  <c r="J3105" i="8"/>
  <c r="J3106" i="8"/>
  <c r="J3107" i="8"/>
  <c r="J3108" i="8"/>
  <c r="J3109" i="8"/>
  <c r="J3110" i="8"/>
  <c r="J3111" i="8"/>
  <c r="J3112" i="8"/>
  <c r="J3113" i="8"/>
  <c r="J3114" i="8"/>
  <c r="J3115" i="8"/>
  <c r="J3116" i="8"/>
  <c r="J3117" i="8"/>
  <c r="J3118" i="8"/>
  <c r="J3119" i="8"/>
  <c r="J3120" i="8"/>
  <c r="J3121" i="8"/>
  <c r="J3122" i="8"/>
  <c r="J3123" i="8"/>
  <c r="J3124" i="8"/>
  <c r="J3125" i="8"/>
  <c r="J3126" i="8"/>
  <c r="J3127" i="8"/>
  <c r="J3128" i="8"/>
  <c r="J3129" i="8"/>
  <c r="J3130" i="8"/>
  <c r="J3131" i="8"/>
  <c r="J3132" i="8"/>
  <c r="J3133" i="8"/>
  <c r="J3134" i="8"/>
  <c r="J3135" i="8"/>
  <c r="J3136" i="8"/>
  <c r="J3137" i="8"/>
  <c r="J3138" i="8"/>
  <c r="J3139" i="8"/>
  <c r="J3140" i="8"/>
  <c r="J3141" i="8"/>
  <c r="J3142" i="8"/>
  <c r="J3143" i="8"/>
  <c r="J3144" i="8"/>
  <c r="J3145" i="8"/>
  <c r="J3146" i="8"/>
  <c r="J3147" i="8"/>
  <c r="J3148" i="8"/>
  <c r="J3149" i="8"/>
  <c r="J3150" i="8"/>
  <c r="J3151" i="8"/>
  <c r="J3152" i="8"/>
  <c r="J3153" i="8"/>
  <c r="J3154" i="8"/>
  <c r="J3155" i="8"/>
  <c r="J3156" i="8"/>
  <c r="J3157" i="8"/>
  <c r="J3158" i="8"/>
  <c r="J3159" i="8"/>
  <c r="J3160" i="8"/>
  <c r="J3161" i="8"/>
  <c r="J3162" i="8"/>
  <c r="J3163" i="8"/>
  <c r="J3164" i="8"/>
  <c r="J3165" i="8"/>
  <c r="J3166" i="8"/>
  <c r="J3167" i="8"/>
  <c r="J3168" i="8"/>
  <c r="J3169" i="8"/>
  <c r="J3170" i="8"/>
  <c r="J3171" i="8"/>
  <c r="J3172" i="8"/>
  <c r="J3173" i="8"/>
  <c r="J3174" i="8"/>
  <c r="J3175" i="8"/>
  <c r="J3176" i="8"/>
  <c r="J3177" i="8"/>
  <c r="J3178" i="8"/>
  <c r="J3179" i="8"/>
  <c r="J3180" i="8"/>
  <c r="J3181" i="8"/>
  <c r="J3182" i="8"/>
  <c r="J3183" i="8"/>
  <c r="J3184" i="8"/>
  <c r="J3185" i="8"/>
  <c r="J3186" i="8"/>
  <c r="J3187" i="8"/>
  <c r="J3188" i="8"/>
  <c r="J3189" i="8"/>
  <c r="J3190" i="8"/>
  <c r="J3191" i="8"/>
  <c r="J3192" i="8"/>
  <c r="J3193" i="8"/>
  <c r="J3194" i="8"/>
  <c r="J3195" i="8"/>
  <c r="J3196" i="8"/>
  <c r="J3197" i="8"/>
  <c r="J3198" i="8"/>
  <c r="J3199" i="8"/>
  <c r="J3200" i="8"/>
  <c r="J3201" i="8"/>
  <c r="J3202" i="8"/>
  <c r="J3203" i="8"/>
  <c r="J3204" i="8"/>
  <c r="J3205" i="8"/>
  <c r="J3206" i="8"/>
  <c r="J3207" i="8"/>
  <c r="J3208" i="8"/>
  <c r="J3209" i="8"/>
  <c r="J3210" i="8"/>
  <c r="J3211" i="8"/>
  <c r="J3212" i="8"/>
  <c r="J3213" i="8"/>
  <c r="J3214" i="8"/>
  <c r="J3215" i="8"/>
  <c r="J3216" i="8"/>
  <c r="J3217" i="8"/>
  <c r="J3218" i="8"/>
  <c r="J3219" i="8"/>
  <c r="J3220" i="8"/>
  <c r="J3221" i="8"/>
  <c r="J3222" i="8"/>
  <c r="J3223" i="8"/>
  <c r="J3224" i="8"/>
  <c r="J3225" i="8"/>
  <c r="J3226" i="8"/>
  <c r="J3227" i="8"/>
  <c r="J3228" i="8"/>
  <c r="J3229" i="8"/>
  <c r="J3230" i="8"/>
  <c r="J3231" i="8"/>
  <c r="J3232" i="8"/>
  <c r="J3233" i="8"/>
  <c r="J3234" i="8"/>
  <c r="J3235" i="8"/>
  <c r="J3236" i="8"/>
  <c r="J3237" i="8"/>
  <c r="J3238" i="8"/>
  <c r="J3239" i="8"/>
  <c r="J3240" i="8"/>
  <c r="J3241" i="8"/>
  <c r="J3242" i="8"/>
  <c r="J3243" i="8"/>
  <c r="J3244" i="8"/>
  <c r="J3245" i="8"/>
  <c r="J3246" i="8"/>
  <c r="J3247" i="8"/>
  <c r="J3248" i="8"/>
  <c r="J3249" i="8"/>
  <c r="J3250" i="8"/>
  <c r="J3251" i="8"/>
  <c r="J3252" i="8"/>
  <c r="J3253" i="8"/>
  <c r="J3254" i="8"/>
  <c r="J3255" i="8"/>
  <c r="J3256" i="8"/>
  <c r="J3257" i="8"/>
  <c r="J3258" i="8"/>
  <c r="J3259" i="8"/>
  <c r="J3260" i="8"/>
  <c r="J3261" i="8"/>
  <c r="J3262" i="8"/>
  <c r="J3263" i="8"/>
  <c r="J3264" i="8"/>
  <c r="J3265" i="8"/>
  <c r="J3266" i="8"/>
  <c r="J3267" i="8"/>
  <c r="J3268" i="8"/>
  <c r="J3269" i="8"/>
  <c r="J3270" i="8"/>
  <c r="J3271" i="8"/>
  <c r="J3272" i="8"/>
  <c r="J3273" i="8"/>
  <c r="J3274" i="8"/>
  <c r="J3275" i="8"/>
  <c r="J3276" i="8"/>
  <c r="J3277" i="8"/>
  <c r="J3278" i="8"/>
  <c r="J3279" i="8"/>
  <c r="J3280" i="8"/>
  <c r="J3281" i="8"/>
  <c r="J3282" i="8"/>
  <c r="J3283" i="8"/>
  <c r="J3284" i="8"/>
  <c r="J3285" i="8"/>
  <c r="J3286" i="8"/>
  <c r="J3287" i="8"/>
  <c r="J3288" i="8"/>
  <c r="J3289" i="8"/>
  <c r="J3290" i="8"/>
  <c r="J3291" i="8"/>
  <c r="J3292" i="8"/>
  <c r="J3293" i="8"/>
  <c r="J3294" i="8"/>
  <c r="J3295" i="8"/>
  <c r="J3296" i="8"/>
  <c r="J3297" i="8"/>
  <c r="J3298" i="8"/>
  <c r="J3299" i="8"/>
  <c r="J3300" i="8"/>
  <c r="J3301" i="8"/>
  <c r="J3302" i="8"/>
  <c r="J3303" i="8"/>
  <c r="J3304" i="8"/>
  <c r="J3305" i="8"/>
  <c r="J3306" i="8"/>
  <c r="J3307" i="8"/>
  <c r="J3308" i="8"/>
  <c r="J3309" i="8"/>
  <c r="J3310" i="8"/>
  <c r="J3311" i="8"/>
  <c r="J3312" i="8"/>
  <c r="J3313" i="8"/>
  <c r="J3314" i="8"/>
  <c r="J3315" i="8"/>
  <c r="J3316" i="8"/>
  <c r="J3317" i="8"/>
  <c r="J3318" i="8"/>
  <c r="J3319" i="8"/>
  <c r="J3320" i="8"/>
  <c r="J3321" i="8"/>
  <c r="J3322" i="8"/>
  <c r="J3323" i="8"/>
  <c r="J3324" i="8"/>
  <c r="J3325" i="8"/>
  <c r="J3326" i="8"/>
  <c r="J3327" i="8"/>
  <c r="J3328" i="8"/>
  <c r="J3329" i="8"/>
  <c r="J3330" i="8"/>
  <c r="J3331" i="8"/>
  <c r="J3332" i="8"/>
  <c r="J3333" i="8"/>
  <c r="J3334" i="8"/>
  <c r="J3335" i="8"/>
  <c r="J3336" i="8"/>
  <c r="J3337" i="8"/>
  <c r="J3338" i="8"/>
  <c r="J3339" i="8"/>
  <c r="J3340" i="8"/>
  <c r="J3341" i="8"/>
  <c r="J3342" i="8"/>
  <c r="J3343" i="8"/>
  <c r="J3344" i="8"/>
  <c r="J3345" i="8"/>
  <c r="J3346" i="8"/>
  <c r="J3347" i="8"/>
  <c r="J3348" i="8"/>
  <c r="J3349" i="8"/>
  <c r="J3350" i="8"/>
  <c r="J3351" i="8"/>
  <c r="J3352" i="8"/>
  <c r="J3353" i="8"/>
  <c r="J3354" i="8"/>
  <c r="J3355" i="8"/>
  <c r="J3356" i="8"/>
  <c r="J3357" i="8"/>
  <c r="J3358" i="8"/>
  <c r="J3359" i="8"/>
  <c r="J3360" i="8"/>
  <c r="J3361" i="8"/>
  <c r="J3362" i="8"/>
  <c r="J3363" i="8"/>
  <c r="J3364" i="8"/>
  <c r="J3365" i="8"/>
  <c r="J3366" i="8"/>
  <c r="J3367" i="8"/>
  <c r="J3368" i="8"/>
  <c r="J3369" i="8"/>
  <c r="J3370" i="8"/>
  <c r="J3371" i="8"/>
  <c r="J3372" i="8"/>
  <c r="J3373" i="8"/>
  <c r="J3374" i="8"/>
  <c r="J3375" i="8"/>
  <c r="J3376" i="8"/>
  <c r="J3377" i="8"/>
  <c r="J3378" i="8"/>
  <c r="J3379" i="8"/>
  <c r="J3380" i="8"/>
  <c r="J3381" i="8"/>
  <c r="J3382" i="8"/>
  <c r="J3383" i="8"/>
  <c r="J3384" i="8"/>
  <c r="J3385" i="8"/>
  <c r="J3386" i="8"/>
  <c r="J3387" i="8"/>
  <c r="J3388" i="8"/>
  <c r="J3389" i="8"/>
  <c r="J3390" i="8"/>
  <c r="J3391" i="8"/>
  <c r="J3392" i="8"/>
  <c r="J3393" i="8"/>
  <c r="J3394" i="8"/>
  <c r="J3395" i="8"/>
  <c r="J3396" i="8"/>
  <c r="J3397" i="8"/>
  <c r="J3398" i="8"/>
  <c r="J3399" i="8"/>
  <c r="J3400" i="8"/>
  <c r="J3401" i="8"/>
  <c r="J3402" i="8"/>
  <c r="J3403" i="8"/>
  <c r="J3404" i="8"/>
  <c r="J3405" i="8"/>
  <c r="J3406" i="8"/>
  <c r="J3407" i="8"/>
  <c r="J3408" i="8"/>
  <c r="J3409" i="8"/>
  <c r="J3410" i="8"/>
  <c r="J3411" i="8"/>
  <c r="J3412" i="8"/>
  <c r="J3413" i="8"/>
  <c r="J3414" i="8"/>
  <c r="J3415" i="8"/>
  <c r="J3416" i="8"/>
  <c r="J3417" i="8"/>
  <c r="J3418" i="8"/>
  <c r="J3419" i="8"/>
  <c r="J3420" i="8"/>
  <c r="J3421" i="8"/>
  <c r="J3422" i="8"/>
  <c r="J3423" i="8"/>
  <c r="J3424" i="8"/>
  <c r="J3425" i="8"/>
  <c r="J3426" i="8"/>
  <c r="J3427" i="8"/>
  <c r="J3428" i="8"/>
  <c r="J3429" i="8"/>
  <c r="J3430" i="8"/>
  <c r="J3431" i="8"/>
  <c r="J3432" i="8"/>
  <c r="J3433" i="8"/>
  <c r="J3434" i="8"/>
  <c r="J3435" i="8"/>
  <c r="J3436" i="8"/>
  <c r="J3437" i="8"/>
  <c r="J3438" i="8"/>
  <c r="J3439" i="8"/>
  <c r="J3440" i="8"/>
  <c r="J3441" i="8"/>
  <c r="J3442" i="8"/>
  <c r="J3443" i="8"/>
  <c r="J3444" i="8"/>
  <c r="J3445" i="8"/>
  <c r="J3446" i="8"/>
  <c r="J3447" i="8"/>
  <c r="J3448" i="8"/>
  <c r="J3449" i="8"/>
  <c r="J3450" i="8"/>
  <c r="J3451" i="8"/>
  <c r="J3452" i="8"/>
  <c r="J3453" i="8"/>
  <c r="J3454" i="8"/>
  <c r="J3455" i="8"/>
  <c r="J3456" i="8"/>
  <c r="J3457" i="8"/>
  <c r="J3458" i="8"/>
  <c r="J3459" i="8"/>
  <c r="J3460" i="8"/>
  <c r="J3461" i="8"/>
  <c r="J3462" i="8"/>
  <c r="J3463" i="8"/>
  <c r="J3464" i="8"/>
  <c r="J3465" i="8"/>
  <c r="J3466" i="8"/>
  <c r="J3467" i="8"/>
  <c r="J3468" i="8"/>
  <c r="J3469" i="8"/>
  <c r="J3470" i="8"/>
  <c r="J3471" i="8"/>
  <c r="J3472" i="8"/>
  <c r="J3473" i="8"/>
  <c r="J3474" i="8"/>
  <c r="J3475" i="8"/>
  <c r="J3476" i="8"/>
  <c r="J3477" i="8"/>
  <c r="J3478" i="8"/>
  <c r="J3479" i="8"/>
  <c r="J3480" i="8"/>
  <c r="J3481" i="8"/>
  <c r="J3482" i="8"/>
  <c r="J3483" i="8"/>
  <c r="J3484" i="8"/>
  <c r="J3485" i="8"/>
  <c r="J3486" i="8"/>
  <c r="J3487" i="8"/>
  <c r="J3488" i="8"/>
  <c r="J3489" i="8"/>
  <c r="J3490" i="8"/>
  <c r="J3491" i="8"/>
  <c r="J3492" i="8"/>
  <c r="J3493" i="8"/>
  <c r="J3494" i="8"/>
  <c r="J3495" i="8"/>
  <c r="J3496" i="8"/>
  <c r="J3497" i="8"/>
  <c r="J3498" i="8"/>
  <c r="J3499" i="8"/>
  <c r="J3500" i="8"/>
  <c r="J3501" i="8"/>
  <c r="J3502" i="8"/>
  <c r="J3503" i="8"/>
  <c r="J3504" i="8"/>
  <c r="J3505" i="8"/>
  <c r="J3506" i="8"/>
  <c r="J3507" i="8"/>
  <c r="J3508" i="8"/>
  <c r="J3509" i="8"/>
  <c r="J3510" i="8"/>
  <c r="J3511" i="8"/>
  <c r="J3512" i="8"/>
  <c r="J3513" i="8"/>
  <c r="J3514" i="8"/>
  <c r="J3515" i="8"/>
  <c r="J3516" i="8"/>
  <c r="J3517" i="8"/>
  <c r="J3518" i="8"/>
  <c r="J3519" i="8"/>
  <c r="J3520" i="8"/>
  <c r="J3521" i="8"/>
  <c r="J3522" i="8"/>
  <c r="J3523" i="8"/>
  <c r="J3524" i="8"/>
  <c r="J3525" i="8"/>
  <c r="J3526" i="8"/>
  <c r="J3527" i="8"/>
  <c r="J3528" i="8"/>
  <c r="J3529" i="8"/>
  <c r="J3530" i="8"/>
  <c r="J3531" i="8"/>
  <c r="J3532" i="8"/>
  <c r="J3533" i="8"/>
  <c r="J3534" i="8"/>
  <c r="J3535" i="8"/>
  <c r="J3536" i="8"/>
  <c r="J3537" i="8"/>
  <c r="J3538" i="8"/>
  <c r="J3539" i="8"/>
  <c r="J3540" i="8"/>
  <c r="J3541" i="8"/>
  <c r="J3542" i="8"/>
  <c r="J3543" i="8"/>
  <c r="J3544" i="8"/>
  <c r="J3545" i="8"/>
  <c r="J3546" i="8"/>
  <c r="J3547" i="8"/>
  <c r="J3548" i="8"/>
  <c r="J3549" i="8"/>
  <c r="J3550" i="8"/>
  <c r="J3551" i="8"/>
  <c r="J3552" i="8"/>
  <c r="J3553" i="8"/>
  <c r="J3554" i="8"/>
  <c r="J3555" i="8"/>
  <c r="J3556" i="8"/>
  <c r="J3557" i="8"/>
  <c r="J3558" i="8"/>
  <c r="J3559" i="8"/>
  <c r="J3560" i="8"/>
  <c r="J3561" i="8"/>
  <c r="J3562" i="8"/>
  <c r="J3563" i="8"/>
  <c r="J3564" i="8"/>
  <c r="J3565" i="8"/>
  <c r="J3566" i="8"/>
  <c r="J3567" i="8"/>
  <c r="J3568" i="8"/>
  <c r="J3569" i="8"/>
  <c r="J3570" i="8"/>
  <c r="J3571" i="8"/>
  <c r="J3572" i="8"/>
  <c r="J3573" i="8"/>
  <c r="J3574" i="8"/>
  <c r="J3575" i="8"/>
  <c r="J3576" i="8"/>
  <c r="J3577" i="8"/>
  <c r="J3578" i="8"/>
  <c r="J3579" i="8"/>
  <c r="J3580" i="8"/>
  <c r="J3581" i="8"/>
  <c r="J3582" i="8"/>
  <c r="J3583" i="8"/>
  <c r="J3584" i="8"/>
  <c r="J3585" i="8"/>
  <c r="J3586" i="8"/>
  <c r="J3587" i="8"/>
  <c r="J3588" i="8"/>
  <c r="J3589" i="8"/>
  <c r="J3590" i="8"/>
  <c r="J3591" i="8"/>
  <c r="J3592" i="8"/>
  <c r="J3593" i="8"/>
  <c r="J3594" i="8"/>
  <c r="J3595" i="8"/>
  <c r="J3596" i="8"/>
  <c r="J3597" i="8"/>
  <c r="J3598" i="8"/>
  <c r="J3599" i="8"/>
  <c r="J3600" i="8"/>
  <c r="J3601" i="8"/>
  <c r="J3602" i="8"/>
  <c r="J3603" i="8"/>
  <c r="J3604" i="8"/>
  <c r="J3605" i="8"/>
  <c r="J3606" i="8"/>
  <c r="J3607" i="8"/>
  <c r="J3608" i="8"/>
  <c r="J3609" i="8"/>
  <c r="J3610" i="8"/>
  <c r="J3611" i="8"/>
  <c r="J3612" i="8"/>
  <c r="J3613" i="8"/>
  <c r="J3614" i="8"/>
  <c r="J3615" i="8"/>
  <c r="J3616" i="8"/>
  <c r="J3617" i="8"/>
  <c r="J3618" i="8"/>
  <c r="J3619" i="8"/>
  <c r="J3620" i="8"/>
  <c r="J3621" i="8"/>
  <c r="J3622" i="8"/>
  <c r="J3623" i="8"/>
  <c r="J3624" i="8"/>
  <c r="J3625" i="8"/>
  <c r="J3626" i="8"/>
  <c r="J3627" i="8"/>
  <c r="J3628" i="8"/>
  <c r="J3629" i="8"/>
  <c r="J3630" i="8"/>
  <c r="J3631" i="8"/>
  <c r="J3632" i="8"/>
  <c r="J3633" i="8"/>
  <c r="J3634" i="8"/>
  <c r="J3635" i="8"/>
  <c r="J3636" i="8"/>
  <c r="J3637" i="8"/>
  <c r="J3638" i="8"/>
  <c r="J3639" i="8"/>
  <c r="J3640" i="8"/>
  <c r="J3641" i="8"/>
  <c r="J3642" i="8"/>
  <c r="J3643" i="8"/>
  <c r="J3644" i="8"/>
  <c r="J3645" i="8"/>
  <c r="J3646" i="8"/>
  <c r="J3647" i="8"/>
  <c r="J3648" i="8"/>
  <c r="J3649" i="8"/>
  <c r="J3650" i="8"/>
  <c r="J3651" i="8"/>
  <c r="J3652" i="8"/>
  <c r="J3653" i="8"/>
  <c r="J3654" i="8"/>
  <c r="J3655" i="8"/>
  <c r="J3656" i="8"/>
  <c r="J3657" i="8"/>
  <c r="J3658" i="8"/>
  <c r="J3659" i="8"/>
  <c r="J3660" i="8"/>
  <c r="J3661" i="8"/>
  <c r="J3662" i="8"/>
  <c r="J3663" i="8"/>
  <c r="J3664" i="8"/>
  <c r="J3665" i="8"/>
  <c r="J3666" i="8"/>
  <c r="J3667" i="8"/>
  <c r="J3668" i="8"/>
  <c r="J3669" i="8"/>
  <c r="J3670" i="8"/>
  <c r="J3671" i="8"/>
  <c r="J3672" i="8"/>
  <c r="J3673" i="8"/>
  <c r="J3674" i="8"/>
  <c r="J3675" i="8"/>
  <c r="J3676" i="8"/>
  <c r="J3677" i="8"/>
  <c r="J3678" i="8"/>
  <c r="J3679" i="8"/>
  <c r="J3680" i="8"/>
  <c r="J3681" i="8"/>
  <c r="J3682" i="8"/>
  <c r="J3683" i="8"/>
  <c r="J3684" i="8"/>
  <c r="J3685" i="8"/>
  <c r="J3686" i="8"/>
  <c r="J3687" i="8"/>
  <c r="J3688" i="8"/>
  <c r="J3689" i="8"/>
  <c r="J3690" i="8"/>
  <c r="J3691" i="8"/>
  <c r="J3692" i="8"/>
  <c r="J3693" i="8"/>
  <c r="J3694" i="8"/>
  <c r="J3695" i="8"/>
  <c r="J3696" i="8"/>
  <c r="J3697" i="8"/>
  <c r="J3698" i="8"/>
  <c r="J3699" i="8"/>
  <c r="J3700" i="8"/>
  <c r="J3701" i="8"/>
  <c r="J3702" i="8"/>
  <c r="J3703" i="8"/>
  <c r="J3704" i="8"/>
  <c r="J3705" i="8"/>
  <c r="J3706" i="8"/>
  <c r="J3707" i="8"/>
  <c r="J3708" i="8"/>
  <c r="J3709" i="8"/>
  <c r="J3710" i="8"/>
  <c r="J3711" i="8"/>
  <c r="J3712" i="8"/>
  <c r="J3713" i="8"/>
  <c r="J3714" i="8"/>
  <c r="J3715" i="8"/>
  <c r="J3716" i="8"/>
  <c r="J3717" i="8"/>
  <c r="J3718" i="8"/>
  <c r="J3719" i="8"/>
  <c r="J3720" i="8"/>
  <c r="J3721" i="8"/>
  <c r="J3722" i="8"/>
  <c r="J3723" i="8"/>
  <c r="J3724" i="8"/>
  <c r="J3725" i="8"/>
  <c r="J3726" i="8"/>
  <c r="J3727" i="8"/>
  <c r="J3728" i="8"/>
  <c r="J3729" i="8"/>
  <c r="J3730" i="8"/>
  <c r="J3731" i="8"/>
  <c r="J3732" i="8"/>
  <c r="J3733" i="8"/>
  <c r="J3734" i="8"/>
  <c r="J3735" i="8"/>
  <c r="J3736" i="8"/>
  <c r="J3737" i="8"/>
  <c r="J3738" i="8"/>
  <c r="J3739" i="8"/>
  <c r="J3740" i="8"/>
  <c r="J3741" i="8"/>
  <c r="J3742" i="8"/>
  <c r="J3743" i="8"/>
  <c r="J3744" i="8"/>
  <c r="J3745" i="8"/>
  <c r="J3746" i="8"/>
  <c r="J3747" i="8"/>
  <c r="J3748" i="8"/>
  <c r="J3749" i="8"/>
  <c r="J3750" i="8"/>
  <c r="J3751" i="8"/>
  <c r="J3752" i="8"/>
  <c r="J3753" i="8"/>
  <c r="J3754" i="8"/>
  <c r="J3755" i="8"/>
  <c r="J3756" i="8"/>
  <c r="J3757" i="8"/>
  <c r="J3758" i="8"/>
  <c r="J3759" i="8"/>
  <c r="J3760" i="8"/>
  <c r="J3761" i="8"/>
  <c r="J3762" i="8"/>
  <c r="J3763" i="8"/>
  <c r="J3764" i="8"/>
  <c r="J3765" i="8"/>
  <c r="J3766" i="8"/>
  <c r="J3767" i="8"/>
  <c r="J3768" i="8"/>
  <c r="J3769" i="8"/>
  <c r="J3770" i="8"/>
  <c r="J3771" i="8"/>
  <c r="J3772" i="8"/>
  <c r="J3773" i="8"/>
  <c r="J3774" i="8"/>
  <c r="J3775" i="8"/>
  <c r="J3776" i="8"/>
  <c r="J3777" i="8"/>
  <c r="J3778" i="8"/>
  <c r="J3779" i="8"/>
  <c r="J3780" i="8"/>
  <c r="J3781" i="8"/>
  <c r="J3782" i="8"/>
  <c r="J3783" i="8"/>
  <c r="J3784" i="8"/>
  <c r="J3785" i="8"/>
  <c r="J3786" i="8"/>
  <c r="J3787" i="8"/>
  <c r="J3788" i="8"/>
  <c r="J3789" i="8"/>
  <c r="J3790" i="8"/>
  <c r="J3791" i="8"/>
  <c r="J3792" i="8"/>
  <c r="J3793" i="8"/>
  <c r="J3794" i="8"/>
  <c r="J3795" i="8"/>
  <c r="J3796" i="8"/>
  <c r="J3797" i="8"/>
  <c r="J3798" i="8"/>
  <c r="J3799" i="8"/>
  <c r="J3800" i="8"/>
  <c r="J3801" i="8"/>
  <c r="J3802" i="8"/>
  <c r="J3803" i="8"/>
  <c r="J3804" i="8"/>
  <c r="J3805" i="8"/>
  <c r="J3806" i="8"/>
  <c r="J3807" i="8"/>
  <c r="J3808" i="8"/>
  <c r="J3809" i="8"/>
  <c r="J3810" i="8"/>
  <c r="J3811" i="8"/>
  <c r="J3812" i="8"/>
  <c r="J3813" i="8"/>
  <c r="J3814" i="8"/>
  <c r="J3815" i="8"/>
  <c r="J3816" i="8"/>
  <c r="J3817" i="8"/>
  <c r="J3818" i="8"/>
  <c r="J3819" i="8"/>
  <c r="J3820" i="8"/>
  <c r="J3821" i="8"/>
  <c r="J3822" i="8"/>
  <c r="J3823" i="8"/>
  <c r="J3824" i="8"/>
  <c r="J3825" i="8"/>
  <c r="J3826" i="8"/>
  <c r="J3827" i="8"/>
  <c r="J3828" i="8"/>
  <c r="J3829" i="8"/>
  <c r="J3830" i="8"/>
  <c r="J3831" i="8"/>
  <c r="J3832" i="8"/>
  <c r="J3833" i="8"/>
  <c r="J3834" i="8"/>
  <c r="J3835" i="8"/>
  <c r="J3836" i="8"/>
  <c r="J3837" i="8"/>
  <c r="J3838" i="8"/>
  <c r="J3839" i="8"/>
  <c r="J3840" i="8"/>
  <c r="J3841" i="8"/>
  <c r="J3842" i="8"/>
  <c r="J3843" i="8"/>
  <c r="J3844" i="8"/>
  <c r="J3845" i="8"/>
  <c r="J3846" i="8"/>
  <c r="J3847" i="8"/>
  <c r="J3848" i="8"/>
  <c r="J3849" i="8"/>
  <c r="J3850" i="8"/>
  <c r="J3851" i="8"/>
  <c r="J3852" i="8"/>
  <c r="J3853" i="8"/>
  <c r="J3854" i="8"/>
  <c r="J3855" i="8"/>
  <c r="J3856" i="8"/>
  <c r="J3857" i="8"/>
  <c r="J3858" i="8"/>
  <c r="J3859" i="8"/>
  <c r="J3860" i="8"/>
  <c r="J3861" i="8"/>
  <c r="J3862" i="8"/>
  <c r="J3863" i="8"/>
  <c r="J3864" i="8"/>
  <c r="J3865" i="8"/>
  <c r="J3866" i="8"/>
  <c r="J3867" i="8"/>
  <c r="J3868" i="8"/>
  <c r="J3869" i="8"/>
  <c r="J3870" i="8"/>
  <c r="J3871" i="8"/>
  <c r="J3872" i="8"/>
  <c r="J3873" i="8"/>
  <c r="J3874" i="8"/>
  <c r="J3875" i="8"/>
  <c r="J3876" i="8"/>
  <c r="J3877" i="8"/>
  <c r="J3878" i="8"/>
  <c r="J3879" i="8"/>
  <c r="J3880" i="8"/>
  <c r="J3881" i="8"/>
  <c r="J3882" i="8"/>
  <c r="J3883" i="8"/>
  <c r="J3884" i="8"/>
  <c r="J3885" i="8"/>
  <c r="J3886" i="8"/>
  <c r="J3887" i="8"/>
  <c r="J3888" i="8"/>
  <c r="J3889" i="8"/>
  <c r="J3890" i="8"/>
  <c r="J3891" i="8"/>
  <c r="J3892" i="8"/>
  <c r="J3893" i="8"/>
  <c r="J3894" i="8"/>
  <c r="J3895" i="8"/>
  <c r="J3896" i="8"/>
  <c r="J3897" i="8"/>
  <c r="J3898" i="8"/>
  <c r="J3899" i="8"/>
  <c r="J3900" i="8"/>
  <c r="J3901" i="8"/>
  <c r="J3902" i="8"/>
  <c r="J3903" i="8"/>
  <c r="J3904" i="8"/>
  <c r="J3905" i="8"/>
  <c r="J3906" i="8"/>
  <c r="J3907" i="8"/>
  <c r="J3908" i="8"/>
  <c r="J3909" i="8"/>
  <c r="J3910" i="8"/>
  <c r="J3911" i="8"/>
  <c r="J3912" i="8"/>
  <c r="J3913" i="8"/>
  <c r="J3914" i="8"/>
  <c r="J3915" i="8"/>
  <c r="J3916" i="8"/>
  <c r="J3917" i="8"/>
  <c r="J3918" i="8"/>
  <c r="J3919" i="8"/>
  <c r="J3920" i="8"/>
  <c r="J3921" i="8"/>
  <c r="J3922" i="8"/>
  <c r="J3923" i="8"/>
  <c r="J3924" i="8"/>
  <c r="J3925" i="8"/>
  <c r="J3926" i="8"/>
  <c r="J3927" i="8"/>
  <c r="J3928" i="8"/>
  <c r="J3929" i="8"/>
  <c r="J3930" i="8"/>
  <c r="J3931" i="8"/>
  <c r="J3932" i="8"/>
  <c r="J3933" i="8"/>
  <c r="J3934" i="8"/>
  <c r="J3935" i="8"/>
  <c r="J3936" i="8"/>
  <c r="J3937" i="8"/>
  <c r="J3938" i="8"/>
  <c r="J3939" i="8"/>
  <c r="J3940" i="8"/>
  <c r="J3941" i="8"/>
  <c r="J3942" i="8"/>
  <c r="J3943" i="8"/>
  <c r="J3944" i="8"/>
  <c r="J3945" i="8"/>
  <c r="J3946" i="8"/>
  <c r="J3947" i="8"/>
  <c r="J3948" i="8"/>
  <c r="J3949" i="8"/>
  <c r="J3950" i="8"/>
  <c r="J3951" i="8"/>
  <c r="J3952" i="8"/>
  <c r="J3953" i="8"/>
  <c r="J3954" i="8"/>
  <c r="J3955" i="8"/>
  <c r="J3956" i="8"/>
  <c r="J3957" i="8"/>
  <c r="J3958" i="8"/>
  <c r="J3959" i="8"/>
  <c r="J3960" i="8"/>
  <c r="J3961" i="8"/>
  <c r="J3962" i="8"/>
  <c r="J3963" i="8"/>
  <c r="J3964" i="8"/>
  <c r="J3965" i="8"/>
  <c r="J3966" i="8"/>
  <c r="J3967" i="8"/>
  <c r="J3968" i="8"/>
  <c r="J3969" i="8"/>
  <c r="J3970" i="8"/>
  <c r="J3971" i="8"/>
  <c r="J3972" i="8"/>
  <c r="J3973" i="8"/>
  <c r="J3974" i="8"/>
  <c r="J3975" i="8"/>
  <c r="J3976" i="8"/>
  <c r="J3977" i="8"/>
  <c r="J3978" i="8"/>
  <c r="J3979" i="8"/>
  <c r="J3980" i="8"/>
  <c r="J3981" i="8"/>
  <c r="J3982" i="8"/>
  <c r="J3983" i="8"/>
  <c r="J3984" i="8"/>
  <c r="J3985" i="8"/>
  <c r="J3986" i="8"/>
  <c r="J3987" i="8"/>
  <c r="J3988" i="8"/>
  <c r="J3989" i="8"/>
  <c r="J3990" i="8"/>
  <c r="J3991" i="8"/>
  <c r="J3992" i="8"/>
  <c r="J3993" i="8"/>
  <c r="J3994" i="8"/>
  <c r="J3995" i="8"/>
  <c r="J3996" i="8"/>
  <c r="J3997" i="8"/>
  <c r="J3998" i="8"/>
  <c r="J3999" i="8"/>
  <c r="J4000" i="8"/>
  <c r="J4001" i="8"/>
  <c r="J4002" i="8"/>
  <c r="J4003" i="8"/>
  <c r="J4004" i="8"/>
  <c r="J4005" i="8"/>
  <c r="J4006" i="8"/>
  <c r="J4007" i="8"/>
  <c r="J4008" i="8"/>
  <c r="J4009" i="8"/>
  <c r="J4010" i="8"/>
  <c r="J4011" i="8"/>
  <c r="J4012" i="8"/>
  <c r="J4013" i="8"/>
  <c r="J4014" i="8"/>
  <c r="J4015" i="8"/>
  <c r="J4016" i="8"/>
  <c r="J4017" i="8"/>
  <c r="J4018" i="8"/>
  <c r="J4019" i="8"/>
  <c r="J4020" i="8"/>
  <c r="J4021" i="8"/>
  <c r="J4022" i="8"/>
  <c r="J4023" i="8"/>
  <c r="J4024" i="8"/>
  <c r="J4025" i="8"/>
  <c r="J4026" i="8"/>
  <c r="J4027" i="8"/>
  <c r="J4028" i="8"/>
  <c r="J4029" i="8"/>
  <c r="J4030" i="8"/>
  <c r="J4031" i="8"/>
  <c r="J4032" i="8"/>
  <c r="J4033" i="8"/>
  <c r="J4034" i="8"/>
  <c r="J4035" i="8"/>
  <c r="J4036" i="8"/>
  <c r="J4037" i="8"/>
  <c r="J4038" i="8"/>
  <c r="J4039" i="8"/>
  <c r="J4040" i="8"/>
  <c r="J4041" i="8"/>
  <c r="J4042" i="8"/>
  <c r="J4043" i="8"/>
  <c r="J4044" i="8"/>
  <c r="J4045" i="8"/>
  <c r="J4046" i="8"/>
  <c r="J4047" i="8"/>
  <c r="J4048" i="8"/>
  <c r="J4049" i="8"/>
  <c r="J4050" i="8"/>
  <c r="J4051" i="8"/>
  <c r="J4052" i="8"/>
  <c r="J4053" i="8"/>
  <c r="J4054" i="8"/>
  <c r="J4055" i="8"/>
  <c r="J4056" i="8"/>
  <c r="J4057" i="8"/>
  <c r="J4058" i="8"/>
  <c r="J4059" i="8"/>
  <c r="J4060" i="8"/>
  <c r="J4061" i="8"/>
  <c r="J4062" i="8"/>
  <c r="J4063" i="8"/>
  <c r="J4064" i="8"/>
  <c r="J4065" i="8"/>
  <c r="J4066" i="8"/>
  <c r="J4067" i="8"/>
  <c r="J4068" i="8"/>
  <c r="J4069" i="8"/>
  <c r="J4070" i="8"/>
  <c r="J4071" i="8"/>
  <c r="J4072" i="8"/>
  <c r="J4073" i="8"/>
  <c r="J4074" i="8"/>
  <c r="J4075" i="8"/>
  <c r="J4076" i="8"/>
  <c r="J4077" i="8"/>
  <c r="J4078" i="8"/>
  <c r="J4079" i="8"/>
  <c r="J4080" i="8"/>
  <c r="J4081" i="8"/>
  <c r="J4082" i="8"/>
  <c r="J4083" i="8"/>
  <c r="J4084" i="8"/>
  <c r="J4085" i="8"/>
  <c r="J4086" i="8"/>
  <c r="J4087" i="8"/>
  <c r="J4088" i="8"/>
  <c r="J4089" i="8"/>
  <c r="J4090" i="8"/>
  <c r="J4091" i="8"/>
  <c r="J4092" i="8"/>
  <c r="J4093" i="8"/>
  <c r="J4094" i="8"/>
  <c r="J4095" i="8"/>
  <c r="J4096" i="8"/>
  <c r="J4097" i="8"/>
  <c r="J4098" i="8"/>
  <c r="J4099" i="8"/>
  <c r="J4100" i="8"/>
  <c r="J4101" i="8"/>
  <c r="J4102" i="8"/>
  <c r="J4103" i="8"/>
  <c r="J4104" i="8"/>
  <c r="J4105" i="8"/>
  <c r="J4106" i="8"/>
  <c r="J4107" i="8"/>
  <c r="J4108" i="8"/>
  <c r="J4109" i="8"/>
  <c r="J4110" i="8"/>
  <c r="J4111" i="8"/>
  <c r="J4112" i="8"/>
  <c r="J4113" i="8"/>
  <c r="J4114" i="8"/>
  <c r="J4115" i="8"/>
  <c r="J4116" i="8"/>
  <c r="J4117" i="8"/>
  <c r="J4118" i="8"/>
  <c r="J4119" i="8"/>
  <c r="J4120" i="8"/>
  <c r="J4121" i="8"/>
  <c r="J4122" i="8"/>
  <c r="J4123" i="8"/>
  <c r="J4124" i="8"/>
  <c r="J4125" i="8"/>
  <c r="J4126" i="8"/>
  <c r="J4127" i="8"/>
  <c r="J4128" i="8"/>
  <c r="J4129" i="8"/>
  <c r="J4130" i="8"/>
  <c r="J4131" i="8"/>
  <c r="J4132" i="8"/>
  <c r="J4133" i="8"/>
  <c r="J4134" i="8"/>
  <c r="J4135" i="8"/>
  <c r="J4136" i="8"/>
  <c r="J4137" i="8"/>
  <c r="J4138" i="8"/>
  <c r="J4139" i="8"/>
  <c r="J4140" i="8"/>
  <c r="J4141" i="8"/>
  <c r="J4142" i="8"/>
  <c r="J4143" i="8"/>
  <c r="J4144" i="8"/>
  <c r="J4145" i="8"/>
  <c r="J4146" i="8"/>
  <c r="J4147" i="8"/>
  <c r="J4148" i="8"/>
  <c r="J4149" i="8"/>
  <c r="J4150" i="8"/>
  <c r="J4151" i="8"/>
  <c r="J4152" i="8"/>
  <c r="J4153" i="8"/>
  <c r="J4154" i="8"/>
  <c r="J4155" i="8"/>
  <c r="J4156" i="8"/>
  <c r="J4157" i="8"/>
  <c r="J4158" i="8"/>
  <c r="J4159" i="8"/>
  <c r="J4160" i="8"/>
  <c r="J4161" i="8"/>
  <c r="J4162" i="8"/>
  <c r="J4163" i="8"/>
  <c r="J4164" i="8"/>
  <c r="J4165" i="8"/>
  <c r="J4166" i="8"/>
  <c r="J4167" i="8"/>
  <c r="J4168" i="8"/>
  <c r="J4169" i="8"/>
  <c r="J4170" i="8"/>
  <c r="J4171" i="8"/>
  <c r="J4172" i="8"/>
  <c r="J4173" i="8"/>
  <c r="J4174" i="8"/>
  <c r="J4175" i="8"/>
  <c r="J4176" i="8"/>
  <c r="J4177" i="8"/>
  <c r="J4178" i="8"/>
  <c r="J4179" i="8"/>
  <c r="J4180" i="8"/>
  <c r="J4181" i="8"/>
  <c r="J4182" i="8"/>
  <c r="J4183" i="8"/>
  <c r="J4184" i="8"/>
  <c r="J4185" i="8"/>
  <c r="J4186" i="8"/>
  <c r="J4187" i="8"/>
  <c r="J4188" i="8"/>
  <c r="J4189" i="8"/>
  <c r="J4190" i="8"/>
  <c r="J4191" i="8"/>
  <c r="J4192" i="8"/>
  <c r="J4193" i="8"/>
  <c r="J4194" i="8"/>
  <c r="J4195" i="8"/>
  <c r="J4196" i="8"/>
  <c r="J4197" i="8"/>
  <c r="J4198" i="8"/>
  <c r="J4199" i="8"/>
  <c r="J4200" i="8"/>
  <c r="J4201" i="8"/>
  <c r="J4202" i="8"/>
  <c r="J4203" i="8"/>
  <c r="J4204" i="8"/>
  <c r="J4205" i="8"/>
  <c r="J4206" i="8"/>
  <c r="J4207" i="8"/>
  <c r="J4208" i="8"/>
  <c r="J4209" i="8"/>
  <c r="J4210" i="8"/>
  <c r="J4211" i="8"/>
  <c r="J4212" i="8"/>
  <c r="J4213" i="8"/>
  <c r="J4214" i="8"/>
  <c r="J4215" i="8"/>
  <c r="J4216" i="8"/>
  <c r="J4217" i="8"/>
  <c r="J4218" i="8"/>
  <c r="J4219" i="8"/>
  <c r="J4220" i="8"/>
  <c r="J4221" i="8"/>
  <c r="J4222" i="8"/>
  <c r="J4223" i="8"/>
  <c r="J4224" i="8"/>
  <c r="J4225" i="8"/>
  <c r="J4226" i="8"/>
  <c r="J4227" i="8"/>
  <c r="J4228" i="8"/>
  <c r="J4229" i="8"/>
  <c r="J4230" i="8"/>
  <c r="J4231" i="8"/>
  <c r="J4232" i="8"/>
  <c r="J4233" i="8"/>
  <c r="J4234" i="8"/>
  <c r="J4235" i="8"/>
  <c r="J4236" i="8"/>
  <c r="J4237" i="8"/>
  <c r="J4238" i="8"/>
  <c r="J4239" i="8"/>
  <c r="J4240" i="8"/>
  <c r="J4241" i="8"/>
  <c r="J4242" i="8"/>
  <c r="J4243" i="8"/>
  <c r="J4244" i="8"/>
  <c r="J4245" i="8"/>
  <c r="J4246" i="8"/>
  <c r="J4247" i="8"/>
  <c r="J4248" i="8"/>
  <c r="J4249" i="8"/>
  <c r="J4250" i="8"/>
  <c r="J4251" i="8"/>
  <c r="J4252" i="8"/>
  <c r="J4253" i="8"/>
  <c r="J4254" i="8"/>
  <c r="J4255" i="8"/>
  <c r="J4256" i="8"/>
  <c r="J4257" i="8"/>
  <c r="J4258" i="8"/>
  <c r="J4259" i="8"/>
  <c r="J4260" i="8"/>
  <c r="J4261" i="8"/>
  <c r="J4262" i="8"/>
  <c r="J4263" i="8"/>
  <c r="J4264" i="8"/>
  <c r="J4265" i="8"/>
  <c r="J4266" i="8"/>
  <c r="J4267" i="8"/>
  <c r="J4268" i="8"/>
  <c r="J4269" i="8"/>
  <c r="J4270" i="8"/>
  <c r="J4271" i="8"/>
  <c r="J4272" i="8"/>
  <c r="J4273" i="8"/>
  <c r="J4274" i="8"/>
  <c r="J4275" i="8"/>
  <c r="J4276" i="8"/>
  <c r="J4277" i="8"/>
  <c r="J4278" i="8"/>
  <c r="J4279" i="8"/>
  <c r="J4280" i="8"/>
  <c r="J4281" i="8"/>
  <c r="J4282" i="8"/>
  <c r="J4283" i="8"/>
  <c r="J4284" i="8"/>
  <c r="J4285" i="8"/>
  <c r="J4286" i="8"/>
  <c r="J4287" i="8"/>
  <c r="J4288" i="8"/>
  <c r="J4289" i="8"/>
  <c r="J4290" i="8"/>
  <c r="J4291" i="8"/>
  <c r="J4292" i="8"/>
  <c r="J4293" i="8"/>
  <c r="J4294" i="8"/>
  <c r="J4295" i="8"/>
  <c r="J4296" i="8"/>
  <c r="J4297" i="8"/>
  <c r="J4298" i="8"/>
  <c r="J4299" i="8"/>
  <c r="J4300" i="8"/>
  <c r="J4301" i="8"/>
  <c r="J4302" i="8"/>
  <c r="J4303" i="8"/>
  <c r="J4304" i="8"/>
  <c r="J4305" i="8"/>
  <c r="J4306" i="8"/>
  <c r="J4307" i="8"/>
  <c r="J4308" i="8"/>
  <c r="J4309" i="8"/>
  <c r="J4310" i="8"/>
  <c r="J4311" i="8"/>
  <c r="J4312" i="8"/>
  <c r="J4313" i="8"/>
  <c r="J4314" i="8"/>
  <c r="J4315" i="8"/>
  <c r="J4316" i="8"/>
  <c r="J4317" i="8"/>
  <c r="J4318" i="8"/>
  <c r="J4319" i="8"/>
  <c r="J4320" i="8"/>
  <c r="J4321" i="8"/>
  <c r="J4322" i="8"/>
  <c r="J4323" i="8"/>
  <c r="J4324" i="8"/>
  <c r="J4325" i="8"/>
  <c r="J4326" i="8"/>
  <c r="J4327" i="8"/>
  <c r="J4328" i="8"/>
  <c r="J4329" i="8"/>
  <c r="J4330" i="8"/>
  <c r="J4331" i="8"/>
  <c r="J4332" i="8"/>
  <c r="J4333" i="8"/>
  <c r="J4334" i="8"/>
  <c r="J4335" i="8"/>
  <c r="J4336" i="8"/>
  <c r="J4337" i="8"/>
  <c r="J4338" i="8"/>
  <c r="J4339" i="8"/>
  <c r="J4340" i="8"/>
  <c r="J4341" i="8"/>
  <c r="J4342" i="8"/>
  <c r="J4343" i="8"/>
  <c r="J4344" i="8"/>
  <c r="J4345" i="8"/>
  <c r="J4346" i="8"/>
  <c r="J4347" i="8"/>
  <c r="J4348" i="8"/>
  <c r="J4349" i="8"/>
  <c r="J4350" i="8"/>
  <c r="J4351" i="8"/>
  <c r="J4352" i="8"/>
  <c r="J4353" i="8"/>
  <c r="J4354" i="8"/>
  <c r="J4355" i="8"/>
  <c r="J4356" i="8"/>
  <c r="J4357" i="8"/>
  <c r="J4358" i="8"/>
  <c r="J4359" i="8"/>
  <c r="J4360" i="8"/>
  <c r="J4361" i="8"/>
  <c r="J4362" i="8"/>
  <c r="J4363" i="8"/>
  <c r="J4364" i="8"/>
  <c r="J4365" i="8"/>
  <c r="J4366" i="8"/>
  <c r="J4367" i="8"/>
  <c r="J4368" i="8"/>
  <c r="J4369" i="8"/>
  <c r="J4370" i="8"/>
  <c r="J4371" i="8"/>
  <c r="J4372" i="8"/>
  <c r="J4373" i="8"/>
  <c r="J4374" i="8"/>
  <c r="J4375" i="8"/>
  <c r="J4376" i="8"/>
  <c r="J4377" i="8"/>
  <c r="J4378" i="8"/>
  <c r="J4379" i="8"/>
  <c r="J4380" i="8"/>
  <c r="J4381" i="8"/>
  <c r="J4382" i="8"/>
  <c r="J4383" i="8"/>
  <c r="J4384" i="8"/>
  <c r="J4385" i="8"/>
  <c r="J4386" i="8"/>
  <c r="J4387" i="8"/>
  <c r="J4388" i="8"/>
  <c r="J4389" i="8"/>
  <c r="J4390" i="8"/>
  <c r="J4391" i="8"/>
  <c r="J4392" i="8"/>
  <c r="J4393" i="8"/>
  <c r="J4394" i="8"/>
  <c r="J4395" i="8"/>
  <c r="J4396" i="8"/>
  <c r="J4397" i="8"/>
  <c r="J4398" i="8"/>
  <c r="J4399" i="8"/>
  <c r="J4400" i="8"/>
  <c r="J4401" i="8"/>
  <c r="J4402" i="8"/>
  <c r="J4403" i="8"/>
  <c r="J4404" i="8"/>
  <c r="J4405" i="8"/>
  <c r="J4406" i="8"/>
  <c r="J4407" i="8"/>
  <c r="J4408" i="8"/>
  <c r="J4409" i="8"/>
  <c r="J4410" i="8"/>
  <c r="J4411" i="8"/>
  <c r="J4412" i="8"/>
  <c r="J4413" i="8"/>
  <c r="J4414" i="8"/>
  <c r="J4415" i="8"/>
  <c r="J4416" i="8"/>
  <c r="J4417" i="8"/>
  <c r="J4418" i="8"/>
  <c r="J4419" i="8"/>
  <c r="J4420" i="8"/>
  <c r="J4421" i="8"/>
  <c r="J4422" i="8"/>
  <c r="J4423" i="8"/>
  <c r="J4424" i="8"/>
  <c r="J4425" i="8"/>
  <c r="J4426" i="8"/>
  <c r="J4427" i="8"/>
  <c r="J4428" i="8"/>
  <c r="J4429" i="8"/>
  <c r="J4430" i="8"/>
  <c r="J4431" i="8"/>
  <c r="J4432" i="8"/>
  <c r="J4433" i="8"/>
  <c r="J4434" i="8"/>
  <c r="J4435" i="8"/>
  <c r="J4436" i="8"/>
  <c r="J4437" i="8"/>
  <c r="J4438" i="8"/>
  <c r="J4439" i="8"/>
  <c r="J4440" i="8"/>
  <c r="J4441" i="8"/>
  <c r="J4442" i="8"/>
  <c r="J4443" i="8"/>
  <c r="J4444" i="8"/>
  <c r="J4445" i="8"/>
  <c r="J4446" i="8"/>
  <c r="J4447" i="8"/>
  <c r="J4448" i="8"/>
  <c r="J4449" i="8"/>
  <c r="J4450" i="8"/>
  <c r="J4451" i="8"/>
  <c r="J4452" i="8"/>
  <c r="J4453" i="8"/>
  <c r="J4454" i="8"/>
  <c r="J4455" i="8"/>
  <c r="J4456" i="8"/>
  <c r="J4457" i="8"/>
  <c r="J4458" i="8"/>
  <c r="J4459" i="8"/>
  <c r="J4460" i="8"/>
  <c r="J4461" i="8"/>
  <c r="J4462" i="8"/>
  <c r="J4463" i="8"/>
  <c r="J4464" i="8"/>
  <c r="J4465" i="8"/>
  <c r="J4466" i="8"/>
  <c r="J4467" i="8"/>
  <c r="J4468" i="8"/>
  <c r="J4469" i="8"/>
  <c r="J4470" i="8"/>
  <c r="J4471" i="8"/>
  <c r="J4472" i="8"/>
  <c r="J4473" i="8"/>
  <c r="J4474" i="8"/>
  <c r="J4475" i="8"/>
  <c r="J4476" i="8"/>
  <c r="J4477" i="8"/>
  <c r="J4478" i="8"/>
  <c r="J4479" i="8"/>
  <c r="J4480" i="8"/>
  <c r="J4481" i="8"/>
  <c r="J4482" i="8"/>
  <c r="J4483" i="8"/>
  <c r="J4484" i="8"/>
  <c r="J4485" i="8"/>
  <c r="J4486" i="8"/>
  <c r="J4487" i="8"/>
  <c r="J4488" i="8"/>
  <c r="J4489" i="8"/>
  <c r="J4490" i="8"/>
  <c r="J4491" i="8"/>
  <c r="J4492" i="8"/>
  <c r="J4493" i="8"/>
  <c r="J4494" i="8"/>
  <c r="J4495" i="8"/>
  <c r="J4496" i="8"/>
  <c r="J4497" i="8"/>
  <c r="J4498" i="8"/>
  <c r="J4499" i="8"/>
  <c r="J4500" i="8"/>
  <c r="J4501" i="8"/>
  <c r="J4502" i="8"/>
  <c r="J4503" i="8"/>
  <c r="J4504" i="8"/>
  <c r="J4505" i="8"/>
  <c r="J4506" i="8"/>
  <c r="J4507" i="8"/>
  <c r="J4508" i="8"/>
  <c r="J4509" i="8"/>
  <c r="J4510" i="8"/>
  <c r="J4511" i="8"/>
  <c r="J4512" i="8"/>
  <c r="J4513" i="8"/>
  <c r="J4514" i="8"/>
  <c r="J4515" i="8"/>
  <c r="J4516" i="8"/>
  <c r="J4517" i="8"/>
  <c r="J4518" i="8"/>
  <c r="J4519" i="8"/>
  <c r="J4520" i="8"/>
  <c r="J4521" i="8"/>
  <c r="J4522" i="8"/>
  <c r="J4523" i="8"/>
  <c r="J4524" i="8"/>
  <c r="J4525" i="8"/>
  <c r="J4526" i="8"/>
  <c r="J4527" i="8"/>
  <c r="J4528" i="8"/>
  <c r="J4529" i="8"/>
  <c r="J4530" i="8"/>
  <c r="J4531" i="8"/>
  <c r="J4532" i="8"/>
  <c r="J4533" i="8"/>
  <c r="J4534" i="8"/>
  <c r="J4535" i="8"/>
  <c r="J4536" i="8"/>
  <c r="J4537" i="8"/>
  <c r="J4538" i="8"/>
  <c r="J4539" i="8"/>
  <c r="J4540" i="8"/>
  <c r="J4541" i="8"/>
  <c r="J4542" i="8"/>
  <c r="J4543" i="8"/>
  <c r="J4544" i="8"/>
  <c r="J4545" i="8"/>
  <c r="J4546" i="8"/>
  <c r="J4547" i="8"/>
  <c r="J4548" i="8"/>
  <c r="J4549" i="8"/>
  <c r="J4550" i="8"/>
  <c r="J4551" i="8"/>
  <c r="J4552" i="8"/>
  <c r="J4553" i="8"/>
  <c r="J4554" i="8"/>
  <c r="J4555" i="8"/>
  <c r="J4556" i="8"/>
  <c r="J4557" i="8"/>
  <c r="J4558" i="8"/>
  <c r="J4559" i="8"/>
  <c r="J4560" i="8"/>
  <c r="J4561" i="8"/>
  <c r="J4562" i="8"/>
  <c r="J4563" i="8"/>
  <c r="J4564" i="8"/>
  <c r="J4565" i="8"/>
  <c r="J4566" i="8"/>
  <c r="J4567" i="8"/>
  <c r="J4568" i="8"/>
  <c r="J4569" i="8"/>
  <c r="J4570" i="8"/>
  <c r="J4571" i="8"/>
  <c r="J4572" i="8"/>
  <c r="J4573" i="8"/>
  <c r="J4574" i="8"/>
  <c r="J4575" i="8"/>
  <c r="J4576" i="8"/>
  <c r="J4577" i="8"/>
  <c r="J4578" i="8"/>
  <c r="J4579" i="8"/>
  <c r="J4580" i="8"/>
  <c r="J4581" i="8"/>
  <c r="J4582" i="8"/>
  <c r="J4583" i="8"/>
  <c r="J4584" i="8"/>
  <c r="J4585" i="8"/>
  <c r="J4586" i="8"/>
  <c r="J4587" i="8"/>
  <c r="J4588" i="8"/>
  <c r="J4589" i="8"/>
  <c r="J4590" i="8"/>
  <c r="J4591" i="8"/>
  <c r="J4592" i="8"/>
  <c r="J4593" i="8"/>
  <c r="J4594" i="8"/>
  <c r="J4595" i="8"/>
  <c r="J4596" i="8"/>
  <c r="J4597" i="8"/>
  <c r="J4598" i="8"/>
  <c r="J4599" i="8"/>
  <c r="J4600" i="8"/>
  <c r="J4601" i="8"/>
  <c r="J4602" i="8"/>
  <c r="J4603" i="8"/>
  <c r="J4604" i="8"/>
  <c r="J4605" i="8"/>
  <c r="J4606" i="8"/>
  <c r="J4607" i="8"/>
  <c r="J4608" i="8"/>
  <c r="J4609" i="8"/>
  <c r="J4610" i="8"/>
  <c r="J4611" i="8"/>
  <c r="J4612" i="8"/>
  <c r="J4613" i="8"/>
  <c r="J4614" i="8"/>
  <c r="J4615" i="8"/>
  <c r="J4616" i="8"/>
  <c r="J4617" i="8"/>
  <c r="J4618" i="8"/>
  <c r="J4619" i="8"/>
  <c r="J4620" i="8"/>
  <c r="J4621" i="8"/>
  <c r="J4622" i="8"/>
  <c r="J4623" i="8"/>
  <c r="J4624" i="8"/>
  <c r="J4625" i="8"/>
  <c r="J4626" i="8"/>
  <c r="J4627" i="8"/>
  <c r="J4628" i="8"/>
  <c r="J4629" i="8"/>
  <c r="J4630" i="8"/>
  <c r="J4631" i="8"/>
  <c r="J4632" i="8"/>
  <c r="J4633" i="8"/>
  <c r="J4634" i="8"/>
  <c r="J4635" i="8"/>
  <c r="J4636" i="8"/>
  <c r="J4637" i="8"/>
  <c r="J4638" i="8"/>
  <c r="J4639" i="8"/>
  <c r="J4640" i="8"/>
  <c r="J4641" i="8"/>
  <c r="J4642" i="8"/>
  <c r="J4643" i="8"/>
  <c r="J4644" i="8"/>
  <c r="J4645" i="8"/>
  <c r="J4646" i="8"/>
  <c r="J4647" i="8"/>
  <c r="J4648" i="8"/>
  <c r="J4649" i="8"/>
  <c r="J4650" i="8"/>
  <c r="J4651" i="8"/>
  <c r="J4652" i="8"/>
  <c r="J4653" i="8"/>
  <c r="J4654" i="8"/>
  <c r="J4655" i="8"/>
  <c r="J4656" i="8"/>
  <c r="J4657" i="8"/>
  <c r="J4658" i="8"/>
  <c r="J4659" i="8"/>
  <c r="J4660" i="8"/>
  <c r="J4661" i="8"/>
  <c r="J4662" i="8"/>
  <c r="J4663" i="8"/>
  <c r="K99" i="3"/>
  <c r="L99" i="3" s="1"/>
  <c r="K100" i="3"/>
  <c r="L100" i="3" s="1"/>
  <c r="K101" i="3"/>
  <c r="L101" i="3" s="1"/>
  <c r="K94" i="3"/>
  <c r="L94" i="3" s="1"/>
  <c r="K93" i="3"/>
  <c r="L93" i="3" s="1"/>
  <c r="K92" i="3"/>
  <c r="L92" i="3" s="1"/>
  <c r="K211" i="3" l="1"/>
  <c r="L211" i="3" s="1"/>
  <c r="K209" i="3"/>
  <c r="L209" i="3" s="1"/>
  <c r="K194" i="3"/>
  <c r="L194" i="3" s="1"/>
  <c r="K198" i="3"/>
  <c r="L198" i="3" s="1"/>
  <c r="K196" i="3"/>
  <c r="L196" i="3" s="1"/>
  <c r="K216" i="3"/>
  <c r="L216" i="3" s="1"/>
  <c r="K224" i="3"/>
  <c r="L224" i="3" s="1"/>
  <c r="K221" i="3"/>
  <c r="L221" i="3" s="1"/>
  <c r="K240" i="3"/>
  <c r="L240" i="3" s="1"/>
  <c r="K238" i="3"/>
  <c r="L238" i="3" s="1"/>
  <c r="K236" i="3"/>
  <c r="L236" i="3" s="1"/>
  <c r="K237" i="3"/>
  <c r="L237" i="3" s="1"/>
  <c r="K234" i="3"/>
  <c r="L234" i="3" s="1"/>
  <c r="K232" i="3"/>
  <c r="K227" i="3"/>
  <c r="K228" i="3"/>
  <c r="K226" i="3"/>
  <c r="K225" i="3"/>
  <c r="K229" i="3"/>
  <c r="K192" i="3"/>
  <c r="L192" i="3" s="1"/>
  <c r="K190" i="3"/>
  <c r="L190" i="3" s="1"/>
  <c r="K187" i="3"/>
  <c r="L187" i="3" s="1"/>
  <c r="K204" i="3"/>
  <c r="L204" i="3" s="1"/>
  <c r="F16" i="17"/>
  <c r="K394" i="3"/>
  <c r="L394" i="3" s="1"/>
  <c r="K392" i="3"/>
  <c r="L392" i="3" s="1"/>
  <c r="K391" i="3"/>
  <c r="L391" i="3" s="1"/>
  <c r="K395" i="3"/>
  <c r="L395" i="3" s="1"/>
  <c r="K397" i="3"/>
  <c r="L397" i="3" s="1"/>
  <c r="K396" i="3"/>
  <c r="L396" i="3" s="1"/>
  <c r="K393" i="3"/>
  <c r="L393" i="3" s="1"/>
  <c r="K377" i="3"/>
  <c r="L377" i="3" s="1"/>
  <c r="K378" i="3"/>
  <c r="L378" i="3" s="1"/>
  <c r="K379" i="3"/>
  <c r="L379" i="3" s="1"/>
  <c r="K390" i="3"/>
  <c r="L390" i="3" s="1"/>
  <c r="K36" i="3"/>
  <c r="L36" i="3" s="1"/>
  <c r="K35" i="3"/>
  <c r="L35" i="3" s="1"/>
  <c r="K34" i="3"/>
  <c r="L34" i="3" s="1"/>
  <c r="K95" i="3"/>
  <c r="L95" i="3" s="1"/>
  <c r="J112" i="3"/>
  <c r="K112" i="3" s="1"/>
  <c r="L112" i="3" s="1"/>
  <c r="N112" i="3"/>
  <c r="M112" i="3"/>
  <c r="K3" i="3"/>
  <c r="L3" i="3" s="1"/>
  <c r="K4" i="3"/>
  <c r="L4" i="3" s="1"/>
  <c r="K5" i="3"/>
  <c r="L5" i="3" s="1"/>
  <c r="K6" i="3"/>
  <c r="L6" i="3" s="1"/>
  <c r="K7" i="3"/>
  <c r="L7" i="3" s="1"/>
  <c r="K8" i="3"/>
  <c r="L8" i="3" s="1"/>
  <c r="K9" i="3"/>
  <c r="L9" i="3" s="1"/>
  <c r="K10" i="3"/>
  <c r="L10" i="3" s="1"/>
  <c r="K11" i="3"/>
  <c r="L11" i="3" s="1"/>
  <c r="K12" i="3"/>
  <c r="L12" i="3" s="1"/>
  <c r="K13" i="3"/>
  <c r="L13" i="3" s="1"/>
  <c r="K14" i="3"/>
  <c r="L14" i="3" s="1"/>
  <c r="K15" i="3"/>
  <c r="L15" i="3" s="1"/>
  <c r="K16" i="3"/>
  <c r="L16" i="3" s="1"/>
  <c r="K17" i="3"/>
  <c r="L17" i="3" s="1"/>
  <c r="K18" i="3"/>
  <c r="L18" i="3" s="1"/>
  <c r="K19" i="3"/>
  <c r="L19" i="3" s="1"/>
  <c r="K20" i="3"/>
  <c r="L20" i="3" s="1"/>
  <c r="K21" i="3"/>
  <c r="L21" i="3" s="1"/>
  <c r="K22" i="3"/>
  <c r="L22" i="3" s="1"/>
  <c r="K23" i="3"/>
  <c r="L23" i="3" s="1"/>
  <c r="K24" i="3"/>
  <c r="L24" i="3" s="1"/>
  <c r="K25" i="3"/>
  <c r="L25" i="3" s="1"/>
  <c r="K26" i="3"/>
  <c r="L26" i="3" s="1"/>
  <c r="K27" i="3"/>
  <c r="L27" i="3" s="1"/>
  <c r="K28" i="3"/>
  <c r="L28" i="3" s="1"/>
  <c r="K29" i="3"/>
  <c r="K30" i="3"/>
  <c r="L30" i="3" s="1"/>
  <c r="K31" i="3"/>
  <c r="K32" i="3"/>
  <c r="L32" i="3" s="1"/>
  <c r="K33" i="3"/>
  <c r="L33" i="3" s="1"/>
  <c r="K37" i="3"/>
  <c r="L37" i="3" s="1"/>
  <c r="K38" i="3"/>
  <c r="L38" i="3" s="1"/>
  <c r="K39" i="3"/>
  <c r="L39" i="3" s="1"/>
  <c r="K40" i="3"/>
  <c r="L40" i="3" s="1"/>
  <c r="K41" i="3"/>
  <c r="L41" i="3" s="1"/>
  <c r="K42" i="3"/>
  <c r="L42" i="3" s="1"/>
  <c r="K43" i="3"/>
  <c r="L43" i="3" s="1"/>
  <c r="K44" i="3"/>
  <c r="L44" i="3" s="1"/>
  <c r="K45" i="3"/>
  <c r="L45" i="3" s="1"/>
  <c r="K46" i="3"/>
  <c r="L46" i="3" s="1"/>
  <c r="K47" i="3"/>
  <c r="L47" i="3" s="1"/>
  <c r="K48" i="3"/>
  <c r="L48" i="3" s="1"/>
  <c r="K49" i="3"/>
  <c r="L49" i="3" s="1"/>
  <c r="K50" i="3"/>
  <c r="L50" i="3" s="1"/>
  <c r="K51" i="3"/>
  <c r="L51" i="3" s="1"/>
  <c r="K52" i="3"/>
  <c r="L52" i="3" s="1"/>
  <c r="K53" i="3"/>
  <c r="L53" i="3" s="1"/>
  <c r="K54" i="3"/>
  <c r="L54" i="3" s="1"/>
  <c r="K55" i="3"/>
  <c r="L55" i="3" s="1"/>
  <c r="K56" i="3"/>
  <c r="L56" i="3" s="1"/>
  <c r="K57" i="3"/>
  <c r="L57" i="3" s="1"/>
  <c r="K58" i="3"/>
  <c r="L58" i="3" s="1"/>
  <c r="K59" i="3"/>
  <c r="L59" i="3" s="1"/>
  <c r="K60" i="3"/>
  <c r="L60" i="3" s="1"/>
  <c r="K61" i="3"/>
  <c r="L61" i="3" s="1"/>
  <c r="K62" i="3"/>
  <c r="L62" i="3" s="1"/>
  <c r="K63" i="3"/>
  <c r="L63" i="3" s="1"/>
  <c r="K64" i="3"/>
  <c r="L64" i="3" s="1"/>
  <c r="K65" i="3"/>
  <c r="L65" i="3" s="1"/>
  <c r="K66" i="3"/>
  <c r="L66" i="3" s="1"/>
  <c r="K67" i="3"/>
  <c r="L67" i="3" s="1"/>
  <c r="K68" i="3"/>
  <c r="L68" i="3" s="1"/>
  <c r="K69" i="3"/>
  <c r="L69" i="3" s="1"/>
  <c r="K70" i="3"/>
  <c r="L70" i="3" s="1"/>
  <c r="K71" i="3"/>
  <c r="L71" i="3" s="1"/>
  <c r="K72" i="3"/>
  <c r="L72" i="3" s="1"/>
  <c r="K73" i="3"/>
  <c r="L73" i="3" s="1"/>
  <c r="K74" i="3"/>
  <c r="L74" i="3" s="1"/>
  <c r="K75" i="3"/>
  <c r="L75" i="3" s="1"/>
  <c r="K76" i="3"/>
  <c r="L76" i="3" s="1"/>
  <c r="K77" i="3"/>
  <c r="L77" i="3" s="1"/>
  <c r="K78" i="3"/>
  <c r="L78" i="3" s="1"/>
  <c r="K79" i="3"/>
  <c r="L79" i="3" s="1"/>
  <c r="K80" i="3"/>
  <c r="L80" i="3" s="1"/>
  <c r="K81" i="3"/>
  <c r="L81" i="3" s="1"/>
  <c r="K82" i="3"/>
  <c r="L82" i="3" s="1"/>
  <c r="K83" i="3"/>
  <c r="L83" i="3" s="1"/>
  <c r="K84" i="3"/>
  <c r="L84" i="3" s="1"/>
  <c r="K85" i="3"/>
  <c r="L85" i="3" s="1"/>
  <c r="K86" i="3"/>
  <c r="L86" i="3" s="1"/>
  <c r="K87" i="3"/>
  <c r="L87" i="3" s="1"/>
  <c r="K88" i="3"/>
  <c r="L88" i="3" s="1"/>
  <c r="K89" i="3"/>
  <c r="L89" i="3" s="1"/>
  <c r="K90" i="3"/>
  <c r="L90" i="3" s="1"/>
  <c r="K91" i="3"/>
  <c r="L91" i="3" s="1"/>
  <c r="K96" i="3"/>
  <c r="L96" i="3" s="1"/>
  <c r="K97" i="3"/>
  <c r="L97" i="3" s="1"/>
  <c r="K98" i="3"/>
  <c r="L98" i="3" s="1"/>
  <c r="K102" i="3"/>
  <c r="L102" i="3" s="1"/>
  <c r="K103" i="3"/>
  <c r="L103" i="3" s="1"/>
  <c r="K104" i="3"/>
  <c r="L104" i="3" s="1"/>
  <c r="K105" i="3"/>
  <c r="L105" i="3" s="1"/>
  <c r="K106" i="3"/>
  <c r="L106" i="3" s="1"/>
  <c r="K107" i="3"/>
  <c r="L107" i="3" s="1"/>
  <c r="K108" i="3"/>
  <c r="L108" i="3" s="1"/>
  <c r="K109" i="3"/>
  <c r="L109" i="3" s="1"/>
  <c r="K110" i="3"/>
  <c r="L110" i="3" s="1"/>
  <c r="K111" i="3"/>
  <c r="L111" i="3" s="1"/>
  <c r="K113" i="3"/>
  <c r="L113" i="3" s="1"/>
  <c r="K114" i="3"/>
  <c r="L114" i="3" s="1"/>
  <c r="K115" i="3"/>
  <c r="L115" i="3" s="1"/>
  <c r="K116" i="3"/>
  <c r="L116" i="3" s="1"/>
  <c r="K117" i="3"/>
  <c r="L117" i="3" s="1"/>
  <c r="K118" i="3"/>
  <c r="L118" i="3" s="1"/>
  <c r="K119" i="3"/>
  <c r="L119" i="3" s="1"/>
  <c r="K120" i="3"/>
  <c r="L120" i="3" s="1"/>
  <c r="K121" i="3"/>
  <c r="L121" i="3" s="1"/>
  <c r="K122" i="3"/>
  <c r="L122" i="3" s="1"/>
  <c r="K123" i="3"/>
  <c r="L123" i="3" s="1"/>
  <c r="K124" i="3"/>
  <c r="L124" i="3" s="1"/>
  <c r="K125" i="3"/>
  <c r="L125" i="3" s="1"/>
  <c r="K126" i="3"/>
  <c r="L126" i="3" s="1"/>
  <c r="K127" i="3"/>
  <c r="L127" i="3" s="1"/>
  <c r="K128" i="3"/>
  <c r="L128" i="3" s="1"/>
  <c r="K129" i="3"/>
  <c r="L129" i="3" s="1"/>
  <c r="K130" i="3"/>
  <c r="L130" i="3" s="1"/>
  <c r="K131" i="3"/>
  <c r="L131" i="3" s="1"/>
  <c r="K132" i="3"/>
  <c r="L132" i="3" s="1"/>
  <c r="K133" i="3"/>
  <c r="L133" i="3" s="1"/>
  <c r="K134" i="3"/>
  <c r="L134" i="3" s="1"/>
  <c r="K135" i="3"/>
  <c r="L135" i="3" s="1"/>
  <c r="K136" i="3"/>
  <c r="L136" i="3" s="1"/>
  <c r="K137" i="3"/>
  <c r="L137" i="3" s="1"/>
  <c r="K138" i="3"/>
  <c r="L138" i="3" s="1"/>
  <c r="K139" i="3"/>
  <c r="L139" i="3" s="1"/>
  <c r="K140" i="3"/>
  <c r="L140" i="3" s="1"/>
  <c r="K141" i="3"/>
  <c r="L141" i="3" s="1"/>
  <c r="K142" i="3"/>
  <c r="L142" i="3" s="1"/>
  <c r="K143" i="3"/>
  <c r="L143" i="3" s="1"/>
  <c r="K144" i="3"/>
  <c r="L144" i="3" s="1"/>
  <c r="K145" i="3"/>
  <c r="L145" i="3" s="1"/>
  <c r="K146" i="3"/>
  <c r="L146" i="3" s="1"/>
  <c r="K147" i="3"/>
  <c r="L147" i="3" s="1"/>
  <c r="K148" i="3"/>
  <c r="L148" i="3" s="1"/>
  <c r="K149" i="3"/>
  <c r="L149" i="3" s="1"/>
  <c r="K150" i="3"/>
  <c r="L150" i="3" s="1"/>
  <c r="K151" i="3"/>
  <c r="L151" i="3" s="1"/>
  <c r="K152" i="3"/>
  <c r="L152" i="3" s="1"/>
  <c r="K153" i="3"/>
  <c r="L153" i="3" s="1"/>
  <c r="K154" i="3"/>
  <c r="L154" i="3" s="1"/>
  <c r="K155" i="3"/>
  <c r="L155" i="3" s="1"/>
  <c r="K156" i="3"/>
  <c r="L156" i="3" s="1"/>
  <c r="K157" i="3"/>
  <c r="L157" i="3" s="1"/>
  <c r="K158" i="3"/>
  <c r="L158" i="3" s="1"/>
  <c r="K159" i="3"/>
  <c r="L159" i="3" s="1"/>
  <c r="K160" i="3"/>
  <c r="L160" i="3" s="1"/>
  <c r="K161" i="3"/>
  <c r="L161" i="3" s="1"/>
  <c r="K162" i="3"/>
  <c r="L162" i="3" s="1"/>
  <c r="K163" i="3"/>
  <c r="L163" i="3" s="1"/>
  <c r="K164" i="3"/>
  <c r="L164" i="3" s="1"/>
  <c r="K165" i="3"/>
  <c r="L165" i="3" s="1"/>
  <c r="K166" i="3"/>
  <c r="L166" i="3" s="1"/>
  <c r="K167" i="3"/>
  <c r="L167" i="3" s="1"/>
  <c r="K168" i="3"/>
  <c r="L168" i="3" s="1"/>
  <c r="K169" i="3"/>
  <c r="L169" i="3" s="1"/>
  <c r="K170" i="3"/>
  <c r="L170" i="3" s="1"/>
  <c r="K171" i="3"/>
  <c r="L171" i="3" s="1"/>
  <c r="K172" i="3"/>
  <c r="L172" i="3" s="1"/>
  <c r="K173" i="3"/>
  <c r="L173" i="3" s="1"/>
  <c r="K174" i="3"/>
  <c r="L174" i="3" s="1"/>
  <c r="K175" i="3"/>
  <c r="L175" i="3" s="1"/>
  <c r="K176" i="3"/>
  <c r="L176" i="3" s="1"/>
  <c r="K177" i="3"/>
  <c r="L177" i="3" s="1"/>
  <c r="K178" i="3"/>
  <c r="L178" i="3" s="1"/>
  <c r="K179" i="3"/>
  <c r="L179" i="3" s="1"/>
  <c r="K180" i="3"/>
  <c r="L180" i="3" s="1"/>
  <c r="K181" i="3"/>
  <c r="L181" i="3" s="1"/>
  <c r="K182" i="3"/>
  <c r="L182" i="3" s="1"/>
  <c r="K183" i="3"/>
  <c r="L183" i="3" s="1"/>
  <c r="K184" i="3"/>
  <c r="L184" i="3" s="1"/>
  <c r="K185" i="3"/>
  <c r="L185" i="3" s="1"/>
  <c r="K186" i="3"/>
  <c r="L186" i="3" s="1"/>
  <c r="K188" i="3"/>
  <c r="L188" i="3" s="1"/>
  <c r="K189" i="3"/>
  <c r="L189" i="3" s="1"/>
  <c r="K191" i="3"/>
  <c r="L191" i="3" s="1"/>
  <c r="K193" i="3"/>
  <c r="L193" i="3" s="1"/>
  <c r="K195" i="3"/>
  <c r="L195" i="3" s="1"/>
  <c r="K197" i="3"/>
  <c r="L197" i="3" s="1"/>
  <c r="K199" i="3"/>
  <c r="L199" i="3" s="1"/>
  <c r="K200" i="3"/>
  <c r="L200" i="3" s="1"/>
  <c r="K201" i="3"/>
  <c r="L201" i="3" s="1"/>
  <c r="K202" i="3"/>
  <c r="L202" i="3" s="1"/>
  <c r="K203" i="3"/>
  <c r="L203" i="3" s="1"/>
  <c r="K205" i="3"/>
  <c r="L205" i="3" s="1"/>
  <c r="K206" i="3"/>
  <c r="L206" i="3" s="1"/>
  <c r="K207" i="3"/>
  <c r="L207" i="3" s="1"/>
  <c r="K208" i="3"/>
  <c r="L208" i="3" s="1"/>
  <c r="K210" i="3"/>
  <c r="L210" i="3" s="1"/>
  <c r="K212" i="3"/>
  <c r="L212" i="3" s="1"/>
  <c r="K213" i="3"/>
  <c r="L213" i="3" s="1"/>
  <c r="K214" i="3"/>
  <c r="L214" i="3" s="1"/>
  <c r="K215" i="3"/>
  <c r="L215" i="3" s="1"/>
  <c r="K217" i="3"/>
  <c r="L217" i="3" s="1"/>
  <c r="K218" i="3"/>
  <c r="L218" i="3" s="1"/>
  <c r="K219" i="3"/>
  <c r="L219" i="3" s="1"/>
  <c r="K220" i="3"/>
  <c r="L220" i="3" s="1"/>
  <c r="K222" i="3"/>
  <c r="L222" i="3" s="1"/>
  <c r="K223" i="3"/>
  <c r="L223" i="3" s="1"/>
  <c r="K230" i="3"/>
  <c r="K231" i="3"/>
  <c r="K233" i="3"/>
  <c r="K235" i="3"/>
  <c r="L235" i="3" s="1"/>
  <c r="K239" i="3"/>
  <c r="L239" i="3" s="1"/>
  <c r="K241" i="3"/>
  <c r="L241" i="3" s="1"/>
  <c r="K242" i="3"/>
  <c r="L242" i="3" s="1"/>
  <c r="K243" i="3"/>
  <c r="L243" i="3" s="1"/>
  <c r="K244" i="3"/>
  <c r="L244" i="3" s="1"/>
  <c r="K245" i="3"/>
  <c r="L245" i="3" s="1"/>
  <c r="K246" i="3"/>
  <c r="L246" i="3" s="1"/>
  <c r="K247" i="3"/>
  <c r="L247" i="3" s="1"/>
  <c r="K248" i="3"/>
  <c r="L248" i="3" s="1"/>
  <c r="K249" i="3"/>
  <c r="L249" i="3" s="1"/>
  <c r="K250" i="3"/>
  <c r="L250" i="3" s="1"/>
  <c r="K251" i="3"/>
  <c r="L251" i="3" s="1"/>
  <c r="K252" i="3"/>
  <c r="L252" i="3" s="1"/>
  <c r="K253" i="3"/>
  <c r="L253" i="3" s="1"/>
  <c r="K254" i="3"/>
  <c r="L254" i="3" s="1"/>
  <c r="K255" i="3"/>
  <c r="L255" i="3" s="1"/>
  <c r="K256" i="3"/>
  <c r="L256" i="3" s="1"/>
  <c r="K257" i="3"/>
  <c r="L257" i="3" s="1"/>
  <c r="K258" i="3"/>
  <c r="L258" i="3" s="1"/>
  <c r="K259" i="3"/>
  <c r="L259" i="3" s="1"/>
  <c r="K260" i="3"/>
  <c r="L260" i="3" s="1"/>
  <c r="K261" i="3"/>
  <c r="L261" i="3" s="1"/>
  <c r="K262" i="3"/>
  <c r="L262" i="3" s="1"/>
  <c r="K263" i="3"/>
  <c r="L263" i="3" s="1"/>
  <c r="K264" i="3"/>
  <c r="L264" i="3" s="1"/>
  <c r="K265" i="3"/>
  <c r="L265" i="3" s="1"/>
  <c r="K266" i="3"/>
  <c r="L266" i="3" s="1"/>
  <c r="K267" i="3"/>
  <c r="L267" i="3" s="1"/>
  <c r="K268" i="3"/>
  <c r="L268" i="3" s="1"/>
  <c r="K269" i="3"/>
  <c r="L269" i="3" s="1"/>
  <c r="K270" i="3"/>
  <c r="L270" i="3" s="1"/>
  <c r="K271" i="3"/>
  <c r="L271" i="3" s="1"/>
  <c r="K272" i="3"/>
  <c r="L272" i="3" s="1"/>
  <c r="K273" i="3"/>
  <c r="L273" i="3" s="1"/>
  <c r="K274" i="3"/>
  <c r="L274" i="3" s="1"/>
  <c r="K275" i="3"/>
  <c r="L275" i="3" s="1"/>
  <c r="K276" i="3"/>
  <c r="L276" i="3" s="1"/>
  <c r="K277" i="3"/>
  <c r="L277" i="3" s="1"/>
  <c r="K278" i="3"/>
  <c r="L278" i="3" s="1"/>
  <c r="K279" i="3"/>
  <c r="L279" i="3" s="1"/>
  <c r="K280" i="3"/>
  <c r="L280" i="3" s="1"/>
  <c r="K281" i="3"/>
  <c r="L281" i="3" s="1"/>
  <c r="K282" i="3"/>
  <c r="L282" i="3" s="1"/>
  <c r="K283" i="3"/>
  <c r="L283" i="3" s="1"/>
  <c r="K284" i="3"/>
  <c r="L284" i="3" s="1"/>
  <c r="K285" i="3"/>
  <c r="L285" i="3" s="1"/>
  <c r="K286" i="3"/>
  <c r="L286" i="3" s="1"/>
  <c r="K287" i="3"/>
  <c r="L287" i="3" s="1"/>
  <c r="K288" i="3"/>
  <c r="L288" i="3" s="1"/>
  <c r="K289" i="3"/>
  <c r="L289" i="3" s="1"/>
  <c r="K290" i="3"/>
  <c r="L290" i="3" s="1"/>
  <c r="K291" i="3"/>
  <c r="L291" i="3" s="1"/>
  <c r="K292" i="3"/>
  <c r="L292" i="3" s="1"/>
  <c r="K293" i="3"/>
  <c r="L293" i="3" s="1"/>
  <c r="K294" i="3"/>
  <c r="L294" i="3" s="1"/>
  <c r="K295" i="3"/>
  <c r="L295" i="3" s="1"/>
  <c r="K296" i="3"/>
  <c r="L296" i="3" s="1"/>
  <c r="K297" i="3"/>
  <c r="L297" i="3" s="1"/>
  <c r="K298" i="3"/>
  <c r="L298" i="3" s="1"/>
  <c r="K299" i="3"/>
  <c r="L299" i="3" s="1"/>
  <c r="K300" i="3"/>
  <c r="L300" i="3" s="1"/>
  <c r="K301" i="3"/>
  <c r="L301" i="3" s="1"/>
  <c r="K302" i="3"/>
  <c r="L302" i="3" s="1"/>
  <c r="K303" i="3"/>
  <c r="L303" i="3" s="1"/>
  <c r="K304" i="3"/>
  <c r="L304" i="3" s="1"/>
  <c r="K305" i="3"/>
  <c r="L305" i="3" s="1"/>
  <c r="K306" i="3"/>
  <c r="L306" i="3" s="1"/>
  <c r="K307" i="3"/>
  <c r="L307" i="3" s="1"/>
  <c r="K308" i="3"/>
  <c r="L308" i="3" s="1"/>
  <c r="K309" i="3"/>
  <c r="L309" i="3" s="1"/>
  <c r="K310" i="3"/>
  <c r="L310" i="3" s="1"/>
  <c r="K311" i="3"/>
  <c r="L311" i="3" s="1"/>
  <c r="K312" i="3"/>
  <c r="L312" i="3" s="1"/>
  <c r="K313" i="3"/>
  <c r="L313" i="3" s="1"/>
  <c r="K314" i="3"/>
  <c r="L314" i="3" s="1"/>
  <c r="K315" i="3"/>
  <c r="L315" i="3" s="1"/>
  <c r="K316" i="3"/>
  <c r="L316" i="3" s="1"/>
  <c r="K317" i="3"/>
  <c r="L317" i="3" s="1"/>
  <c r="K318" i="3"/>
  <c r="L318" i="3" s="1"/>
  <c r="K319" i="3"/>
  <c r="L319" i="3" s="1"/>
  <c r="K320" i="3"/>
  <c r="L320" i="3" s="1"/>
  <c r="K321" i="3"/>
  <c r="L321" i="3" s="1"/>
  <c r="K322" i="3"/>
  <c r="L322" i="3" s="1"/>
  <c r="K323" i="3"/>
  <c r="L323" i="3" s="1"/>
  <c r="K324" i="3"/>
  <c r="L324" i="3" s="1"/>
  <c r="K325" i="3"/>
  <c r="L325" i="3" s="1"/>
  <c r="K326" i="3"/>
  <c r="L326" i="3" s="1"/>
  <c r="K327" i="3"/>
  <c r="L327" i="3" s="1"/>
  <c r="K328" i="3"/>
  <c r="L328" i="3" s="1"/>
  <c r="K329" i="3"/>
  <c r="L329" i="3" s="1"/>
  <c r="K330" i="3"/>
  <c r="L330" i="3" s="1"/>
  <c r="K331" i="3"/>
  <c r="L331" i="3" s="1"/>
  <c r="K332" i="3"/>
  <c r="L332" i="3" s="1"/>
  <c r="K333" i="3"/>
  <c r="L333" i="3" s="1"/>
  <c r="K334" i="3"/>
  <c r="L334" i="3" s="1"/>
  <c r="K335" i="3"/>
  <c r="L335" i="3" s="1"/>
  <c r="K336" i="3"/>
  <c r="L336" i="3" s="1"/>
  <c r="K337" i="3"/>
  <c r="L337" i="3" s="1"/>
  <c r="K338" i="3"/>
  <c r="L338" i="3" s="1"/>
  <c r="K339" i="3"/>
  <c r="L339" i="3" s="1"/>
  <c r="K340" i="3"/>
  <c r="L340" i="3" s="1"/>
  <c r="K341" i="3"/>
  <c r="L341" i="3" s="1"/>
  <c r="K342" i="3"/>
  <c r="L342" i="3" s="1"/>
  <c r="K343" i="3"/>
  <c r="L343" i="3" s="1"/>
  <c r="K344" i="3"/>
  <c r="L344" i="3" s="1"/>
  <c r="K345" i="3"/>
  <c r="L345" i="3" s="1"/>
  <c r="K346" i="3"/>
  <c r="L346" i="3" s="1"/>
  <c r="K347" i="3"/>
  <c r="L347" i="3" s="1"/>
  <c r="K348" i="3"/>
  <c r="L348" i="3" s="1"/>
  <c r="K349" i="3"/>
  <c r="L349" i="3" s="1"/>
  <c r="K350" i="3"/>
  <c r="L350" i="3" s="1"/>
  <c r="K351" i="3"/>
  <c r="L351" i="3" s="1"/>
  <c r="K352" i="3"/>
  <c r="L352" i="3" s="1"/>
  <c r="K353" i="3"/>
  <c r="L353" i="3" s="1"/>
  <c r="K354" i="3"/>
  <c r="L354" i="3" s="1"/>
  <c r="K355" i="3"/>
  <c r="L355" i="3" s="1"/>
  <c r="K356" i="3"/>
  <c r="L356" i="3" s="1"/>
  <c r="K357" i="3"/>
  <c r="L357" i="3" s="1"/>
  <c r="K358" i="3"/>
  <c r="L358" i="3" s="1"/>
  <c r="K359" i="3"/>
  <c r="L359" i="3" s="1"/>
  <c r="K360" i="3"/>
  <c r="L360" i="3" s="1"/>
  <c r="K361" i="3"/>
  <c r="L361" i="3" s="1"/>
  <c r="K362" i="3"/>
  <c r="L362" i="3" s="1"/>
  <c r="K363" i="3"/>
  <c r="L363" i="3" s="1"/>
  <c r="K364" i="3"/>
  <c r="L364" i="3" s="1"/>
  <c r="K365" i="3"/>
  <c r="L365" i="3" s="1"/>
  <c r="K366" i="3"/>
  <c r="L366" i="3" s="1"/>
  <c r="K367" i="3"/>
  <c r="L367" i="3" s="1"/>
  <c r="K368" i="3"/>
  <c r="L368" i="3" s="1"/>
  <c r="K369" i="3"/>
  <c r="L369" i="3" s="1"/>
  <c r="K370" i="3"/>
  <c r="L370" i="3" s="1"/>
  <c r="K371" i="3"/>
  <c r="L371" i="3" s="1"/>
  <c r="K372" i="3"/>
  <c r="L372" i="3" s="1"/>
  <c r="K373" i="3"/>
  <c r="L373" i="3" s="1"/>
  <c r="K374" i="3"/>
  <c r="L374" i="3" s="1"/>
  <c r="K375" i="3"/>
  <c r="L375" i="3" s="1"/>
  <c r="K376" i="3"/>
  <c r="L376" i="3" s="1"/>
  <c r="K380" i="3"/>
  <c r="L380" i="3" s="1"/>
  <c r="K381" i="3"/>
  <c r="L381" i="3" s="1"/>
  <c r="K382" i="3"/>
  <c r="L382" i="3" s="1"/>
  <c r="K383" i="3"/>
  <c r="L383" i="3" s="1"/>
  <c r="K384" i="3"/>
  <c r="L384" i="3" s="1"/>
  <c r="K385" i="3"/>
  <c r="L385" i="3" s="1"/>
  <c r="K386" i="3"/>
  <c r="L386" i="3" s="1"/>
  <c r="K387" i="3"/>
  <c r="L387" i="3" s="1"/>
  <c r="K388" i="3"/>
  <c r="L388" i="3" s="1"/>
  <c r="K389" i="3"/>
  <c r="L389" i="3" s="1"/>
  <c r="C113" i="9"/>
  <c r="C22" i="9"/>
  <c r="C30" i="9"/>
  <c r="C89" i="9"/>
  <c r="C36" i="9"/>
  <c r="C37" i="9"/>
  <c r="C34" i="9"/>
  <c r="C21" i="9"/>
  <c r="C51" i="9"/>
  <c r="C54" i="9"/>
  <c r="C53" i="9"/>
  <c r="C50" i="9"/>
  <c r="C41" i="9"/>
  <c r="C91" i="9"/>
  <c r="C118" i="9"/>
  <c r="C117" i="9"/>
  <c r="C120" i="9"/>
  <c r="C86" i="9"/>
  <c r="C119" i="9"/>
  <c r="C82" i="9"/>
  <c r="C33" i="9"/>
  <c r="C18" i="9"/>
  <c r="C84" i="9"/>
  <c r="C95" i="9"/>
  <c r="C19" i="9"/>
  <c r="C42" i="9"/>
  <c r="C43" i="9"/>
  <c r="C47" i="9"/>
  <c r="C48" i="9"/>
  <c r="C32" i="9"/>
  <c r="C79" i="9"/>
  <c r="C81" i="9"/>
  <c r="C80" i="9"/>
  <c r="C92" i="9"/>
  <c r="C94" i="9"/>
  <c r="C93" i="9"/>
  <c r="C38" i="9"/>
  <c r="C44" i="9"/>
  <c r="C29" i="9"/>
  <c r="C108" i="9"/>
  <c r="C100" i="9"/>
  <c r="C45" i="9"/>
  <c r="C83" i="9"/>
  <c r="C111" i="9"/>
  <c r="C101" i="9"/>
  <c r="C87" i="9"/>
  <c r="C39" i="9"/>
  <c r="C88" i="9"/>
  <c r="C26" i="9"/>
  <c r="C25" i="9"/>
  <c r="C10" i="9"/>
  <c r="C102" i="9"/>
  <c r="C23" i="9"/>
  <c r="C24" i="9"/>
  <c r="C103" i="9"/>
  <c r="C62" i="9"/>
  <c r="C61" i="9"/>
  <c r="C65" i="9"/>
  <c r="C63" i="9"/>
  <c r="C68" i="9"/>
  <c r="C66" i="9"/>
  <c r="C67" i="9"/>
  <c r="C14" i="9"/>
  <c r="C13" i="9"/>
  <c r="C15" i="9"/>
  <c r="C112" i="9"/>
  <c r="C28" i="9"/>
  <c r="C20" i="9"/>
  <c r="C69" i="9"/>
  <c r="C60" i="9"/>
  <c r="C58" i="9"/>
  <c r="C59" i="9"/>
  <c r="C27" i="9"/>
  <c r="C114" i="9"/>
  <c r="C121" i="9"/>
  <c r="C106" i="9"/>
  <c r="C115" i="9"/>
  <c r="C9" i="9"/>
  <c r="C16" i="9"/>
  <c r="C46" i="9"/>
  <c r="C5" i="9"/>
  <c r="C3" i="9"/>
  <c r="C74" i="9"/>
  <c r="C72" i="9"/>
  <c r="C76" i="9"/>
  <c r="C70" i="9"/>
  <c r="C75" i="9"/>
  <c r="C73" i="9"/>
  <c r="C77" i="9"/>
  <c r="C71" i="9"/>
  <c r="C98" i="9"/>
  <c r="C99" i="9"/>
  <c r="C7" i="9"/>
  <c r="C8" i="9"/>
  <c r="C105" i="9"/>
  <c r="C17" i="9"/>
  <c r="C110" i="9"/>
  <c r="C116" i="9"/>
  <c r="C107" i="9"/>
  <c r="C64" i="9"/>
  <c r="C35" i="9"/>
  <c r="C49" i="9"/>
  <c r="C52" i="9"/>
  <c r="C4" i="9"/>
  <c r="C96" i="9"/>
  <c r="C31" i="9"/>
  <c r="C11" i="9"/>
  <c r="C55" i="9"/>
  <c r="C56" i="9"/>
  <c r="C57" i="9"/>
  <c r="C85" i="9"/>
  <c r="C90" i="9"/>
  <c r="C2" i="9"/>
  <c r="C97" i="9"/>
  <c r="C12" i="9"/>
  <c r="C6" i="9"/>
  <c r="C104" i="9"/>
  <c r="C78" i="9"/>
  <c r="C40" i="9"/>
  <c r="C10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tc={683D76D2-F51C-4498-AC22-1D09D87D3B92}</author>
  </authors>
  <commentList>
    <comment ref="J237" authorId="0" shapeId="0" xr:uid="{683D76D2-F51C-4498-AC22-1D09D87D3B92}">
      <text>
        <t>[Threaded comment]
Your version of Excel allows you to read this threaded comment; however, any edits to it will get removed if the file is opened in a newer version of Excel. Learn more: https://go.microsoft.com/fwlink/?linkid=870924
Comment:
    @Julius Shen apparently this is supposed to be "PROT" not "PORT". Kindly check. Thanks
Reply:
    @Alton Sandico Yes, you are correct. I have updated the field to the correct one: EMBANK_PROT_TYPE_CODE
Reply:
    @Julius Shen Thanks</t>
      </text>
    </comment>
  </commentList>
</comments>
</file>

<file path=xl/sharedStrings.xml><?xml version="1.0" encoding="utf-8"?>
<sst xmlns="http://schemas.openxmlformats.org/spreadsheetml/2006/main" count="41404" uniqueCount="15910">
  <si>
    <t>Link to SharePoint location: src Backend Tables</t>
  </si>
  <si>
    <t>Src Sys</t>
  </si>
  <si>
    <t>UI Screen</t>
  </si>
  <si>
    <t>UI Section</t>
  </si>
  <si>
    <t>UI Field Name</t>
  </si>
  <si>
    <t>Business Meaning</t>
  </si>
  <si>
    <t>Ind: Src Mandatory</t>
  </si>
  <si>
    <t>Ind: Critical</t>
  </si>
  <si>
    <t>Ind: Multiple Entries</t>
  </si>
  <si>
    <t>Main Table</t>
  </si>
  <si>
    <t>Main Field Name</t>
  </si>
  <si>
    <t>Table and Field</t>
  </si>
  <si>
    <t>Data Type</t>
  </si>
  <si>
    <t>Lookup Table</t>
  </si>
  <si>
    <t>Note</t>
  </si>
  <si>
    <t>Ind: Attachment</t>
  </si>
  <si>
    <t>Ind: Measure Point</t>
  </si>
  <si>
    <t>Ind: Culvert Attr</t>
  </si>
  <si>
    <t>Ind: Used in BSI</t>
  </si>
  <si>
    <t>Bridge Asset Structure</t>
  </si>
  <si>
    <t>Mst Data / Xsac</t>
  </si>
  <si>
    <t>FLOC Mapping</t>
  </si>
  <si>
    <t>Class / Chars Attribute</t>
  </si>
  <si>
    <t>Chars Attr Multiple Sets</t>
  </si>
  <si>
    <t>Chars Attr Multiple Sets Comment</t>
  </si>
  <si>
    <t>BIS</t>
  </si>
  <si>
    <t>(backend table)</t>
  </si>
  <si>
    <t>&lt;backend table&gt;</t>
  </si>
  <si>
    <t>Current bridge record = Y, means active and being used.</t>
  </si>
  <si>
    <t>RBS_STRUCTURES</t>
  </si>
  <si>
    <t>CURRENT_YN</t>
  </si>
  <si>
    <t>not applicable</t>
  </si>
  <si>
    <t>Indicator: ACTIVE record = Y.</t>
  </si>
  <si>
    <t>General Information</t>
  </si>
  <si>
    <t>Bridge No.</t>
  </si>
  <si>
    <t>Unique bridge number</t>
  </si>
  <si>
    <t>y</t>
  </si>
  <si>
    <t>BRIDGE_NUMBER</t>
  </si>
  <si>
    <t>Primary Key: [STRUCTURE_ID]</t>
  </si>
  <si>
    <t>Bridge</t>
  </si>
  <si>
    <t>FLOC Code</t>
  </si>
  <si>
    <t>BSI</t>
  </si>
  <si>
    <t>Bridge Sufficiency Index (BSI)</t>
  </si>
  <si>
    <t>FLOC Measuring Point</t>
  </si>
  <si>
    <t>BHI</t>
  </si>
  <si>
    <t>Bridge Health Index (BHI)</t>
  </si>
  <si>
    <t>Description</t>
  </si>
  <si>
    <t>Description - Type</t>
  </si>
  <si>
    <t>Bridge Structure Type</t>
  </si>
  <si>
    <t>DESCRIPTION_TYPE</t>
  </si>
  <si>
    <t>Field content comes from Engineering Drawing: DESCRIPTION_TYPE, DESCRIPTION_OVER, DESCRIPTION_AT, and DESCRIPTION_AT2.</t>
  </si>
  <si>
    <t>Description - Over</t>
  </si>
  <si>
    <t>Bridge Over</t>
  </si>
  <si>
    <t>DESCRIPTION_OVER</t>
  </si>
  <si>
    <t>Description - At</t>
  </si>
  <si>
    <t>Bridge At</t>
  </si>
  <si>
    <t>n</t>
  </si>
  <si>
    <t>DESCRIPTION_AT</t>
  </si>
  <si>
    <t>Additional Notes</t>
  </si>
  <si>
    <t>Bridge At (Additional Notes)</t>
  </si>
  <si>
    <t>DESCRIPTION_AT2</t>
  </si>
  <si>
    <t>Bridge Name</t>
  </si>
  <si>
    <t>BRIDGE_NAME</t>
  </si>
  <si>
    <t>master data</t>
  </si>
  <si>
    <t>FLOC Description</t>
  </si>
  <si>
    <t>RD_GAZETTEDNAME</t>
  </si>
  <si>
    <t>Geographical Location</t>
  </si>
  <si>
    <t>Division</t>
  </si>
  <si>
    <t>Division Code</t>
  </si>
  <si>
    <t>LA_ID_REGION</t>
  </si>
  <si>
    <t>RBS_SUBZ_LA. LA_CODE</t>
  </si>
  <si>
    <t>RBS_STRUCTURES. LA_ID_REGION = RBS_SUBZ_LA. LA_ID. 
UI shows 'Region' in the drop-down field name.</t>
  </si>
  <si>
    <t>FLOC Location</t>
  </si>
  <si>
    <t>Division (description)</t>
  </si>
  <si>
    <t>Division Description</t>
  </si>
  <si>
    <t>rbs_subz_la</t>
  </si>
  <si>
    <t>la_descr</t>
  </si>
  <si>
    <t>See Division Code and Division Description.</t>
  </si>
  <si>
    <t>Region</t>
  </si>
  <si>
    <t>LA_ID_ZONE</t>
  </si>
  <si>
    <t>RBS_STRUCTURES. LA_ID_ZONE = RBS_SUBZ_LA. LA_ID. 
UI shows 'Zone' in the drop-down field name. UI Field [Region] not visible when Division = 471 Sydney Division.</t>
  </si>
  <si>
    <t>Zone/Precinct</t>
  </si>
  <si>
    <t>LA_ID_SUBZ_NETW</t>
  </si>
  <si>
    <t>RBS_STRUCTURES. LA_ID_SUBZ_NETW = RBS_SUBZ_LA. LA_ID</t>
  </si>
  <si>
    <t>LGA</t>
  </si>
  <si>
    <t>LA_ID_LGA</t>
  </si>
  <si>
    <t>RRL_LA. LA_ID</t>
  </si>
  <si>
    <t>RBS_STRUCTURES. LA_ID_LGA = RRL_LA. LA_ID</t>
  </si>
  <si>
    <t>FLOC - LGA</t>
  </si>
  <si>
    <t>LGA (description)</t>
  </si>
  <si>
    <t>RRL_LA</t>
  </si>
  <si>
    <t>rrl_la. Lt_type = 'LGA'</t>
  </si>
  <si>
    <t>Federal Electorate</t>
  </si>
  <si>
    <t>LA_ID_FE</t>
  </si>
  <si>
    <t>Federal Electorate (description)</t>
  </si>
  <si>
    <t>State Electorate</t>
  </si>
  <si>
    <t>LA_ID_SE</t>
  </si>
  <si>
    <t>FLOC - SED</t>
  </si>
  <si>
    <t>State Electorate (description)</t>
  </si>
  <si>
    <t>rbs_ref_tables</t>
  </si>
  <si>
    <t>REFERENCE_DESCR1</t>
  </si>
  <si>
    <t>rbs_ref_tables. ref_table_name = 'ST_ELECT'</t>
  </si>
  <si>
    <t>rbs_structures. LA_ID_SE = rbs_ref_tables. reference code and rbs_ref_tables. ref_table_name = 'ST_ELECT'</t>
  </si>
  <si>
    <t>Operational Status</t>
  </si>
  <si>
    <t>Operational Status Code</t>
  </si>
  <si>
    <t>OPER_STAT_CODE</t>
  </si>
  <si>
    <t>rbs_ref_tables. ref_table_name = 'OPERSTATUS'</t>
  </si>
  <si>
    <t>rbs_structures. Oper_stat_code = rbs_ref_tables. reference code and rbs_ref_tables. ref_table_name = 'OPERSTATUS'</t>
  </si>
  <si>
    <t>FLOC User Status</t>
  </si>
  <si>
    <t>Operational Status (description)</t>
  </si>
  <si>
    <t>Operational Status Description</t>
  </si>
  <si>
    <t>See Operational Status Code and Operational Status Description</t>
  </si>
  <si>
    <t>Date opened to Traffic</t>
  </si>
  <si>
    <t>DT_OPEN_TO_TRAFFIC</t>
  </si>
  <si>
    <t>Gen. File no.</t>
  </si>
  <si>
    <t>GENERAL_FILE_NO</t>
  </si>
  <si>
    <t>Rd Rank</t>
  </si>
  <si>
    <t>Road Rank</t>
  </si>
  <si>
    <t>RD_RANK_CODE</t>
  </si>
  <si>
    <t>Rank 1-6: 1 lowest; 6 highest traffic volume. Also see Road Rank in 'Carriageway Information' UI screen.</t>
  </si>
  <si>
    <t>Rd Class. For Structure</t>
  </si>
  <si>
    <t>Road Classification</t>
  </si>
  <si>
    <t>RD_CLASS_CODE</t>
  </si>
  <si>
    <t>Controlled by</t>
  </si>
  <si>
    <t>Controlled by Code (Asset Owner)</t>
  </si>
  <si>
    <t>WA_OWN</t>
  </si>
  <si>
    <t>rbs_ref_tables. ref_table_name = 'WORK_AUTH'</t>
  </si>
  <si>
    <t>rbs_structures. Wa_own = rbs_ref_tables. reference code and rbs_ref_tables. ref_table_name = 'WORK_AUTH'</t>
  </si>
  <si>
    <t>FLOC Business Partner</t>
  </si>
  <si>
    <t>Controlled by (description)</t>
  </si>
  <si>
    <t>Controlled by Description (Asset Owner Description)</t>
  </si>
  <si>
    <t>varchar</t>
  </si>
  <si>
    <t>See Controlled by Code and Controlled by Description</t>
  </si>
  <si>
    <t>Inspected by</t>
  </si>
  <si>
    <t>Inspected by Code</t>
  </si>
  <si>
    <t>WA_INSPECT</t>
  </si>
  <si>
    <t>rbs_structures. Wa_inspect = rbs_ref_tables. reference code and rbs_ref_tables. ref_table_name = 'WORK_AUTH'</t>
  </si>
  <si>
    <t>Inspected by (description)</t>
  </si>
  <si>
    <t>Inspected by Description</t>
  </si>
  <si>
    <t>Maintained by</t>
  </si>
  <si>
    <t>Maintained by Code</t>
  </si>
  <si>
    <t>WA_MAINT</t>
  </si>
  <si>
    <t>rbs_structures. Wa_maint = rbs_ref_tables. reference code and rbs_ref_tables. ref_table_name = 'WORK_AUTH'</t>
  </si>
  <si>
    <t>Maintained by (description)</t>
  </si>
  <si>
    <t>Maintained by Description</t>
  </si>
  <si>
    <t>Controlled by (Office)</t>
  </si>
  <si>
    <t>Controlled by (Office) Code</t>
  </si>
  <si>
    <t>OFFICE_ID</t>
  </si>
  <si>
    <t>Inspected by (Office)</t>
  </si>
  <si>
    <t>Inspected by (Office) Code</t>
  </si>
  <si>
    <t>BRIDGE_OFFICE_ID_INSPECT</t>
  </si>
  <si>
    <t>Maintained by (Office)</t>
  </si>
  <si>
    <t>Maintained by (Office) Code</t>
  </si>
  <si>
    <t>BRIDGE_OFFICE_ID_MAINT</t>
  </si>
  <si>
    <t>Controlled by (Office Desc)</t>
  </si>
  <si>
    <t>Controlled by (Office) Description</t>
  </si>
  <si>
    <t>rbs_bridge_offices</t>
  </si>
  <si>
    <t>Inspected by (Office Desc)</t>
  </si>
  <si>
    <t>Inspected by (Office) Description</t>
  </si>
  <si>
    <t>Maintained by (Office Desc)</t>
  </si>
  <si>
    <t>Maintained by (Office) Description</t>
  </si>
  <si>
    <t>Geo Co-ordinates</t>
  </si>
  <si>
    <t>Latitude</t>
  </si>
  <si>
    <t>LATITUDE</t>
  </si>
  <si>
    <t>FLOC Latitude</t>
  </si>
  <si>
    <t>Longitude</t>
  </si>
  <si>
    <t>LONGITUDE</t>
  </si>
  <si>
    <t>FLOC Longitude</t>
  </si>
  <si>
    <t>AADT</t>
  </si>
  <si>
    <t>AADT (Annual Average Daily Traffic)</t>
  </si>
  <si>
    <t>AADT - Year</t>
  </si>
  <si>
    <t>AADT_YR</t>
  </si>
  <si>
    <t>Growth (% per year)</t>
  </si>
  <si>
    <t>AADT - Growth per Description</t>
  </si>
  <si>
    <t>AADT_GROWTH</t>
  </si>
  <si>
    <t>% of Heavy Vehicles</t>
  </si>
  <si>
    <t>AADT % of Heavy Description</t>
  </si>
  <si>
    <t>AADT_PERCENTAGE_HEAVY</t>
  </si>
  <si>
    <t>Facility</t>
  </si>
  <si>
    <t>Facility Code</t>
  </si>
  <si>
    <t>FACI_TYPE_CODE</t>
  </si>
  <si>
    <t xml:space="preserve">RBS_REF_TABLES. REF_TABLE_NAME = 'FCILTY_TYP' </t>
  </si>
  <si>
    <t>rbs_structures. Faci_type_code = rbs_ref_tables. reference code and rbs_ref_tables. ref_table_name = 'FCILTY_TYP'.
Description = REBS_REF_TABLES. REFERENCE_DESCR1. 
Example: RBS_REF_TABLES. REFERENCE_CODE = 5 - Bridge; 8 - Tunnel.</t>
  </si>
  <si>
    <t>Facility (description)</t>
  </si>
  <si>
    <t>Facility Description</t>
  </si>
  <si>
    <t>See Facility Code and Facility Description</t>
  </si>
  <si>
    <t>Remarks on the Bridge</t>
  </si>
  <si>
    <t>Remarks on Description</t>
  </si>
  <si>
    <t>BRIDGE_COMMENT</t>
  </si>
  <si>
    <t>Bridge Type</t>
  </si>
  <si>
    <t>brdg_type_code</t>
  </si>
  <si>
    <t xml:space="preserve">select reference_code, reference_descr1 bridge_type
    from rbs_ref_tables
    where ref_table_name = 'CAPT_TYPES' </t>
  </si>
  <si>
    <t>Bridge Type Code is not mandatory in BIS. Bridge type is defined as the costliest combination of span material and span type for each bridge. This field is derived for each bridge by the BIS software from span groups data. 
Bridge Type is interchangeable with Capitalisation Type in BIS.</t>
  </si>
  <si>
    <t>Summary Type</t>
  </si>
  <si>
    <t>Bridge Summary Type (3): Concrete/steel, Timber, or Culverts. Derived from [Bridge Type].</t>
  </si>
  <si>
    <t>Culvert: Max. Height of fill under road centreline (m)</t>
  </si>
  <si>
    <t>Culvert Max Description</t>
  </si>
  <si>
    <t>CULVERT_HT_OF_FILL</t>
  </si>
  <si>
    <t>Deck Level in AHD</t>
  </si>
  <si>
    <t>Deck Level Description</t>
  </si>
  <si>
    <t>DECK_LEVEL_IN_AHD</t>
  </si>
  <si>
    <t>Mine subsidence area (checkbox)</t>
  </si>
  <si>
    <t>MINE_SUBSID_AREA_YN</t>
  </si>
  <si>
    <t>used</t>
  </si>
  <si>
    <t>Deemed State Work (checkbox)</t>
  </si>
  <si>
    <t>DEEMED_STATE_WORK_YN</t>
  </si>
  <si>
    <t>Border Bridge (checkbox)</t>
  </si>
  <si>
    <t>BORDER_BRDG_YN</t>
  </si>
  <si>
    <t>Underwater Insp. Rqd. (checkbox)</t>
  </si>
  <si>
    <t>UNDERWATER_YN</t>
  </si>
  <si>
    <t>Step Joint (checkbox)</t>
  </si>
  <si>
    <t>STEP_JOINT_YN</t>
  </si>
  <si>
    <t>On B-Double Route (checkbox)</t>
  </si>
  <si>
    <t>B_DOUBLE_RD_YN</t>
  </si>
  <si>
    <t>Complex/Unusual Bridge (checkbox)</t>
  </si>
  <si>
    <t>COMPLEX_UNUSUAL_YN</t>
  </si>
  <si>
    <t>Large/Special Bearing (checkbox)</t>
  </si>
  <si>
    <t>LARGE_BEARING_YN</t>
  </si>
  <si>
    <t>Large/Special Deck Joint (checkbox)</t>
  </si>
  <si>
    <t>LARGE_DECKJOINT_YN</t>
  </si>
  <si>
    <t>Wrought Iron</t>
  </si>
  <si>
    <t>WROUGHT_IRON</t>
  </si>
  <si>
    <t>Confined Space</t>
  </si>
  <si>
    <t>CONFINED_SPACE</t>
  </si>
  <si>
    <t>Potential High Risk</t>
  </si>
  <si>
    <t>POTENTIAL_HIGH_RISK_YN</t>
  </si>
  <si>
    <t>Vehicular Traffic on Brdg.</t>
  </si>
  <si>
    <t>VEH_TRAFFIC_YN</t>
  </si>
  <si>
    <t>Safety Screen Installed</t>
  </si>
  <si>
    <t>SAFE_SCREEN_INSTALLED_YN</t>
  </si>
  <si>
    <t>Lifts Installed</t>
  </si>
  <si>
    <t>LIFT_INSTALLED_YN</t>
  </si>
  <si>
    <t>Pedestrian Use on Struct.</t>
  </si>
  <si>
    <t>PED_USE_YN</t>
  </si>
  <si>
    <t>Opening Bridge</t>
  </si>
  <si>
    <t>OPENING_BRIDGE_YN</t>
  </si>
  <si>
    <r>
      <t xml:space="preserve">SMP Available </t>
    </r>
    <r>
      <rPr>
        <sz val="11"/>
        <color theme="1"/>
        <rFont val="Calibri"/>
        <family val="2"/>
        <scheme val="minor"/>
      </rPr>
      <t>&lt;greyed out&gt;</t>
    </r>
  </si>
  <si>
    <t>Structure Management Plan Available?</t>
  </si>
  <si>
    <t>?</t>
  </si>
  <si>
    <t>greyed out: not used?</t>
  </si>
  <si>
    <t>RSMS</t>
  </si>
  <si>
    <t>Summary</t>
  </si>
  <si>
    <t>Slope Detail</t>
  </si>
  <si>
    <t>Type</t>
  </si>
  <si>
    <t>Slope Type</t>
  </si>
  <si>
    <t>rsm_slope_sites</t>
  </si>
  <si>
    <t>site_class</t>
  </si>
  <si>
    <t>rsm_ref_codes. Ref_type = 16</t>
  </si>
  <si>
    <t>Location Comment</t>
  </si>
  <si>
    <t>Slope location commentary</t>
  </si>
  <si>
    <t>comments (char 4000)</t>
  </si>
  <si>
    <t>description (char 2000)</t>
  </si>
  <si>
    <t>rsm_ref_codes</t>
  </si>
  <si>
    <t>description (char 100)</t>
  </si>
  <si>
    <t>Location</t>
  </si>
  <si>
    <t>Slope Identification</t>
  </si>
  <si>
    <t>Material</t>
  </si>
  <si>
    <t>Slope Material</t>
  </si>
  <si>
    <t>material_id</t>
  </si>
  <si>
    <t>Max Height</t>
  </si>
  <si>
    <t>max_slope_height</t>
  </si>
  <si>
    <t>UOM in metre</t>
  </si>
  <si>
    <t>Avg Angle</t>
  </si>
  <si>
    <t>Avg Angle Description</t>
  </si>
  <si>
    <t>avg_slope_angle</t>
  </si>
  <si>
    <t>BSI Calculation</t>
  </si>
  <si>
    <t>S1 - Load Capacity Rating</t>
  </si>
  <si>
    <r>
      <t xml:space="preserve">B-Double Route (Y/N) - </t>
    </r>
    <r>
      <rPr>
        <sz val="11"/>
        <color theme="1"/>
        <rFont val="Calibri"/>
        <family val="2"/>
        <scheme val="minor"/>
      </rPr>
      <t>&lt;greyed out&gt;</t>
    </r>
  </si>
  <si>
    <t>B Double Description</t>
  </si>
  <si>
    <t>Structural</t>
  </si>
  <si>
    <t>Deficient Load Restriction (Y/N)</t>
  </si>
  <si>
    <t>RBS_DEFIC_STRUCT</t>
  </si>
  <si>
    <t>LOAD_LIMIT</t>
  </si>
  <si>
    <t>calculated in RBS_BSI_V2 view</t>
  </si>
  <si>
    <t>Load Limit Sign Posted (number)</t>
  </si>
  <si>
    <t>Load Limit Description</t>
  </si>
  <si>
    <t>Load Capacity Rating</t>
  </si>
  <si>
    <t>S2 - Bridge Width Rating</t>
  </si>
  <si>
    <t>Bridge Width Rating</t>
  </si>
  <si>
    <t>S3 - Vertical Clearance Rating</t>
  </si>
  <si>
    <t>Vertical Clearance Rating</t>
  </si>
  <si>
    <t>S4 - Route Alternative Rating</t>
  </si>
  <si>
    <t>Route Alternative Rating</t>
  </si>
  <si>
    <t>S5 - Barrier Rating</t>
  </si>
  <si>
    <t>Barrier Rating</t>
  </si>
  <si>
    <t>Funding/Heritage</t>
  </si>
  <si>
    <t>Maintenance Funding</t>
  </si>
  <si>
    <t>Funded By</t>
  </si>
  <si>
    <t>Maintenance Funded by</t>
  </si>
  <si>
    <t>RBS_STRUCT_MAINT_FUND</t>
  </si>
  <si>
    <t>WORK_AUTH_CODE</t>
  </si>
  <si>
    <t>Percent</t>
  </si>
  <si>
    <t>Maintenance Fund Percentage</t>
  </si>
  <si>
    <t>FUND_PCT</t>
  </si>
  <si>
    <t>Heritage Listing</t>
  </si>
  <si>
    <t>Code</t>
  </si>
  <si>
    <t>Heritage Code</t>
  </si>
  <si>
    <t>RBS_STRUCT_HRTG_LISTS</t>
  </si>
  <si>
    <t>HRTG_LIST_CODE</t>
  </si>
  <si>
    <t>Date Valid From</t>
  </si>
  <si>
    <t>Heritage Date Valid From</t>
  </si>
  <si>
    <t>DT_VALID_FROM</t>
  </si>
  <si>
    <t>Carriageway Information</t>
  </si>
  <si>
    <t>Carriageway#1</t>
  </si>
  <si>
    <r>
      <t xml:space="preserve">Road Rank </t>
    </r>
    <r>
      <rPr>
        <sz val="11"/>
        <color theme="1"/>
        <rFont val="Calibri"/>
        <family val="2"/>
        <scheme val="minor"/>
      </rPr>
      <t>&lt;Carriageway#1&gt;</t>
    </r>
  </si>
  <si>
    <t>Road Rank &lt;Carriageway#1&gt;</t>
  </si>
  <si>
    <t>RBS_STRUCT_CWY</t>
  </si>
  <si>
    <t>RD_RANK</t>
  </si>
  <si>
    <t>Rank 1-6: 1 lowest; 6 highest traffic volume</t>
  </si>
  <si>
    <t>One bridge may have more than one Carriageway sets (carriageway#1, carriageway#2)</t>
  </si>
  <si>
    <t>Carriageway#2</t>
  </si>
  <si>
    <r>
      <t xml:space="preserve">Road Rank </t>
    </r>
    <r>
      <rPr>
        <sz val="11"/>
        <color theme="1"/>
        <rFont val="Calibri"/>
        <family val="2"/>
        <scheme val="minor"/>
      </rPr>
      <t>&lt;Carriageway#2&gt;</t>
    </r>
  </si>
  <si>
    <t>Road Rank &lt;Carriageway#2&gt;</t>
  </si>
  <si>
    <t>Carriageway#3</t>
  </si>
  <si>
    <r>
      <t xml:space="preserve">Road Rank </t>
    </r>
    <r>
      <rPr>
        <sz val="11"/>
        <color theme="1"/>
        <rFont val="Calibri"/>
        <family val="2"/>
        <scheme val="minor"/>
      </rPr>
      <t>&lt;Carriageway#3&gt;</t>
    </r>
  </si>
  <si>
    <t>Road Rank &lt;Carriageway#3&gt;</t>
  </si>
  <si>
    <t>Carriageway#n</t>
  </si>
  <si>
    <r>
      <t xml:space="preserve">Road Rank </t>
    </r>
    <r>
      <rPr>
        <sz val="11"/>
        <color theme="1"/>
        <rFont val="Calibri"/>
        <family val="2"/>
        <scheme val="minor"/>
      </rPr>
      <t>&lt;Carriageway#n&gt;</t>
    </r>
  </si>
  <si>
    <t>Road Rank &lt;Carriageway#n&gt;</t>
  </si>
  <si>
    <t>Carriageway Line#n indicates a possibility of multiple carriageway lines. There are about 400+ bridges with three or more carriageways. BR9881 has 11 carriageways information.</t>
  </si>
  <si>
    <t>Road Rank (description)</t>
  </si>
  <si>
    <t>Road Rank Description &lt;Carriageway#1&gt;</t>
  </si>
  <si>
    <t xml:space="preserve">RBS_REF_TABLES. REF_TABLE_NAME = 'RD_RANK' </t>
  </si>
  <si>
    <t>Classification</t>
  </si>
  <si>
    <t>Road Classification code &lt;Carriageway#1&gt;</t>
  </si>
  <si>
    <t>Classification (description)</t>
  </si>
  <si>
    <t>Road Class Description &lt;Carriageway#1&gt;</t>
  </si>
  <si>
    <t xml:space="preserve">RBS_REF_TABLES. REF_TABLE_NAME = 'RDLNCLASS' </t>
  </si>
  <si>
    <t>rbs_struct_cwy. Rd_class_code = rbs_ref_tables. reference code and rbs_ref_tables. ref_table_name = 'RDLNCLASS'.</t>
  </si>
  <si>
    <r>
      <t xml:space="preserve">Road No. </t>
    </r>
    <r>
      <rPr>
        <sz val="11"/>
        <color theme="1"/>
        <rFont val="Calibri"/>
        <family val="2"/>
        <scheme val="minor"/>
      </rPr>
      <t>&lt;Carriageway#1&gt;</t>
    </r>
  </si>
  <si>
    <t>Road Number &lt;Carriageway#1&gt;</t>
  </si>
  <si>
    <t>RD_NO</t>
  </si>
  <si>
    <t>RSMS. RAMSR. RAMSR_RRL_ROAD_MV</t>
  </si>
  <si>
    <t>rbs_struct_cwy. Rd_no = ramsr_rrl_road_mv. Rd_no</t>
  </si>
  <si>
    <r>
      <t xml:space="preserve">Road No. </t>
    </r>
    <r>
      <rPr>
        <sz val="11"/>
        <color theme="1"/>
        <rFont val="Calibri"/>
        <family val="2"/>
        <scheme val="minor"/>
      </rPr>
      <t>&lt;Carriageway#2&gt;</t>
    </r>
  </si>
  <si>
    <t>Road Number - for Carriageway Line#2</t>
  </si>
  <si>
    <t>Road No. (Carriageway#3)</t>
  </si>
  <si>
    <t>Road Number - for Carriageway Line#3</t>
  </si>
  <si>
    <t>Road No.  (Carriageway#4)</t>
  </si>
  <si>
    <t>Road Number - for Carriageway Line#4</t>
  </si>
  <si>
    <t>Carriageway Line#1</t>
  </si>
  <si>
    <t>Road No. Description</t>
  </si>
  <si>
    <t>Road Number description - multiple entries</t>
  </si>
  <si>
    <t>RAMS.NM_ELEMENT_ALL</t>
  </si>
  <si>
    <t>NE_DESCR</t>
  </si>
  <si>
    <t>rbs_struct_cwy. Rd_no = rams. Nm_element_all. Ne_unique</t>
  </si>
  <si>
    <t>RSMS. RAMSR_RRL_ROAD_MV table is replicated from RAMS to RSMS (not available in BIS). Relevant RAMS table: NM_ELEMENTS_ALL where ne_nt_type='ROAD'.</t>
  </si>
  <si>
    <t>Link No.</t>
  </si>
  <si>
    <t>Link Number - multiple entries</t>
  </si>
  <si>
    <t>LC_LINK_NO</t>
  </si>
  <si>
    <t>A link is the shortest part of a road section recorded in ROADLOC, with a number between 0001 and 9999.</t>
  </si>
  <si>
    <t>Carriageway Code</t>
  </si>
  <si>
    <t>Carriageway Code - multiple entries</t>
  </si>
  <si>
    <t>LC_CWAY_CODE</t>
  </si>
  <si>
    <t>Carriageway code: 0, 1, 3, A-Z</t>
  </si>
  <si>
    <t>Carriageway Code (description)</t>
  </si>
  <si>
    <t>Carriageway Code description</t>
  </si>
  <si>
    <t>RAMS?</t>
  </si>
  <si>
    <t>Carriageway Version</t>
  </si>
  <si>
    <t>Carriageway Version - multiple entries</t>
  </si>
  <si>
    <t>LC_CWAY_VER</t>
  </si>
  <si>
    <t>Distance (km)</t>
  </si>
  <si>
    <t>Distance km - multiple entries</t>
  </si>
  <si>
    <t>DIST_FR_START</t>
  </si>
  <si>
    <t>Carriageway Width (m) Minimum</t>
  </si>
  <si>
    <t>Carriageway Width Minimum (range 0-99.99m) - multiple entries</t>
  </si>
  <si>
    <t>MIN_CWY_WD</t>
  </si>
  <si>
    <t>Carriageway Width (m) Maximum</t>
  </si>
  <si>
    <t>Carriageway Width Maximum (range 0-99.99m) - multiple entries</t>
  </si>
  <si>
    <t>MAX_CWY_WD</t>
  </si>
  <si>
    <t>Link for Insp.?</t>
  </si>
  <si>
    <t>Link for Inspection - multiple entries</t>
  </si>
  <si>
    <t>LINK_FOR_INSP_YN</t>
  </si>
  <si>
    <t>Link for Capt.?</t>
  </si>
  <si>
    <t>Link for Capitalisation - multiple entries</t>
  </si>
  <si>
    <t>LINK_FOR_CAPT_YN</t>
  </si>
  <si>
    <t>Carriageway Line#1 - Carriageway Function</t>
  </si>
  <si>
    <r>
      <t xml:space="preserve">Facility </t>
    </r>
    <r>
      <rPr>
        <sz val="10"/>
        <color theme="1"/>
        <rFont val="Calibri"/>
        <family val="2"/>
        <scheme val="minor"/>
      </rPr>
      <t>&lt;display only&gt;</t>
    </r>
  </si>
  <si>
    <t>Bridge Facility Type &lt;see General Information screen&gt;</t>
  </si>
  <si>
    <t>Carriageway Function Code</t>
  </si>
  <si>
    <t>Carriageway Function Code - for Carriageway Line#1 - multiple entries</t>
  </si>
  <si>
    <t>RBS_STRUCT_CWY_FUNC</t>
  </si>
  <si>
    <t>CWY_FUNC_TYPE_CODE</t>
  </si>
  <si>
    <t>Carriageway Function (description)</t>
  </si>
  <si>
    <t>Carriageway Function Description- for Carriageway Line#1 - multiple entries</t>
  </si>
  <si>
    <t xml:space="preserve">RBS_REF_TABLES. REF_TABLE_NAME = 'CWAY_FUNC' </t>
  </si>
  <si>
    <t>RBS_STRUCT_CWY_FUNC. CWY_FUNC_TYPE_CODE = rbs_ref_tables. reference code and rbs_ref_tables. ref_table_name = 'CWAY_FUNC'.</t>
  </si>
  <si>
    <t>Carriageway#1 - Vertical Clearances - Lane#1</t>
  </si>
  <si>
    <r>
      <t>Prescribed Direction From</t>
    </r>
    <r>
      <rPr>
        <sz val="11"/>
        <color theme="1"/>
        <rFont val="Calibri"/>
        <family val="2"/>
        <scheme val="minor"/>
      </rPr>
      <t xml:space="preserve"> &lt;Lane#1&gt;</t>
    </r>
  </si>
  <si>
    <t>Prescribed Direction From &lt;Carriageway#1&gt; - &lt;Lane#1&gt;</t>
  </si>
  <si>
    <t>TRAFFIC_FROM</t>
  </si>
  <si>
    <t>Prescribed Direction To</t>
  </si>
  <si>
    <t>Prescribed Direction To- for Carriageway Line#1</t>
  </si>
  <si>
    <t>TRAFFIC_TO</t>
  </si>
  <si>
    <t>Lane No</t>
  </si>
  <si>
    <t>Lane No - multiple entries</t>
  </si>
  <si>
    <t>RBS_CWAY_LANES</t>
  </si>
  <si>
    <t>LANE_NO</t>
  </si>
  <si>
    <t>In Prescribed Direction</t>
  </si>
  <si>
    <t>In Prescribed Direction - multiple entries</t>
  </si>
  <si>
    <t>IN_PRES_DIR_YN</t>
  </si>
  <si>
    <t>Permissible Vertical Clearance (m)</t>
  </si>
  <si>
    <t>Permissible Vertical Clearance (m) - multiple entries</t>
  </si>
  <si>
    <t>CLEARANCE_HEIGHT</t>
  </si>
  <si>
    <t>Signposted Vertical Clearance (m)</t>
  </si>
  <si>
    <t>Signposted Vertical Clearance (m) - multiple entries</t>
  </si>
  <si>
    <t>CLEARANCE_SIGN</t>
  </si>
  <si>
    <t>Comments for each carriageway</t>
  </si>
  <si>
    <t>COMMENTS</t>
  </si>
  <si>
    <t>Approach Road Carriageway Width (m)</t>
  </si>
  <si>
    <t>APPROACH_CWY_WIDTH</t>
  </si>
  <si>
    <t>Superstructure - Span Group</t>
  </si>
  <si>
    <t>Construction Data</t>
  </si>
  <si>
    <t>Year Comp. (YYYY)</t>
  </si>
  <si>
    <t>Year Comp Description</t>
  </si>
  <si>
    <t>RBS_STRUCT_CONSTRS</t>
  </si>
  <si>
    <t>YR_COMPLETED</t>
  </si>
  <si>
    <t>Est.</t>
  </si>
  <si>
    <t>Estimate (Y/N)</t>
  </si>
  <si>
    <t>ESTIMATE_YN</t>
  </si>
  <si>
    <t>Constr. Type</t>
  </si>
  <si>
    <t>Constr Type Description</t>
  </si>
  <si>
    <t>STRUCT_CONSTR_TYPE_CODE</t>
  </si>
  <si>
    <t>ref_tables. CONSTRTYPE</t>
  </si>
  <si>
    <t>Final Cost ($)</t>
  </si>
  <si>
    <t>Final Cost Description</t>
  </si>
  <si>
    <t>CONSTR_COST</t>
  </si>
  <si>
    <t>Drawings Data</t>
  </si>
  <si>
    <t>Drawing Number</t>
  </si>
  <si>
    <t>Drawing Number Description</t>
  </si>
  <si>
    <t>RBS_CONSTR_DRWGS</t>
  </si>
  <si>
    <t>DRWG_NUMBER</t>
  </si>
  <si>
    <t>Work As Executed</t>
  </si>
  <si>
    <t>Work As Description</t>
  </si>
  <si>
    <t>WORK_EXECUTED_YN</t>
  </si>
  <si>
    <t>Comments</t>
  </si>
  <si>
    <t>Design Loading Code</t>
  </si>
  <si>
    <t>Design Loading code</t>
  </si>
  <si>
    <t>DSGN_LOAD_CODE</t>
  </si>
  <si>
    <t>Design Loading Description</t>
  </si>
  <si>
    <t>Design Loading description</t>
  </si>
  <si>
    <t>Derived from RBS_CONSTR_DRWGS. DSGN_LOAD_CODE</t>
  </si>
  <si>
    <t>Links for Drawing Sets in Objective</t>
  </si>
  <si>
    <t>Objective ID</t>
  </si>
  <si>
    <t>Objective ID Description</t>
  </si>
  <si>
    <t>RBS_CONSTR_DRWG_LINKS</t>
  </si>
  <si>
    <t>LINK_ID</t>
  </si>
  <si>
    <t>Y</t>
  </si>
  <si>
    <t>EDM_FOLDERS</t>
  </si>
  <si>
    <t>TEXT_FILE_NUMBER</t>
  </si>
  <si>
    <t>Drawing description</t>
  </si>
  <si>
    <t>NAME</t>
  </si>
  <si>
    <t>Drawing Sheets</t>
  </si>
  <si>
    <t>Drawing Sheet</t>
  </si>
  <si>
    <t>Drawing Sheet Description</t>
  </si>
  <si>
    <t>Span Groups</t>
  </si>
  <si>
    <t>Span From</t>
  </si>
  <si>
    <t>Span From Description</t>
  </si>
  <si>
    <t>RBS_SUPSTR_SPAN_GRPS</t>
  </si>
  <si>
    <t>SPAN_FROM</t>
  </si>
  <si>
    <t>Span To</t>
  </si>
  <si>
    <t>Span To Description</t>
  </si>
  <si>
    <t>SPAN_TO</t>
  </si>
  <si>
    <t>Span Length (m)</t>
  </si>
  <si>
    <t>Individual Span Group Length</t>
  </si>
  <si>
    <t>SPAN_LEN</t>
  </si>
  <si>
    <t>Culvert Height (m)</t>
  </si>
  <si>
    <t>Culvert Height Description</t>
  </si>
  <si>
    <t>CULV_HGHT</t>
  </si>
  <si>
    <t>Span Material</t>
  </si>
  <si>
    <t>Span Material Description</t>
  </si>
  <si>
    <t>SPAN_MATL_CODE</t>
  </si>
  <si>
    <t>Span Type</t>
  </si>
  <si>
    <t>Span Type Description</t>
  </si>
  <si>
    <t>SPAN_TYPE_CODE</t>
  </si>
  <si>
    <t>Protective Coating</t>
  </si>
  <si>
    <t>Protective Coating Description</t>
  </si>
  <si>
    <t>PROT_COAT_TYPE_CODE (? No entries for BR2151 backend but exists in UI)</t>
  </si>
  <si>
    <t>Capitalisation Type</t>
  </si>
  <si>
    <t>Capitalisation Type Description</t>
  </si>
  <si>
    <t>STRUCT_CAPT_TYPE_CODE</t>
  </si>
  <si>
    <t>RBS_REF_TABLES</t>
  </si>
  <si>
    <r>
      <t xml:space="preserve">Overall Length (m) </t>
    </r>
    <r>
      <rPr>
        <sz val="11"/>
        <color theme="1"/>
        <rFont val="Calibri"/>
        <family val="2"/>
        <scheme val="minor"/>
      </rPr>
      <t>&lt;display only&gt;</t>
    </r>
  </si>
  <si>
    <t>OVERALL_LENGTH</t>
  </si>
  <si>
    <t>OVERALL_LENGTH is entered in "Superstructure/Deck(1)" screen.</t>
  </si>
  <si>
    <r>
      <t xml:space="preserve">Total Span Length (m) </t>
    </r>
    <r>
      <rPr>
        <sz val="11"/>
        <color theme="1"/>
        <rFont val="Calibri"/>
        <family val="2"/>
        <scheme val="minor"/>
      </rPr>
      <t>&lt;display only - calculated&gt;</t>
    </r>
  </si>
  <si>
    <t>RBS_SPAN_GRPS_VW</t>
  </si>
  <si>
    <t>TOTAL_SPAN_LENGTH</t>
  </si>
  <si>
    <t>TOTAL_SPAN_LENGTH is calculated in RBS_SPAN_GRPS_VW view.</t>
  </si>
  <si>
    <t>Span Group Remarks</t>
  </si>
  <si>
    <t>Span Group Description</t>
  </si>
  <si>
    <t>SPAN_GROUP_REMARKS</t>
  </si>
  <si>
    <t>Superstructure - Deck (1)</t>
  </si>
  <si>
    <t>Superstructure - Deck</t>
  </si>
  <si>
    <t>Footway Width LHS (m)</t>
  </si>
  <si>
    <t>Footway Width Left-Hand Side (LHS) in meter</t>
  </si>
  <si>
    <t>FTWAY_WIDTH_LHS</t>
  </si>
  <si>
    <t>Deck</t>
  </si>
  <si>
    <t>Footway Width RHS (m)</t>
  </si>
  <si>
    <t>Footway Width Right-Hand Side (RHS) in meter</t>
  </si>
  <si>
    <t>FTWAY_WIDTH_RHS</t>
  </si>
  <si>
    <t>Inner Barrier Width LHS (M)</t>
  </si>
  <si>
    <t>Inner Barrier Width Left-Hand Side (LHS) in meter</t>
  </si>
  <si>
    <t>INNER_BARR_WIDTH_LHS</t>
  </si>
  <si>
    <t>Inner Barrier Width RHS (M)</t>
  </si>
  <si>
    <t>Inner Barrier Width Right-Hand Side (RHS) in meter</t>
  </si>
  <si>
    <t>INNER_BARR_WIDTH_RHS</t>
  </si>
  <si>
    <t>Overall Width Min. (m)</t>
  </si>
  <si>
    <t>Overall Width Minimum</t>
  </si>
  <si>
    <t>OVERALL_MIN_DECK_WIDTH</t>
  </si>
  <si>
    <t>Overall Width Max. (m)</t>
  </si>
  <si>
    <t>Overall Width Maximum</t>
  </si>
  <si>
    <t>OVERALL_MAX_DECK_WIDTH</t>
  </si>
  <si>
    <t>Total Span Length in meter</t>
  </si>
  <si>
    <t>Overall Length (m)</t>
  </si>
  <si>
    <t>Deck - Overall Length (m)</t>
  </si>
  <si>
    <t>ALL. RD_OVERALLLNGTH shared Class/Characteristics</t>
  </si>
  <si>
    <r>
      <t xml:space="preserve">Deck Area (sq. m) </t>
    </r>
    <r>
      <rPr>
        <sz val="11"/>
        <color theme="1"/>
        <rFont val="Calibri"/>
        <family val="2"/>
        <scheme val="minor"/>
      </rPr>
      <t>&lt;display only&gt;</t>
    </r>
  </si>
  <si>
    <t>Deck Area in Square Meter</t>
  </si>
  <si>
    <t>ALL. RD_SRFACEAREA shared Class/Characteristics</t>
  </si>
  <si>
    <t>Skew Angle (degrees)</t>
  </si>
  <si>
    <t>Skew Angle in degrees</t>
  </si>
  <si>
    <t>SKEW_ANGLE</t>
  </si>
  <si>
    <t>Moveable Deck Span</t>
  </si>
  <si>
    <t>Moveable Deck Span Type</t>
  </si>
  <si>
    <t>MV_DECK_SPAN_TYPE_CODE</t>
  </si>
  <si>
    <t>Moveable Deck Span In use</t>
  </si>
  <si>
    <t>Moveable Deck Span In use (Indicator)</t>
  </si>
  <si>
    <t>MV_DECKSPAN_INUSE_YN</t>
  </si>
  <si>
    <t>Median</t>
  </si>
  <si>
    <t>Median Type</t>
  </si>
  <si>
    <t>Median Type Description</t>
  </si>
  <si>
    <t>DECK_MEDN_TYPE_CODE</t>
  </si>
  <si>
    <t>Median Height (m)</t>
  </si>
  <si>
    <t>Median Height Description</t>
  </si>
  <si>
    <t>MEDIAN_HT</t>
  </si>
  <si>
    <t>Min. Width (m)</t>
  </si>
  <si>
    <t>Min Width Description</t>
  </si>
  <si>
    <t>MEDIAN_MIN_WIDTH</t>
  </si>
  <si>
    <t>Max Width (m)</t>
  </si>
  <si>
    <t>Max Width Description</t>
  </si>
  <si>
    <t>MEDIAN_MAX_WIDTH</t>
  </si>
  <si>
    <t>Approach Road Alignment Satisfactory</t>
  </si>
  <si>
    <t>Approach Road Description</t>
  </si>
  <si>
    <t>RD_ALGN_OK_YN</t>
  </si>
  <si>
    <t>Approach Guardrail Satisfactory</t>
  </si>
  <si>
    <t>Approach Guardrail Description</t>
  </si>
  <si>
    <t>GUARD_OK_YN</t>
  </si>
  <si>
    <t>Girder</t>
  </si>
  <si>
    <t>No. of Longitudinal Girders (per Span)</t>
  </si>
  <si>
    <t>NO_OF_TIMBER_GIRDERS</t>
  </si>
  <si>
    <t>Girder Comments</t>
  </si>
  <si>
    <t>COMMENT_GIRDERS</t>
  </si>
  <si>
    <t>Lamps on Deck</t>
  </si>
  <si>
    <t>No. of Lamps</t>
  </si>
  <si>
    <t>No of Description</t>
  </si>
  <si>
    <t>NO_OF_LAMPS</t>
  </si>
  <si>
    <t>No. of Light Poles</t>
  </si>
  <si>
    <t>NO_OF_LAMP_POSTS</t>
  </si>
  <si>
    <t>COMMENT_LIGHTING</t>
  </si>
  <si>
    <t>Utility - Street Lighting - Owner</t>
  </si>
  <si>
    <t>rbs_util_services</t>
  </si>
  <si>
    <t>work_auth_code</t>
  </si>
  <si>
    <t>Lookup [REFERENCE_DESCR1] from [rbs_ref_tables] where ref_table_name = ''UTIL_OWNER' and reference_code = rbs_util_service. Util_serv_type_code</t>
  </si>
  <si>
    <t>see UI Screen = [Utility Services] where Utility Type = L - Electricity Street Lighting</t>
  </si>
  <si>
    <t>Utility - Street Lighting - Agreement Date</t>
  </si>
  <si>
    <t>agreement_date</t>
  </si>
  <si>
    <t>Light Poles Information - Controlled by</t>
  </si>
  <si>
    <t>Light Poles Description</t>
  </si>
  <si>
    <t>LAMP_POST_CONTROLLED_BY</t>
  </si>
  <si>
    <t>Light Poles Information - Inspected by</t>
  </si>
  <si>
    <t>LAMP_POST_INSPECTED_BY</t>
  </si>
  <si>
    <t>Light Poles Information - Maintained by</t>
  </si>
  <si>
    <t>LAMP_POST_MAINTAINED_BY</t>
  </si>
  <si>
    <t>Light Pole Details</t>
  </si>
  <si>
    <t>Light Pole ID From</t>
  </si>
  <si>
    <t>Light Pole Description</t>
  </si>
  <si>
    <t>RBS_STRUCT_LAMP_POSTS</t>
  </si>
  <si>
    <t>START_LAMP_POST_ID</t>
  </si>
  <si>
    <t>Light Pole ID To</t>
  </si>
  <si>
    <t>END_LAMP_POST_ID</t>
  </si>
  <si>
    <t>Light Pole Type</t>
  </si>
  <si>
    <t>POST_TYPE</t>
  </si>
  <si>
    <t>Light Pole Height</t>
  </si>
  <si>
    <t>HEIGHT</t>
  </si>
  <si>
    <t>Light Pole Outreach</t>
  </si>
  <si>
    <t>OUTREACH</t>
  </si>
  <si>
    <t>Light Pole - Year Installed</t>
  </si>
  <si>
    <t>INSTALLED_YEAR</t>
  </si>
  <si>
    <t xml:space="preserve">Light Pole Comments (Notes, Drawing No., Specification etc.) </t>
  </si>
  <si>
    <t>Light Pole - Comments Notes</t>
  </si>
  <si>
    <t>Superstructure - Deck (2)</t>
  </si>
  <si>
    <t>Structure Barrier</t>
  </si>
  <si>
    <t>Required Barrier Capacity</t>
  </si>
  <si>
    <t>REQ_BARR_LEVEL</t>
  </si>
  <si>
    <t>Maximum Possible Upgrade Level</t>
  </si>
  <si>
    <t>Barrier Maximum Possible Upgrade Level</t>
  </si>
  <si>
    <t>MAX_BARR_CAPACITY</t>
  </si>
  <si>
    <t>Existing Level</t>
  </si>
  <si>
    <t>Barrier Existing Level</t>
  </si>
  <si>
    <t>EXISTING_BARR_DEFICIENCY</t>
  </si>
  <si>
    <t>Existing Barrier Deficiency</t>
  </si>
  <si>
    <t>calculated (tbc)</t>
  </si>
  <si>
    <t>unknown</t>
  </si>
  <si>
    <t>Calculated? = [Max Possible Upgrade Level] - [Existing Level]??</t>
  </si>
  <si>
    <t>Barrier Type</t>
  </si>
  <si>
    <t>Barrier Type code</t>
  </si>
  <si>
    <t>rbs_struct_barriers</t>
  </si>
  <si>
    <t>struct_barr_type_code</t>
  </si>
  <si>
    <t>Barrier Type (description)</t>
  </si>
  <si>
    <t>Barrier Type Description</t>
  </si>
  <si>
    <t>Barrier Height (m)</t>
  </si>
  <si>
    <t xml:space="preserve">Barrier Height </t>
  </si>
  <si>
    <t>barr_ht</t>
  </si>
  <si>
    <t>Barrier Material</t>
  </si>
  <si>
    <t>Barrier Material Code</t>
  </si>
  <si>
    <t>rbs_barr_matl</t>
  </si>
  <si>
    <t>barr_matl_code</t>
  </si>
  <si>
    <t>Barrier Material (description)</t>
  </si>
  <si>
    <t>Barrier Material Description</t>
  </si>
  <si>
    <t>lookup using rbs_barr_matl. Barr_matl_code</t>
  </si>
  <si>
    <t>Barrier Protective Coating</t>
  </si>
  <si>
    <t>Barrier Protective Coating code</t>
  </si>
  <si>
    <t>PROT_COAT_TYPE_CODE</t>
  </si>
  <si>
    <t>Barrier Protective Coating (description)</t>
  </si>
  <si>
    <t>Barrier Protective Coating description</t>
  </si>
  <si>
    <t>lookup using rbs_barr_matl. PROT_COAT_TYPE_CODE</t>
  </si>
  <si>
    <t>Wearing Surface Material</t>
  </si>
  <si>
    <t>Deck Wearing Surface Material code</t>
  </si>
  <si>
    <t>rbs_struct_surf_matl</t>
  </si>
  <si>
    <t>deck_wear_matl_code</t>
  </si>
  <si>
    <t>Deck Wearing Surface Material (desc)</t>
  </si>
  <si>
    <t>Deck Wearing Surface Material description</t>
  </si>
  <si>
    <t>Deck Material</t>
  </si>
  <si>
    <t>Deck Material Type code</t>
  </si>
  <si>
    <t>rbs_struct_deck_matl</t>
  </si>
  <si>
    <t>deck_matl_code</t>
  </si>
  <si>
    <t>Deck Material Type (desc)</t>
  </si>
  <si>
    <t>Deck Material Type description</t>
  </si>
  <si>
    <t>rbs_ref_tables. ref_table_name = DECKJNTYPE</t>
  </si>
  <si>
    <t>Deck Joint Type</t>
  </si>
  <si>
    <t>Deck Joint Type code</t>
  </si>
  <si>
    <t>rbs_deck_join_on_supstr</t>
  </si>
  <si>
    <t>deck_join_type_code</t>
  </si>
  <si>
    <t>Deck Joint Type (desc)</t>
  </si>
  <si>
    <t>Deck Joint Type description</t>
  </si>
  <si>
    <t>Deck Joint - No of Joints</t>
  </si>
  <si>
    <t>Deck Joint Description</t>
  </si>
  <si>
    <t>no_of_joints</t>
  </si>
  <si>
    <t>Deck Continuity Type</t>
  </si>
  <si>
    <t>Deck Continuity Description</t>
  </si>
  <si>
    <t>RBS_STRUCT_DECK_CONT</t>
  </si>
  <si>
    <t>Joint Type Details</t>
  </si>
  <si>
    <t>Joint Location</t>
  </si>
  <si>
    <t>RBS_STRUCT_JOINT_TYPES</t>
  </si>
  <si>
    <t>JOINT_LOCATION</t>
  </si>
  <si>
    <t>ID</t>
  </si>
  <si>
    <t>Joint ID</t>
  </si>
  <si>
    <t>JOINT_LOCATION_ID</t>
  </si>
  <si>
    <t>Brand Name</t>
  </si>
  <si>
    <t>Joint Brand Name Code</t>
  </si>
  <si>
    <t>JOINT _BRAND_CODE</t>
  </si>
  <si>
    <t>Brand Name (Description)</t>
  </si>
  <si>
    <t>Brand Name Description</t>
  </si>
  <si>
    <t>JOINT_BRAND_CODE</t>
  </si>
  <si>
    <t>lookup using RBS_STRUCT_JOINT_TYPES. JOINT_BRAND_CODE as key</t>
  </si>
  <si>
    <t>Product/Model</t>
  </si>
  <si>
    <t>Product Model Description</t>
  </si>
  <si>
    <t>PRODUCT_MODEL</t>
  </si>
  <si>
    <t>Year of Installation</t>
  </si>
  <si>
    <t>YEAR_OF_INSTALL</t>
  </si>
  <si>
    <t>Joint Type Comments</t>
  </si>
  <si>
    <t>JOINT_TYPE_COMMENTS</t>
  </si>
  <si>
    <t>Utility Services</t>
  </si>
  <si>
    <t>Utility Type code</t>
  </si>
  <si>
    <t>util_serv_type_code</t>
  </si>
  <si>
    <t>Utility Type (desc)</t>
  </si>
  <si>
    <t>Lookup [REFERENCE_DESCR1] from [rbs_ref_tables] where ref_table_name = 'UTILSRVICE' and reference_code = rbs_util_service. Util_serv_type_code</t>
  </si>
  <si>
    <t>Utility Owner code</t>
  </si>
  <si>
    <t>Utility Owner (desc)</t>
  </si>
  <si>
    <t>Utility - No. off/Size</t>
  </si>
  <si>
    <t>util_descr</t>
  </si>
  <si>
    <t>Agreement Date (DD-MMM-YYYY)</t>
  </si>
  <si>
    <t>Utility Agreement Date</t>
  </si>
  <si>
    <t>Substructure</t>
  </si>
  <si>
    <t>Substructure (tabsheet)</t>
  </si>
  <si>
    <t>Year Completed (YYYY)</t>
  </si>
  <si>
    <t>Year Completed Description</t>
  </si>
  <si>
    <t>rbs_substructures</t>
  </si>
  <si>
    <t>Construction Type</t>
  </si>
  <si>
    <t>Construction Type code</t>
  </si>
  <si>
    <t>Construction Type (desc)</t>
  </si>
  <si>
    <t>Construction Type Description</t>
  </si>
  <si>
    <t>Abutment/Pier</t>
  </si>
  <si>
    <t>Abutment / Pier code</t>
  </si>
  <si>
    <t>abut_or_pier</t>
  </si>
  <si>
    <t>Abut/Pier From</t>
  </si>
  <si>
    <t>Abutment / Pier - Number From</t>
  </si>
  <si>
    <t>substr_id_from</t>
  </si>
  <si>
    <t>Abut/Pier To</t>
  </si>
  <si>
    <t>Abutment / Pier - Number To</t>
  </si>
  <si>
    <t>substr_id_to</t>
  </si>
  <si>
    <t>Bearing</t>
  </si>
  <si>
    <t>Bearing Type</t>
  </si>
  <si>
    <t>Bearing Type code</t>
  </si>
  <si>
    <t>rbs_bear_on_substr</t>
  </si>
  <si>
    <t>substr_bear_type_code</t>
  </si>
  <si>
    <t>Bearing Type (desc)</t>
  </si>
  <si>
    <t>Bearing Type description</t>
  </si>
  <si>
    <t>Bearing No. Off</t>
  </si>
  <si>
    <t>Number of Bearing</t>
  </si>
  <si>
    <t>no_of_bear</t>
  </si>
  <si>
    <t>Bearing Support Type</t>
  </si>
  <si>
    <t>Bearing Support Type code</t>
  </si>
  <si>
    <t>bear_supp_type_code</t>
  </si>
  <si>
    <t>Bearing Support Type (desc)</t>
  </si>
  <si>
    <t>Bearing Support Type description</t>
  </si>
  <si>
    <t>Abutment Material</t>
  </si>
  <si>
    <t>Abutment Material code</t>
  </si>
  <si>
    <t>rbs_substr_constrs</t>
  </si>
  <si>
    <t>substr_matl_code</t>
  </si>
  <si>
    <t>varchar(6)</t>
  </si>
  <si>
    <t>Use Substructure_id to link with rbs_substr_constrs table.</t>
  </si>
  <si>
    <t>Use rbs_substructures. Abut_or_pier = 'A' for Abutment and use  Substructure_id to link with rbs_substr_constrs table.</t>
  </si>
  <si>
    <t>Abutment Material (desc)</t>
  </si>
  <si>
    <t>Abutment Material description</t>
  </si>
  <si>
    <t>varchar(100)</t>
  </si>
  <si>
    <t>Use rbs_ref_tables. ref_table_name = 'SUBCONMATR'</t>
  </si>
  <si>
    <t>Use rbs_ref_tables. ref_table_name = 'SUBCONMATR' to find the text description ref_table_name. reference_code.</t>
  </si>
  <si>
    <t>Abutment Type</t>
  </si>
  <si>
    <t>Abutment Type code</t>
  </si>
  <si>
    <t>substr_type_code</t>
  </si>
  <si>
    <t>Abutment Type (desc)</t>
  </si>
  <si>
    <t>Abutment Type description</t>
  </si>
  <si>
    <t>Use rbs_ref_tables. ref_table_name = 'SUBSTRTYPE'</t>
  </si>
  <si>
    <t xml:space="preserve">Use rbs_ref_tables. ref_table_name = 'SUBSTRTYPE' to find the text description ref_table_name. reference_code. </t>
  </si>
  <si>
    <t>Pier Material</t>
  </si>
  <si>
    <t>Pier Material code</t>
  </si>
  <si>
    <t>Use rbs_substructures. Abut_or_pier = 'P' for Pier and use  Substructure_id to link with rbs_substr_constrs table.</t>
  </si>
  <si>
    <t>Pier Material (desc)</t>
  </si>
  <si>
    <t>Pier Material description</t>
  </si>
  <si>
    <t>Use rbs_ref_tables. ref_table_name = 'SUBCONMATR' to find the text description (ref_table_name. reference_code field).</t>
  </si>
  <si>
    <t>Pier Type</t>
  </si>
  <si>
    <t>Pier Type code</t>
  </si>
  <si>
    <t>Pier Type (desc)</t>
  </si>
  <si>
    <t>Pier Type description</t>
  </si>
  <si>
    <t>Abut/Pier - Footing</t>
  </si>
  <si>
    <t>Footing Material</t>
  </si>
  <si>
    <t>Abut/Pier - Footing Material code</t>
  </si>
  <si>
    <t>rbs_substr_footings</t>
  </si>
  <si>
    <t>Use Substructure_id field to link with rbs_substructures table.</t>
  </si>
  <si>
    <t>Footing Material (desc)</t>
  </si>
  <si>
    <t>Abut/Pier - Footing Material description</t>
  </si>
  <si>
    <t>Footing Type</t>
  </si>
  <si>
    <t>Abut/Pier - Footing Type code</t>
  </si>
  <si>
    <t>SUBSTR_FT_TYPE_CODE</t>
  </si>
  <si>
    <t>Footing Type (desc)</t>
  </si>
  <si>
    <t>Abut/Pier - Footing Type description</t>
  </si>
  <si>
    <t>Use rbs_ref_tables. ref_table_name = 'FOOTNGTYPE'</t>
  </si>
  <si>
    <t>Use rbs_ref_tables. ref_table_name = 'FOOTNGTYPE' to find the text description (ref_table_name. reference_code field).</t>
  </si>
  <si>
    <t>Abut/Pier  -Batter/Streambed Protection</t>
  </si>
  <si>
    <t>Batter Protection Type</t>
  </si>
  <si>
    <t>Abut/Pier - Batter Protection code</t>
  </si>
  <si>
    <t>rbs_embank_prot</t>
  </si>
  <si>
    <t>embank_prot_type_code</t>
  </si>
  <si>
    <t>Batter Protection Type (desc)</t>
  </si>
  <si>
    <t>Abut/Pier - Batter Protection description</t>
  </si>
  <si>
    <t>Use rbs_ref_tables. ref_table_name = 'EMBANK_PRO'</t>
  </si>
  <si>
    <t>Use rbs_ref_tables. ref_table_name = 'EMBANK_PRO' to find the text description (ref_table_name. reference_code field).</t>
  </si>
  <si>
    <t>Abut/Pier Protective Coating</t>
  </si>
  <si>
    <t>Abut/Pier - Protective Coating code</t>
  </si>
  <si>
    <t>PROTCOATS</t>
  </si>
  <si>
    <t>Abut/Pier Protective Coating (desc)</t>
  </si>
  <si>
    <t>Abut/Pier - Protective Coating description</t>
  </si>
  <si>
    <t>Use rbs_ref_tables. ref_table_name = 'PROTCOATS'</t>
  </si>
  <si>
    <t>Use rbs_ref_tables. ref_table_name = 'PROTCOATS' to find the text description (ref_table_name. reference_code field).</t>
  </si>
  <si>
    <t>Bed Level/Scour Details (tabsheet)</t>
  </si>
  <si>
    <t>Abutment/Pier Number</t>
  </si>
  <si>
    <t>Abutment Pier Number</t>
  </si>
  <si>
    <t>rbs_struct_pier</t>
  </si>
  <si>
    <t>Original Bed Level (AHD Australian Height Datum in metre)</t>
  </si>
  <si>
    <t>Original Bed Description</t>
  </si>
  <si>
    <t>Scour Warning Bed Level (AHD Australian Height Datum in metre)</t>
  </si>
  <si>
    <t>Scour Warning Description</t>
  </si>
  <si>
    <t>Structurally Critical Bed Level (AHD Australian Height Datum in metre)</t>
  </si>
  <si>
    <t>Structurally Critical Description</t>
  </si>
  <si>
    <t>Month/Year Inspection (MMM-YYYY)</t>
  </si>
  <si>
    <t>Month Year Description</t>
  </si>
  <si>
    <t>rbs_pier_insp</t>
  </si>
  <si>
    <t>Bed Level Up stream</t>
  </si>
  <si>
    <t>Bed Level Description</t>
  </si>
  <si>
    <t>Bed Level Down stream</t>
  </si>
  <si>
    <t>Overview (tab)</t>
  </si>
  <si>
    <t>(Bed Level measurement in table view)</t>
  </si>
  <si>
    <t>Waterway</t>
  </si>
  <si>
    <t>Deck Above NWL (m)</t>
  </si>
  <si>
    <t>Deck Above Description</t>
  </si>
  <si>
    <t>rbs_wwy_und_struct</t>
  </si>
  <si>
    <t>DECK_HGHT_ABV_NWL</t>
  </si>
  <si>
    <t>Deck Above/Below HFL (m)</t>
  </si>
  <si>
    <t>DECK_HGHT_ABV_BLW_HFL</t>
  </si>
  <si>
    <t>HFL Observerd Year (YYYY)</t>
  </si>
  <si>
    <t>HFL Observerd Description</t>
  </si>
  <si>
    <t>YR_HFL_OBSV</t>
  </si>
  <si>
    <t>Catchment Area (sq.km.)</t>
  </si>
  <si>
    <t>Catchment Area Description</t>
  </si>
  <si>
    <t>CATCHMENT_AREA</t>
  </si>
  <si>
    <t>Min. Vertical Navig. Clearance (m)</t>
  </si>
  <si>
    <t>Min Vertical Description</t>
  </si>
  <si>
    <t>VERT_NAVI_CLEAR</t>
  </si>
  <si>
    <t>Min. Horizontal Naviga. Clearance (m)</t>
  </si>
  <si>
    <t>Min Horizontal Description</t>
  </si>
  <si>
    <t>HRZN_NAVI_CLEAR</t>
  </si>
  <si>
    <t>comt_on_flood</t>
  </si>
  <si>
    <t>Stream Type</t>
  </si>
  <si>
    <t>Stream Type Description</t>
  </si>
  <si>
    <t>yes</t>
  </si>
  <si>
    <t>rbs_wwy_strm_types</t>
  </si>
  <si>
    <t>strm_type_code</t>
  </si>
  <si>
    <t>Unserviceable or Structurally Deficient Structure</t>
  </si>
  <si>
    <t>Nature of Deficiency</t>
  </si>
  <si>
    <t>STRUCT_DEFIC_CODE</t>
  </si>
  <si>
    <t>Dated from</t>
  </si>
  <si>
    <t>FROM_DATE</t>
  </si>
  <si>
    <t>Date Deficiency Corrected</t>
  </si>
  <si>
    <t>END_DATE</t>
  </si>
  <si>
    <t>Temporary Provision</t>
  </si>
  <si>
    <t>RBS_DEFIC_PROV</t>
  </si>
  <si>
    <t>PROV_DEFIC_STRUCT_CODE</t>
  </si>
  <si>
    <t>Posted Load Limit for Rigid Trucks (t)</t>
  </si>
  <si>
    <t>LOAD_LMT_TRUCK</t>
  </si>
  <si>
    <t>Posted Load Limit for Semitrailers (t)</t>
  </si>
  <si>
    <t>LOAD_LMT_SEMITRL</t>
  </si>
  <si>
    <t>Detour Length (km)</t>
  </si>
  <si>
    <t>DET_LEN</t>
  </si>
  <si>
    <t>Detour Capable of Carrying Vehicles Exceeding 42.5t Gross</t>
  </si>
  <si>
    <r>
      <rPr>
        <b/>
        <sz val="10"/>
        <color theme="1"/>
        <rFont val="Calibri"/>
        <family val="2"/>
        <scheme val="minor"/>
      </rPr>
      <t>Detour</t>
    </r>
    <r>
      <rPr>
        <sz val="10"/>
        <color theme="1"/>
        <rFont val="Calibri"/>
        <family val="2"/>
        <scheme val="minor"/>
      </rPr>
      <t xml:space="preserve"> Capable of Carrying Vehicles Exceeding 42.5t Gross</t>
    </r>
  </si>
  <si>
    <t>DET_CARRY_OVER_425T_YN</t>
  </si>
  <si>
    <t>Max. Axle Load on Detour for Vehicles Exceeding 42.5t Gross</t>
  </si>
  <si>
    <t>MAX_AXLE_LOAD</t>
  </si>
  <si>
    <t>Details of Route Capable of Carrying Vehicles Exceeding 42.5t Gross</t>
  </si>
  <si>
    <r>
      <rPr>
        <b/>
        <sz val="10"/>
        <color theme="1"/>
        <rFont val="Calibri"/>
        <family val="2"/>
        <scheme val="minor"/>
      </rPr>
      <t>Details</t>
    </r>
    <r>
      <rPr>
        <sz val="10"/>
        <color theme="1"/>
        <rFont val="Calibri"/>
        <family val="2"/>
        <scheme val="minor"/>
      </rPr>
      <t xml:space="preserve"> of Route Capable of Carrying Vehicles Exceeding 42.5t Gross</t>
    </r>
  </si>
  <si>
    <t>DET_ROUTE_DTL</t>
  </si>
  <si>
    <t>Repairs Proposal</t>
  </si>
  <si>
    <t>REPR_PROP_TYPE_CODE</t>
  </si>
  <si>
    <t>Estimated Cost ($)</t>
  </si>
  <si>
    <t>EST_COST</t>
  </si>
  <si>
    <t>Programme Year (YYYY)</t>
  </si>
  <si>
    <t>FIN_YR_PROG</t>
  </si>
  <si>
    <t>Comments for Deficient Structure</t>
  </si>
  <si>
    <t>Load Capacity</t>
  </si>
  <si>
    <r>
      <t xml:space="preserve">On B-Double Route </t>
    </r>
    <r>
      <rPr>
        <sz val="11"/>
        <color theme="1"/>
        <rFont val="Calibri"/>
        <family val="2"/>
        <scheme val="minor"/>
      </rPr>
      <t>&lt;checkbox - display only&gt;</t>
    </r>
  </si>
  <si>
    <t>On B Description</t>
  </si>
  <si>
    <t>Route Assessment (tabsheet)</t>
  </si>
  <si>
    <t>Analysed Vehicle Configuration</t>
  </si>
  <si>
    <t>Analysed Vehicle Description</t>
  </si>
  <si>
    <t>RBS_STRUCT_LOAD_CAPS</t>
  </si>
  <si>
    <t>VEH_CONFIG</t>
  </si>
  <si>
    <t>Use rbs_ref_tables. ref_table_name = 'VEH_CONFIG'</t>
  </si>
  <si>
    <t>Vehicle Category</t>
  </si>
  <si>
    <t>Vehicle Category Description</t>
  </si>
  <si>
    <t>Retrieve REFERENCE_DESCR2 field from  rbs_ref_tables where ref_table_name = 'VEH_CONFIG' and REF_TABLE_NAME= [RBS_STRUCT_LOAD_CAPS. Veh_config]</t>
  </si>
  <si>
    <t>Vehicle Config. Description</t>
  </si>
  <si>
    <t>Vehicle Config Description</t>
  </si>
  <si>
    <t>Retrieve REFERENCE_DESCR1 field from  rbs_ref_tables where ref_table_name = 'VEH_CONFIG' and REF_TABLE_NAME= [RBS_STRUCT_LOAD_CAPS. Veh_config]</t>
  </si>
  <si>
    <t>Approved (radio button)</t>
  </si>
  <si>
    <t>Approved radio Description</t>
  </si>
  <si>
    <t>APPROVED_YN</t>
  </si>
  <si>
    <t>Not Approved (radio button)</t>
  </si>
  <si>
    <t>Not Approved Description</t>
  </si>
  <si>
    <t>Not Assessed (radio button)</t>
  </si>
  <si>
    <t>Not Assessed Description</t>
  </si>
  <si>
    <t>Not Applicable (radio button)</t>
  </si>
  <si>
    <t>Not Applicable Description</t>
  </si>
  <si>
    <t>Date Approved</t>
  </si>
  <si>
    <t>Date Approved Description</t>
  </si>
  <si>
    <t>APPROVED_DATE</t>
  </si>
  <si>
    <t>Date Updated in BIS</t>
  </si>
  <si>
    <t>Date Updated Description</t>
  </si>
  <si>
    <t>ENTRY_DATE</t>
  </si>
  <si>
    <t>Cost of Upgrade</t>
  </si>
  <si>
    <t>Cost of Description</t>
  </si>
  <si>
    <t>rbs_structures</t>
  </si>
  <si>
    <t>UPGRADE_COST</t>
  </si>
  <si>
    <t>Comments on Route Assessment</t>
  </si>
  <si>
    <t>Comments on Description</t>
  </si>
  <si>
    <t>ROUTE_ASSESS_COMMENT</t>
  </si>
  <si>
    <t>List of Vehicle Configurations (button)</t>
  </si>
  <si>
    <t>The button opens pdf document in web browser.</t>
  </si>
  <si>
    <t>n/a</t>
  </si>
  <si>
    <t>http://ofm-prod-weblogic.itservices.rms.nsw.gov.au:7777/webreports/rbs_insp/HML_fact_sheet.pdf</t>
  </si>
  <si>
    <t>Load Rating Assessment (tabsheet inactive)</t>
  </si>
  <si>
    <t>Load Rating Assessment (display only)</t>
  </si>
  <si>
    <t>Load Rating Description</t>
  </si>
  <si>
    <t>Issues/Special Features</t>
  </si>
  <si>
    <t>Issues/Special Features (tabsheet)</t>
  </si>
  <si>
    <t>Feature/Issue</t>
  </si>
  <si>
    <t>Feature Issue Description</t>
  </si>
  <si>
    <t>Coating/Paint History (tabsheet)</t>
  </si>
  <si>
    <t>Year</t>
  </si>
  <si>
    <t>Structural part Coated</t>
  </si>
  <si>
    <t>Structural part Description</t>
  </si>
  <si>
    <t>Predominant Coating Type</t>
  </si>
  <si>
    <t>Predominant Coating Description</t>
  </si>
  <si>
    <t>Paint Thickness (DFT in microns)</t>
  </si>
  <si>
    <t>Paint Thickness Description</t>
  </si>
  <si>
    <t>Monitoring System/Gantries (tabsheet)</t>
  </si>
  <si>
    <t>Monitoring System</t>
  </si>
  <si>
    <t>Monitoring System Description</t>
  </si>
  <si>
    <t>Monitor ID</t>
  </si>
  <si>
    <t>Monitor ID Description</t>
  </si>
  <si>
    <t>Structure Part Monitored</t>
  </si>
  <si>
    <t>Structure Part Description</t>
  </si>
  <si>
    <t>Monitoring Type</t>
  </si>
  <si>
    <t>Monitoring Type Description</t>
  </si>
  <si>
    <t>Management System (Y/N)</t>
  </si>
  <si>
    <t>Management System Description</t>
  </si>
  <si>
    <t>Managed By</t>
  </si>
  <si>
    <t>Managed By Description</t>
  </si>
  <si>
    <t>Gantry No</t>
  </si>
  <si>
    <t>Gantry No Description</t>
  </si>
  <si>
    <t>Safe Working Load (kg.)</t>
  </si>
  <si>
    <t>Safe Working Description</t>
  </si>
  <si>
    <t>MEH Components</t>
  </si>
  <si>
    <t>Inventory &lt;tabsheet&gt;</t>
  </si>
  <si>
    <t>Main-Component</t>
  </si>
  <si>
    <t>Main Component Description</t>
  </si>
  <si>
    <t>Component Name</t>
  </si>
  <si>
    <t>Component Name Description</t>
  </si>
  <si>
    <t>Component ID</t>
  </si>
  <si>
    <t>Component ID Description</t>
  </si>
  <si>
    <t>Electrical (checkbox)</t>
  </si>
  <si>
    <t>Electrical checkbox Description</t>
  </si>
  <si>
    <t>Mechanical (checkbox)</t>
  </si>
  <si>
    <t>Mechanical checkbox Description</t>
  </si>
  <si>
    <t>Hydraulic (checkbox)</t>
  </si>
  <si>
    <t>Hydraulic checkbox Description</t>
  </si>
  <si>
    <t>Make</t>
  </si>
  <si>
    <t>Model</t>
  </si>
  <si>
    <t>Sub Type</t>
  </si>
  <si>
    <t>Sub Type Description</t>
  </si>
  <si>
    <t>Serial No.</t>
  </si>
  <si>
    <t>Serial No Description</t>
  </si>
  <si>
    <t>No of Items</t>
  </si>
  <si>
    <t>No of items Description</t>
  </si>
  <si>
    <t>Part No.</t>
  </si>
  <si>
    <t>Part No Description</t>
  </si>
  <si>
    <t>Supplier</t>
  </si>
  <si>
    <t>Component Location</t>
  </si>
  <si>
    <t>Component Location Description</t>
  </si>
  <si>
    <t>Ratings</t>
  </si>
  <si>
    <t>Location Stored</t>
  </si>
  <si>
    <t>Location Stored Description</t>
  </si>
  <si>
    <t>Shelf Life (in years)</t>
  </si>
  <si>
    <t>Shelf Life Description</t>
  </si>
  <si>
    <t>Other Attributes</t>
  </si>
  <si>
    <t>Other Attributes Description</t>
  </si>
  <si>
    <t>Plan ID</t>
  </si>
  <si>
    <t>Plan ID Description</t>
  </si>
  <si>
    <t>Drawing Refeence</t>
  </si>
  <si>
    <t>Drawing Refeence Description</t>
  </si>
  <si>
    <t>Drawing Name</t>
  </si>
  <si>
    <t>Drawing Name Description</t>
  </si>
  <si>
    <t>Drawing Location</t>
  </si>
  <si>
    <t>Drawing Location Description</t>
  </si>
  <si>
    <t>Image Additional</t>
  </si>
  <si>
    <t>Image Additional Description</t>
  </si>
  <si>
    <t>Drive System</t>
  </si>
  <si>
    <t>Drive System Description</t>
  </si>
  <si>
    <t>Inspection &lt;tabsheet&gt;</t>
  </si>
  <si>
    <t>Insp Frequency</t>
  </si>
  <si>
    <t>Insp Frequency Description</t>
  </si>
  <si>
    <t>Comp Type</t>
  </si>
  <si>
    <t>Comp Type Description</t>
  </si>
  <si>
    <t>Componenet Description</t>
  </si>
  <si>
    <t>Componenet Description Description</t>
  </si>
  <si>
    <t>Tasklisk Group No</t>
  </si>
  <si>
    <t>Tasklisk Group Description</t>
  </si>
  <si>
    <t>Insp. Task List</t>
  </si>
  <si>
    <t>Insp Task Description</t>
  </si>
  <si>
    <t>Contacts</t>
  </si>
  <si>
    <t>Contact Group</t>
  </si>
  <si>
    <t>Contact Group Description</t>
  </si>
  <si>
    <t>Seq</t>
  </si>
  <si>
    <t>Contact Name</t>
  </si>
  <si>
    <t>Contact Name Description</t>
  </si>
  <si>
    <t>Contact Number 1</t>
  </si>
  <si>
    <t>Contact Number Description</t>
  </si>
  <si>
    <t>Contact Details</t>
  </si>
  <si>
    <t>Primary Contact</t>
  </si>
  <si>
    <t>Primary Contact Description</t>
  </si>
  <si>
    <t>rbs_non_rms_details</t>
  </si>
  <si>
    <t>Organisation</t>
  </si>
  <si>
    <t>Position</t>
  </si>
  <si>
    <t>Phone Number</t>
  </si>
  <si>
    <t>Phone Number Description</t>
  </si>
  <si>
    <t>Mobile Number</t>
  </si>
  <si>
    <t>Mobile Number Description</t>
  </si>
  <si>
    <t>Address</t>
  </si>
  <si>
    <t>Email Address</t>
  </si>
  <si>
    <t>Email Address Description</t>
  </si>
  <si>
    <t>Comment</t>
  </si>
  <si>
    <t>Bridge Elements</t>
  </si>
  <si>
    <t>Element Type</t>
  </si>
  <si>
    <t>Element Type Description</t>
  </si>
  <si>
    <t>rbs_struct_elt</t>
  </si>
  <si>
    <t>struct_elt_type_code</t>
  </si>
  <si>
    <t>RBS_STRUCT_ELT_TYPES</t>
  </si>
  <si>
    <t>inspection</t>
  </si>
  <si>
    <t>comments</t>
  </si>
  <si>
    <t>Environment</t>
  </si>
  <si>
    <t>Environment Exposure</t>
  </si>
  <si>
    <t>env_expo_type_code</t>
  </si>
  <si>
    <t>rbs_ref_tables where ref_table_name = 'ENVRN_EXPO'</t>
  </si>
  <si>
    <t>Total Quantity</t>
  </si>
  <si>
    <t>Total Quantity Description</t>
  </si>
  <si>
    <t>tot_qty</t>
  </si>
  <si>
    <t>Units</t>
  </si>
  <si>
    <t>rbs_struct_elt_types</t>
  </si>
  <si>
    <t>Current Element?</t>
  </si>
  <si>
    <t>Current Element Description</t>
  </si>
  <si>
    <t>Inspection Equipments</t>
  </si>
  <si>
    <t>Equipment Code</t>
  </si>
  <si>
    <t>Equipment Code Description</t>
  </si>
  <si>
    <t>Equipment Description</t>
  </si>
  <si>
    <t>Equipment Description Description</t>
  </si>
  <si>
    <t>List of Inspections</t>
  </si>
  <si>
    <t>Inspection (Main Screen)</t>
  </si>
  <si>
    <t>Inspection Date (DD-MMM-YYYY)</t>
  </si>
  <si>
    <t>Inspection Date Description</t>
  </si>
  <si>
    <t>RBS_STRUCT_INSP</t>
  </si>
  <si>
    <t>INSP_DATE</t>
  </si>
  <si>
    <t>Level of Inspection</t>
  </si>
  <si>
    <t>Level of Description</t>
  </si>
  <si>
    <t>level_insp</t>
  </si>
  <si>
    <t>rbs_ref_tables where ref_table_name = 'INSP_LVL'</t>
  </si>
  <si>
    <t>Inspection Type</t>
  </si>
  <si>
    <t>Inspection Type Description</t>
  </si>
  <si>
    <t>insp_type_code</t>
  </si>
  <si>
    <t>rbs_ref_tables where ref_table_name = 'INSPECTYPE'</t>
  </si>
  <si>
    <t>Initials Inspector</t>
  </si>
  <si>
    <t>Initials Inspector Description</t>
  </si>
  <si>
    <t>inspr_initials</t>
  </si>
  <si>
    <t>Inspector's name</t>
  </si>
  <si>
    <t>Inspector's name Description</t>
  </si>
  <si>
    <t>Initials Engineer</t>
  </si>
  <si>
    <t>Initials Engineer Description</t>
  </si>
  <si>
    <t xml:space="preserve">rbs_ref_table where ref_table_name = 'INSPECTOR' </t>
  </si>
  <si>
    <t>Engineer's Name</t>
  </si>
  <si>
    <t>Engineer's Name Description</t>
  </si>
  <si>
    <t>Temperature - C</t>
  </si>
  <si>
    <t>Temperature C Description</t>
  </si>
  <si>
    <t>Temperature - Weather</t>
  </si>
  <si>
    <t>Temperature Weather Description</t>
  </si>
  <si>
    <t>Proposed Date of Next Inspection (MMM-YYYY)</t>
  </si>
  <si>
    <t>Proposed Date Description</t>
  </si>
  <si>
    <t>Date Entered</t>
  </si>
  <si>
    <t>Date Entered Description</t>
  </si>
  <si>
    <t>Inspector's Comments</t>
  </si>
  <si>
    <t>Inspector's Comments Description</t>
  </si>
  <si>
    <t>Manager's Comments</t>
  </si>
  <si>
    <t>Manager's Comments Description</t>
  </si>
  <si>
    <t>Full Report / Other Attachments</t>
  </si>
  <si>
    <t>Full Report Description</t>
  </si>
  <si>
    <t>Condition Rating</t>
  </si>
  <si>
    <t>Element Code</t>
  </si>
  <si>
    <t>STRUCT_ELT_TYPE_CODE</t>
  </si>
  <si>
    <t>Element Description</t>
  </si>
  <si>
    <t>DESCRIPTION1</t>
  </si>
  <si>
    <t>ENV_EXPO_TYPE_CODE</t>
  </si>
  <si>
    <t>Est. Quantity in Cond. State (1)</t>
  </si>
  <si>
    <t>Estimated Quantity in Cond. State (1)</t>
  </si>
  <si>
    <t>RBS_INSPECTIONS_VW</t>
  </si>
  <si>
    <t>QTY_IN_STATE1</t>
  </si>
  <si>
    <t>Est. Quantity in Cond. State (2)</t>
  </si>
  <si>
    <t>Est Quantity Description</t>
  </si>
  <si>
    <t>RBS_ELT_COND_RATINGS</t>
  </si>
  <si>
    <t>Est. Quantity in Cond. State (3)</t>
  </si>
  <si>
    <t>Est. Quantity in Cond. State (4)</t>
  </si>
  <si>
    <t>Estimated Quantity in Cond. State (4)</t>
  </si>
  <si>
    <t>Est. Quantity in Cond. State (5) NOT USED</t>
  </si>
  <si>
    <t>Estimated Quantity in Cond. State (5) NOT USED</t>
  </si>
  <si>
    <t>Est. Percent in Cond. State (1)</t>
  </si>
  <si>
    <t>Estimated Percent in Cond. State (1)</t>
  </si>
  <si>
    <t>Est. Percent in Cond. State (2)</t>
  </si>
  <si>
    <t>Est Percent Description</t>
  </si>
  <si>
    <t>Est. Percent in Cond. State (3)</t>
  </si>
  <si>
    <t>Est. Percent in Cond. State (4)</t>
  </si>
  <si>
    <t>Est. Percent in Cond. State (5) NOT USED</t>
  </si>
  <si>
    <t>Estimated Percent in Cond. State (5) NOT USED</t>
  </si>
  <si>
    <t>Elem. Health Rating</t>
  </si>
  <si>
    <t>calculated</t>
  </si>
  <si>
    <t>AV</t>
  </si>
  <si>
    <t>table</t>
  </si>
  <si>
    <t>Asset</t>
  </si>
  <si>
    <t>Asset table</t>
  </si>
  <si>
    <t>All TfNSW Asset individual items. Overlapping assets with RAMS (roads, barriers, etc.), BIS (bridges, tunnel), RAA (culverts), RSMS (slopes)</t>
  </si>
  <si>
    <t>AV Asset unique ID</t>
  </si>
  <si>
    <t>AssetType</t>
  </si>
  <si>
    <t>Different AssetTypes: Road, Link Carriageway</t>
  </si>
  <si>
    <t>SpatialType</t>
  </si>
  <si>
    <t>Geospatial data type: point, polyline, polygon, etc.</t>
  </si>
  <si>
    <t>AssetArea</t>
  </si>
  <si>
    <t>AssetArea table</t>
  </si>
  <si>
    <t>Stores Asset LinkCarriageway information</t>
  </si>
  <si>
    <t>AV AssetArea unique ID</t>
  </si>
  <si>
    <t>direction</t>
  </si>
  <si>
    <t>Relevant references:</t>
  </si>
  <si>
    <t>BIS Bridge System Features Summary.pptx</t>
  </si>
  <si>
    <t>BIS screenshots and functionality summary</t>
  </si>
  <si>
    <t>[TACP ref_CwayCodes] tabsheet</t>
  </si>
  <si>
    <t>Link Carriageway Codes</t>
  </si>
  <si>
    <t>REF_TABLE_NAME</t>
  </si>
  <si>
    <t>REFERENCE_CODE</t>
  </si>
  <si>
    <t>REFERENCE_DESCR2</t>
  </si>
  <si>
    <t>REFERENCE_DESCR3</t>
  </si>
  <si>
    <t>REFERENCE_DESCR4</t>
  </si>
  <si>
    <t>Julius ACS key word</t>
  </si>
  <si>
    <t>Julius ACS Technical Obj Type TOT</t>
  </si>
  <si>
    <t>Julius Note</t>
  </si>
  <si>
    <t>Column1</t>
  </si>
  <si>
    <t>ACT_TYPE</t>
  </si>
  <si>
    <t>Routine</t>
  </si>
  <si>
    <t>Rehab</t>
  </si>
  <si>
    <t>AGE_GROUP</t>
  </si>
  <si>
    <t>1947and Earlier</t>
  </si>
  <si>
    <t>1900 and Earlier</t>
  </si>
  <si>
    <t>1901-1910</t>
  </si>
  <si>
    <t>1911-1920</t>
  </si>
  <si>
    <t>1921-1930</t>
  </si>
  <si>
    <t>1931-1940</t>
  </si>
  <si>
    <t>1941-1950</t>
  </si>
  <si>
    <t>1948-1976</t>
  </si>
  <si>
    <t>1951-1960</t>
  </si>
  <si>
    <t>1961-1970</t>
  </si>
  <si>
    <t>1971-1980</t>
  </si>
  <si>
    <t>1977-1992</t>
  </si>
  <si>
    <t>1977 and After</t>
  </si>
  <si>
    <t>1981-1990</t>
  </si>
  <si>
    <t>1991-2000</t>
  </si>
  <si>
    <t>1993-2004</t>
  </si>
  <si>
    <t>2001-2010</t>
  </si>
  <si>
    <t>2005 and later</t>
  </si>
  <si>
    <t>2011-2020</t>
  </si>
  <si>
    <t>2021-2030</t>
  </si>
  <si>
    <t>BAR_MAT</t>
  </si>
  <si>
    <t>A</t>
  </si>
  <si>
    <t>ALUMINIUM</t>
  </si>
  <si>
    <t>B</t>
  </si>
  <si>
    <t>BRICK</t>
  </si>
  <si>
    <t>C</t>
  </si>
  <si>
    <t>REINFORCED CONCRETE</t>
  </si>
  <si>
    <t>M</t>
  </si>
  <si>
    <t>MASONRY</t>
  </si>
  <si>
    <t>S</t>
  </si>
  <si>
    <t xml:space="preserve">STEEL </t>
  </si>
  <si>
    <t>T</t>
  </si>
  <si>
    <t>TIMBER</t>
  </si>
  <si>
    <t>BAR_TYPE</t>
  </si>
  <si>
    <t>CG1M</t>
  </si>
  <si>
    <t>Corrug'd Guardrail Only, 1m Post Spacing</t>
  </si>
  <si>
    <t>CG2M</t>
  </si>
  <si>
    <t>Corrug'd Guardrail Only, 2m Post Spacing</t>
  </si>
  <si>
    <t>CGTR</t>
  </si>
  <si>
    <t>Corrugated Guardrail  &amp; Top Rail</t>
  </si>
  <si>
    <t>FHNJ</t>
  </si>
  <si>
    <t>Full Height New Jersey Type Parapet</t>
  </si>
  <si>
    <t>LLBB</t>
  </si>
  <si>
    <t>Low Level Bridge Barrier</t>
  </si>
  <si>
    <t>NOBA</t>
  </si>
  <si>
    <t>No Barrier</t>
  </si>
  <si>
    <t>ORCB</t>
  </si>
  <si>
    <t>Old Standard RC Barrier</t>
  </si>
  <si>
    <t>OSPR</t>
  </si>
  <si>
    <t>Old Std Steel Angle Post &amp; Channel Rail</t>
  </si>
  <si>
    <t>OTHR</t>
  </si>
  <si>
    <t>Other Types</t>
  </si>
  <si>
    <t>PEGR</t>
  </si>
  <si>
    <t>Pedestrian Grille Railing</t>
  </si>
  <si>
    <t>SFSN</t>
  </si>
  <si>
    <t>Safety Screen</t>
  </si>
  <si>
    <t>SPSC</t>
  </si>
  <si>
    <t>Steel Post and Steel Chains</t>
  </si>
  <si>
    <t>SRRP</t>
  </si>
  <si>
    <t>Parapert &amp; Single Rail RHS / Tube</t>
  </si>
  <si>
    <t>STWR</t>
  </si>
  <si>
    <t>Steel Wire Rope Barriers</t>
  </si>
  <si>
    <t>THBM</t>
  </si>
  <si>
    <t>THRIE Beam</t>
  </si>
  <si>
    <t>THBR</t>
  </si>
  <si>
    <t>THRIE Beam with RHS backing</t>
  </si>
  <si>
    <t>THRR</t>
  </si>
  <si>
    <t>Three Rail RHS Type</t>
  </si>
  <si>
    <t>TPGR</t>
  </si>
  <si>
    <t>Combined Traffic / Ped. Grille</t>
  </si>
  <si>
    <t>TRNJ</t>
  </si>
  <si>
    <t>Modif. N.J. Parapet &amp; Two Rail RHS</t>
  </si>
  <si>
    <t>TRSP</t>
  </si>
  <si>
    <t>Tubular Railing Only (Steel Pipes)</t>
  </si>
  <si>
    <t>TWRP</t>
  </si>
  <si>
    <t>2 Rail RHS on Plinths (Low Level Bridge)</t>
  </si>
  <si>
    <t>TWRR</t>
  </si>
  <si>
    <t>Two Rail RHS Type</t>
  </si>
  <si>
    <t>BERNG_TYPE</t>
  </si>
  <si>
    <t>ELBP</t>
  </si>
  <si>
    <t>Elastomeric Bearing Pad</t>
  </si>
  <si>
    <t>ELBS</t>
  </si>
  <si>
    <t>Elastomeric Bearing Strip</t>
  </si>
  <si>
    <t>FABS</t>
  </si>
  <si>
    <t>Fabricated Steel Type Bearing</t>
  </si>
  <si>
    <t>SLBR</t>
  </si>
  <si>
    <t>Default to SLBR</t>
  </si>
  <si>
    <t>NONE</t>
  </si>
  <si>
    <t>No Bearings Provided</t>
  </si>
  <si>
    <t>POTB</t>
  </si>
  <si>
    <t>Pot-Type Bearing</t>
  </si>
  <si>
    <t>PTBR</t>
  </si>
  <si>
    <t>SPHE</t>
  </si>
  <si>
    <t>Spherical Type Bearing</t>
  </si>
  <si>
    <t>SPBR</t>
  </si>
  <si>
    <t>BRDGCATGRY</t>
  </si>
  <si>
    <t>Category 1</t>
  </si>
  <si>
    <t>Category 2</t>
  </si>
  <si>
    <t>Category 3</t>
  </si>
  <si>
    <t>Category 4</t>
  </si>
  <si>
    <t>Category 5</t>
  </si>
  <si>
    <t>Category 6</t>
  </si>
  <si>
    <t>Category 7</t>
  </si>
  <si>
    <t>BRDGSUMTYP</t>
  </si>
  <si>
    <t>C/S</t>
  </si>
  <si>
    <t>CONCRETE/STEEL</t>
  </si>
  <si>
    <t>CULV</t>
  </si>
  <si>
    <t>CULVERT</t>
  </si>
  <si>
    <t>TIMBR</t>
  </si>
  <si>
    <t>BRG_SUPORT</t>
  </si>
  <si>
    <t>E</t>
  </si>
  <si>
    <t>Expansion</t>
  </si>
  <si>
    <t>F</t>
  </si>
  <si>
    <t>Framed</t>
  </si>
  <si>
    <t>O</t>
  </si>
  <si>
    <t>Other Type</t>
  </si>
  <si>
    <t>CAPT_TYPES</t>
  </si>
  <si>
    <t>BARCH</t>
  </si>
  <si>
    <t>Brick Arch</t>
  </si>
  <si>
    <t>BMISC</t>
  </si>
  <si>
    <t>Brick Miscellaneous</t>
  </si>
  <si>
    <t>CARCH</t>
  </si>
  <si>
    <t>Concrete Arch</t>
  </si>
  <si>
    <t>CBEAM</t>
  </si>
  <si>
    <t>Concrete Beam</t>
  </si>
  <si>
    <t>CBOXG</t>
  </si>
  <si>
    <t>Concrete Box</t>
  </si>
  <si>
    <t>CCABL</t>
  </si>
  <si>
    <t>CCULP</t>
  </si>
  <si>
    <t>Concrete Culvert, Precast</t>
  </si>
  <si>
    <t>CCULV</t>
  </si>
  <si>
    <t>Concrete Culvert, Cast-in-Place</t>
  </si>
  <si>
    <t>CMISC</t>
  </si>
  <si>
    <t>Concrete Miscellaneous</t>
  </si>
  <si>
    <t>CPIPE</t>
  </si>
  <si>
    <t>Concrete Pipe</t>
  </si>
  <si>
    <t>CSLAB</t>
  </si>
  <si>
    <t>Reinforced Concrete Slab</t>
  </si>
  <si>
    <t>CSLBP</t>
  </si>
  <si>
    <t>Reinforced Concrete Slab Precast</t>
  </si>
  <si>
    <t>HV1</t>
  </si>
  <si>
    <t>High Value Bridge 1</t>
  </si>
  <si>
    <t>HV2</t>
  </si>
  <si>
    <t>High Value Bridge 2</t>
  </si>
  <si>
    <t>HV3</t>
  </si>
  <si>
    <t>High Value Bridge 3</t>
  </si>
  <si>
    <t>HV4</t>
  </si>
  <si>
    <t>High Value Bridge 4</t>
  </si>
  <si>
    <t>HV5</t>
  </si>
  <si>
    <t>High Value Bridge 5</t>
  </si>
  <si>
    <t>HV6</t>
  </si>
  <si>
    <t>High Value Bridge 6</t>
  </si>
  <si>
    <t>HV7</t>
  </si>
  <si>
    <t>High Value Bridge 7</t>
  </si>
  <si>
    <t>LMISC</t>
  </si>
  <si>
    <t>Lining - Miscellaneous</t>
  </si>
  <si>
    <t>MARCH</t>
  </si>
  <si>
    <t>Masonry Arch</t>
  </si>
  <si>
    <t>PBCAN</t>
  </si>
  <si>
    <t>PSC Balanced Cantelever</t>
  </si>
  <si>
    <t>PBEAM</t>
  </si>
  <si>
    <t>PSC Beam</t>
  </si>
  <si>
    <t>PBFGI</t>
  </si>
  <si>
    <t>PSC Broad Flange Girder</t>
  </si>
  <si>
    <t>PBOXG</t>
  </si>
  <si>
    <t>PSC Box Girder</t>
  </si>
  <si>
    <t>PBUTG</t>
  </si>
  <si>
    <t>PSC BULB 'T' Girder</t>
  </si>
  <si>
    <t>PCABL</t>
  </si>
  <si>
    <t>PCPBG</t>
  </si>
  <si>
    <t>PSC Cast in Place Box Girder</t>
  </si>
  <si>
    <t>PEDOV</t>
  </si>
  <si>
    <t>Pedestrian Overbridge</t>
  </si>
  <si>
    <t>PGIRD</t>
  </si>
  <si>
    <t>PSC Girder</t>
  </si>
  <si>
    <t>PILBG</t>
  </si>
  <si>
    <t>PSC Incrementally Launched Box Girder</t>
  </si>
  <si>
    <t>PMISC</t>
  </si>
  <si>
    <t>PSC Miscellaneous</t>
  </si>
  <si>
    <t>PPLNK</t>
  </si>
  <si>
    <t>PSC Plank</t>
  </si>
  <si>
    <t>PPSBG</t>
  </si>
  <si>
    <t>PSC Precast Segmental Box Girder</t>
  </si>
  <si>
    <t>PSLAB</t>
  </si>
  <si>
    <t>PSC Slab</t>
  </si>
  <si>
    <t>PSUTG</t>
  </si>
  <si>
    <t>PSC Super 'T' Girder</t>
  </si>
  <si>
    <t>PTROG</t>
  </si>
  <si>
    <t>PSC Trough Girder</t>
  </si>
  <si>
    <t>PUNIT</t>
  </si>
  <si>
    <t>PSC Unit</t>
  </si>
  <si>
    <t>PVSLB</t>
  </si>
  <si>
    <t>PSC Voided Slab</t>
  </si>
  <si>
    <t>SARCH</t>
  </si>
  <si>
    <t>Steel Arch</t>
  </si>
  <si>
    <t>SBEAM</t>
  </si>
  <si>
    <t>Steel Beam</t>
  </si>
  <si>
    <t>SBOXG</t>
  </si>
  <si>
    <t>Steel Box Girder</t>
  </si>
  <si>
    <t>SCABL</t>
  </si>
  <si>
    <t>Steel Cable</t>
  </si>
  <si>
    <t>SCULV</t>
  </si>
  <si>
    <t>Steel Culvert</t>
  </si>
  <si>
    <t>SGIRD</t>
  </si>
  <si>
    <t>Steel Girder</t>
  </si>
  <si>
    <t>SMISC</t>
  </si>
  <si>
    <t>Steel Miscellaneous</t>
  </si>
  <si>
    <t>SPIPE</t>
  </si>
  <si>
    <t>Steel Pipe</t>
  </si>
  <si>
    <t>STROG</t>
  </si>
  <si>
    <t>Steel Trough Girder</t>
  </si>
  <si>
    <t>STRUS</t>
  </si>
  <si>
    <t>Steel Truss</t>
  </si>
  <si>
    <t>TBEAM</t>
  </si>
  <si>
    <t>Timber Beam</t>
  </si>
  <si>
    <t>TDOOL</t>
  </si>
  <si>
    <t>Timber Deck "Doolan Type"</t>
  </si>
  <si>
    <t>TMISC</t>
  </si>
  <si>
    <t>Timber Miscellaneous</t>
  </si>
  <si>
    <t>TNLAM</t>
  </si>
  <si>
    <t>Timber Deck Nail Laminated</t>
  </si>
  <si>
    <t>TSLAM</t>
  </si>
  <si>
    <t>Timber Deck Stress Laminated</t>
  </si>
  <si>
    <t>TTRUS</t>
  </si>
  <si>
    <t>Timber Truss</t>
  </si>
  <si>
    <t>XARCH</t>
  </si>
  <si>
    <t>Other Arch Types</t>
  </si>
  <si>
    <t>XCULP</t>
  </si>
  <si>
    <t>Pther Types of Precast Culvert</t>
  </si>
  <si>
    <t>XCULV</t>
  </si>
  <si>
    <t>Other Types of Cast-in-Place Culvert</t>
  </si>
  <si>
    <t>XTRUS</t>
  </si>
  <si>
    <t>Timber Truss with Steel Tension Members</t>
  </si>
  <si>
    <t>CONFSPTYPE</t>
  </si>
  <si>
    <t>C1</t>
  </si>
  <si>
    <t>CATEGORY 1</t>
  </si>
  <si>
    <t>C2</t>
  </si>
  <si>
    <t>CATEGORY 2</t>
  </si>
  <si>
    <t>N</t>
  </si>
  <si>
    <t>CONSTRTYPE</t>
  </si>
  <si>
    <t>Traffic Barrier Replaced</t>
  </si>
  <si>
    <t>Changed / Modified for Road Traffic</t>
  </si>
  <si>
    <t>D</t>
  </si>
  <si>
    <t>Deck Replaced</t>
  </si>
  <si>
    <t>L</t>
  </si>
  <si>
    <t>Lengthening</t>
  </si>
  <si>
    <t>Miscellaneous Works</t>
  </si>
  <si>
    <t>Original Structure</t>
  </si>
  <si>
    <t>R</t>
  </si>
  <si>
    <t>Repairs / Strengthening / Rehabilitation</t>
  </si>
  <si>
    <t>Superstructure Replaced</t>
  </si>
  <si>
    <t>Bailey Truss Support</t>
  </si>
  <si>
    <t>U</t>
  </si>
  <si>
    <t>Substructure Replaced</t>
  </si>
  <si>
    <t>W</t>
  </si>
  <si>
    <t>Widening on One Side</t>
  </si>
  <si>
    <t>X</t>
  </si>
  <si>
    <t>Concurrent Widening on Both Sides</t>
  </si>
  <si>
    <t>CONTACT_GR</t>
  </si>
  <si>
    <t>01</t>
  </si>
  <si>
    <t>Controlled By</t>
  </si>
  <si>
    <t>02</t>
  </si>
  <si>
    <t>Inspected By</t>
  </si>
  <si>
    <t>03</t>
  </si>
  <si>
    <t>Maintained By</t>
  </si>
  <si>
    <t>04</t>
  </si>
  <si>
    <t>Utility - Street Lighting</t>
  </si>
  <si>
    <t>05</t>
  </si>
  <si>
    <t>Utility - Power Line</t>
  </si>
  <si>
    <t>06</t>
  </si>
  <si>
    <t>Utility - Telecom</t>
  </si>
  <si>
    <t>07</t>
  </si>
  <si>
    <t>Utility - Water main</t>
  </si>
  <si>
    <t>08</t>
  </si>
  <si>
    <t>Utility - Gas</t>
  </si>
  <si>
    <t>09</t>
  </si>
  <si>
    <t>Utility - Other</t>
  </si>
  <si>
    <t>CWAY_FUNC</t>
  </si>
  <si>
    <t>OTHER</t>
  </si>
  <si>
    <t>ROAD OVER WATERWAY</t>
  </si>
  <si>
    <t>ROAD OVER RAILWAY</t>
  </si>
  <si>
    <t>ROAD UNDER RAILWAY</t>
  </si>
  <si>
    <t>ROAD-ON-BRIDGE OVER  ROAD</t>
  </si>
  <si>
    <t>ROAD UNDER ROAD-ON-BRIDGE</t>
  </si>
  <si>
    <t>ROAD OVER PEDESTRIAN UNDERPASS</t>
  </si>
  <si>
    <t>PEDESTRIAN BRIDGE OVER ROAD</t>
  </si>
  <si>
    <t>ONLOADING RAMP TO ROAD</t>
  </si>
  <si>
    <t>OFFLOADING RAMP FROM ROAD</t>
  </si>
  <si>
    <t>ROAD OVER ROAD-ON-BRIDGE</t>
  </si>
  <si>
    <t>ROAD OVER FAUNA UNDERPASS</t>
  </si>
  <si>
    <t>I</t>
  </si>
  <si>
    <t>ROAD OVER FISH PASSAGE</t>
  </si>
  <si>
    <t>ROAD OVER FAUNA LEDGE</t>
  </si>
  <si>
    <t>ROAD OVER FROG PASSAGE</t>
  </si>
  <si>
    <t>ROAD OVER STOCK / CATTLE UNDERPASS</t>
  </si>
  <si>
    <t>DECK_CONTU</t>
  </si>
  <si>
    <t>CSDL</t>
  </si>
  <si>
    <t>Continuous for Major Part of DL &amp; LL</t>
  </si>
  <si>
    <t>CSSP</t>
  </si>
  <si>
    <t>Cantilever with Supported Span</t>
  </si>
  <si>
    <t>SSSL</t>
  </si>
  <si>
    <t>Simply Supported Span with Link Slab</t>
  </si>
  <si>
    <t>SSSP</t>
  </si>
  <si>
    <t>Simply Supported Span</t>
  </si>
  <si>
    <t>DECK_MATRL</t>
  </si>
  <si>
    <t>Brick</t>
  </si>
  <si>
    <t>Reinf.Conc., excl.Overlay on Timber Deck</t>
  </si>
  <si>
    <t>Steel Corrugated Deck</t>
  </si>
  <si>
    <t>Earth Fill or MacAdam, on Buckle Plate</t>
  </si>
  <si>
    <t>Earth Fill on Culvert</t>
  </si>
  <si>
    <t>Stress Laminated Timber Decking</t>
  </si>
  <si>
    <t>Masonry</t>
  </si>
  <si>
    <t>Other Deck Material</t>
  </si>
  <si>
    <t>P</t>
  </si>
  <si>
    <t>Prestressed Concrete</t>
  </si>
  <si>
    <t>RC Overlay on Timber Deck</t>
  </si>
  <si>
    <t>Steel, excl. Buckle Plate &amp; Corrug. Deck</t>
  </si>
  <si>
    <t>Timber</t>
  </si>
  <si>
    <t>Steel Buckle Plate</t>
  </si>
  <si>
    <t>DECKJNTYPE</t>
  </si>
  <si>
    <t>APJO</t>
  </si>
  <si>
    <t>Asphalt Plug, e.g. Thorma</t>
  </si>
  <si>
    <t>CGJO</t>
  </si>
  <si>
    <t>Claw and Gland, e.g. Wabo</t>
  </si>
  <si>
    <t>COJS</t>
  </si>
  <si>
    <t>Compression Joint Seal, e.g. ICL</t>
  </si>
  <si>
    <t>compress</t>
  </si>
  <si>
    <t>BR-BRJT-COMP</t>
  </si>
  <si>
    <t>FFPL</t>
  </si>
  <si>
    <t>Fabricated Finger Plate</t>
  </si>
  <si>
    <t>plate</t>
  </si>
  <si>
    <t>BR-BRJT-PLJT</t>
  </si>
  <si>
    <t>FPNS</t>
  </si>
  <si>
    <t>Finger Plate on Neoprene Seating, eg PSC</t>
  </si>
  <si>
    <t>HPJS</t>
  </si>
  <si>
    <t>Hot Poured Joint Sealant, e.g. Megaprene</t>
  </si>
  <si>
    <t>pour</t>
  </si>
  <si>
    <t>BR-BRJT-POUR</t>
  </si>
  <si>
    <t>JAPO</t>
  </si>
  <si>
    <t>PLUG</t>
  </si>
  <si>
    <t>JAST</t>
  </si>
  <si>
    <t>ALUMINIUM SAW TOOTH</t>
  </si>
  <si>
    <t>JBME</t>
  </si>
  <si>
    <t>BONDED METAL ELSTOMER</t>
  </si>
  <si>
    <t>JCAS</t>
  </si>
  <si>
    <t>COLD APPLIED SEALANT</t>
  </si>
  <si>
    <t>seal</t>
  </si>
  <si>
    <t>BR-BRJT-SSJT</t>
  </si>
  <si>
    <t>most common Joint TOT</t>
  </si>
  <si>
    <t>JCFO</t>
  </si>
  <si>
    <t>CORK FILLED</t>
  </si>
  <si>
    <t>JCSO</t>
  </si>
  <si>
    <t>COMPRESSION SEAL</t>
  </si>
  <si>
    <t>JFPL</t>
  </si>
  <si>
    <t>FABRICATED FINGERPLATE</t>
  </si>
  <si>
    <t>JHPS</t>
  </si>
  <si>
    <t>HOT POURED SEALANT</t>
  </si>
  <si>
    <t>JMBE</t>
  </si>
  <si>
    <t>METAL FINGERS BONDED TO ELASTOMER</t>
  </si>
  <si>
    <t>JMOD</t>
  </si>
  <si>
    <t>MODULAR</t>
  </si>
  <si>
    <t>modular</t>
  </si>
  <si>
    <t>BR-BRJT-MDJT</t>
  </si>
  <si>
    <t>JMRS</t>
  </si>
  <si>
    <t>MOULDED RUBBER WITH SPECIAL SEAL</t>
  </si>
  <si>
    <t>JOGP</t>
  </si>
  <si>
    <t>OPEN GAP WITH PROTECTION ANGLE</t>
  </si>
  <si>
    <t>open</t>
  </si>
  <si>
    <t>BR-BRJT-OPJT</t>
  </si>
  <si>
    <t>JOGW</t>
  </si>
  <si>
    <t>OPEN GAP WITHOUT PROTECTION ANGLE</t>
  </si>
  <si>
    <t>JOTH</t>
  </si>
  <si>
    <t>OTHER JOINT TYPES</t>
  </si>
  <si>
    <t>JSPO</t>
  </si>
  <si>
    <t>SLIDING PLATE</t>
  </si>
  <si>
    <t>JSRE</t>
  </si>
  <si>
    <t>SEMI-RIGID EPOXY</t>
  </si>
  <si>
    <t>JSSO</t>
  </si>
  <si>
    <t>STRIP SEAL</t>
  </si>
  <si>
    <t>MNGJ</t>
  </si>
  <si>
    <t>Moulded Neoprene and Gland, e.g. Felspan</t>
  </si>
  <si>
    <t>MNWP</t>
  </si>
  <si>
    <t>Moulded Neoprene with Plates egTransflex</t>
  </si>
  <si>
    <t>MODJ</t>
  </si>
  <si>
    <t>Modular Join, e.g. Honel, Wabo Box Seal</t>
  </si>
  <si>
    <t>NOJO</t>
  </si>
  <si>
    <t>No Joints</t>
  </si>
  <si>
    <t>OPJO</t>
  </si>
  <si>
    <t>Open Joint</t>
  </si>
  <si>
    <t>Other</t>
  </si>
  <si>
    <t>DOC_CAT</t>
  </si>
  <si>
    <t>Agreements</t>
  </si>
  <si>
    <t>G</t>
  </si>
  <si>
    <t>General</t>
  </si>
  <si>
    <t>Inspection</t>
  </si>
  <si>
    <t>Operating Manual</t>
  </si>
  <si>
    <t>Ownership</t>
  </si>
  <si>
    <t>DOC_TYPE</t>
  </si>
  <si>
    <t>Map</t>
  </si>
  <si>
    <t>Report</t>
  </si>
  <si>
    <t>EMBANK_PRO</t>
  </si>
  <si>
    <t>CCFG</t>
  </si>
  <si>
    <t>CAST IN PLACE CONCRETE FACING</t>
  </si>
  <si>
    <t>CRIB</t>
  </si>
  <si>
    <t>CRIB WALL</t>
  </si>
  <si>
    <t>GABN</t>
  </si>
  <si>
    <t>GABION</t>
  </si>
  <si>
    <t>INJM</t>
  </si>
  <si>
    <t>INJECTED MATTRESS</t>
  </si>
  <si>
    <t>NOPR</t>
  </si>
  <si>
    <t>NO PROTECTION</t>
  </si>
  <si>
    <t>OTHER PROTECTION</t>
  </si>
  <si>
    <t>PCFG</t>
  </si>
  <si>
    <t>PRECAST CONCRETE FACING</t>
  </si>
  <si>
    <t>STPI</t>
  </si>
  <si>
    <t>STONE PITCHING</t>
  </si>
  <si>
    <t>TIMB</t>
  </si>
  <si>
    <t>TIMBER SHEETING</t>
  </si>
  <si>
    <t>WIMA</t>
  </si>
  <si>
    <t>WIRE MATTRESS</t>
  </si>
  <si>
    <t>ENVRN_EXPO</t>
  </si>
  <si>
    <t>LOW</t>
  </si>
  <si>
    <t>MODERATE</t>
  </si>
  <si>
    <t>SEVERE</t>
  </si>
  <si>
    <t>EQPT_TYPE</t>
  </si>
  <si>
    <t>Breathing Apparatus</t>
  </si>
  <si>
    <t>Boat, Dinghy, Pontoon, Barge and boom</t>
  </si>
  <si>
    <t>Confined Space Inspection Equipment</t>
  </si>
  <si>
    <t>Elevating Platform</t>
  </si>
  <si>
    <t>Ladder</t>
  </si>
  <si>
    <t>Mobi</t>
  </si>
  <si>
    <t>Scaffolding</t>
  </si>
  <si>
    <t>Traffic Control</t>
  </si>
  <si>
    <t>Underbridge Inspection Platform</t>
  </si>
  <si>
    <t>Other Equipment</t>
  </si>
  <si>
    <t>FAIL_CONS</t>
  </si>
  <si>
    <t>Insignificant</t>
  </si>
  <si>
    <t>low financial loss, no injuries,</t>
  </si>
  <si>
    <t>no impact</t>
  </si>
  <si>
    <t>Minor</t>
  </si>
  <si>
    <t>medium financial loss, 1st aid treatment</t>
  </si>
  <si>
    <t>environmental damage contained</t>
  </si>
  <si>
    <t>Moderate</t>
  </si>
  <si>
    <t>high financial loss</t>
  </si>
  <si>
    <t>Major</t>
  </si>
  <si>
    <t>major financial loss</t>
  </si>
  <si>
    <t>Catastrophic</t>
  </si>
  <si>
    <t>huge financial loss</t>
  </si>
  <si>
    <t>FAIL_PROB</t>
  </si>
  <si>
    <t>Rare</t>
  </si>
  <si>
    <t>very unlikely, may occur in exceptional</t>
  </si>
  <si>
    <t>circumstances</t>
  </si>
  <si>
    <t>Could</t>
  </si>
  <si>
    <t>unlikely, could occur at some time</t>
  </si>
  <si>
    <t>Might</t>
  </si>
  <si>
    <t>possible to occur at some time</t>
  </si>
  <si>
    <t>Will</t>
  </si>
  <si>
    <t>likely to occur in most circumstances</t>
  </si>
  <si>
    <t>Expected</t>
  </si>
  <si>
    <t>almost certain to occur in most</t>
  </si>
  <si>
    <t>FCILTY_TYP</t>
  </si>
  <si>
    <t>BRIDGE SIZE CULVERT</t>
  </si>
  <si>
    <t>BRIDGE</t>
  </si>
  <si>
    <t>RAILWAY LEVEL CROSSING</t>
  </si>
  <si>
    <t>FERRY</t>
  </si>
  <si>
    <t>TUNNEL</t>
  </si>
  <si>
    <t>SERVICE STRUCTURE</t>
  </si>
  <si>
    <t>FEAT_ISS</t>
  </si>
  <si>
    <t>AAR</t>
  </si>
  <si>
    <t>Alkaline Aggregate Reaction</t>
  </si>
  <si>
    <t>CP</t>
  </si>
  <si>
    <t>Cathodic Protection</t>
  </si>
  <si>
    <t>Protection</t>
  </si>
  <si>
    <t>DEF</t>
  </si>
  <si>
    <t>Delayed Ethringite Formation</t>
  </si>
  <si>
    <t>H</t>
  </si>
  <si>
    <t>Animal habitat / bird nests</t>
  </si>
  <si>
    <t>site</t>
  </si>
  <si>
    <t>HAZ</t>
  </si>
  <si>
    <t>Hazardous substance</t>
  </si>
  <si>
    <t>LPC</t>
  </si>
  <si>
    <t>Lead paint on the structures.</t>
  </si>
  <si>
    <t>SCLP</t>
  </si>
  <si>
    <t>Soil Contamination with Lead Paint</t>
  </si>
  <si>
    <t>Site</t>
  </si>
  <si>
    <t>SULS</t>
  </si>
  <si>
    <t>Sulphate Soil</t>
  </si>
  <si>
    <t>FED_ELECT</t>
  </si>
  <si>
    <t>Banks</t>
  </si>
  <si>
    <t>Barton</t>
  </si>
  <si>
    <t>Bennelong</t>
  </si>
  <si>
    <t>Berowra</t>
  </si>
  <si>
    <t>Blaxland</t>
  </si>
  <si>
    <t>Bradfield</t>
  </si>
  <si>
    <t>Calare</t>
  </si>
  <si>
    <t>Charlton</t>
  </si>
  <si>
    <t>Chifley</t>
  </si>
  <si>
    <t>Cook</t>
  </si>
  <si>
    <t>Cowper</t>
  </si>
  <si>
    <t>Cunningham</t>
  </si>
  <si>
    <t>Dobell</t>
  </si>
  <si>
    <t>Eden-Monaro</t>
  </si>
  <si>
    <t>Farrer</t>
  </si>
  <si>
    <t>Fowler</t>
  </si>
  <si>
    <t>Gilmore</t>
  </si>
  <si>
    <t>Grayndler</t>
  </si>
  <si>
    <t>Greenway</t>
  </si>
  <si>
    <t>Hughes</t>
  </si>
  <si>
    <t>Hume</t>
  </si>
  <si>
    <t>Hunter</t>
  </si>
  <si>
    <t>Kingsford Smith</t>
  </si>
  <si>
    <t>Lindsay</t>
  </si>
  <si>
    <t>Lyne</t>
  </si>
  <si>
    <t>Macarthur</t>
  </si>
  <si>
    <t>Mackellar</t>
  </si>
  <si>
    <t>Macquarie</t>
  </si>
  <si>
    <t>McMahon</t>
  </si>
  <si>
    <t>Mitchell</t>
  </si>
  <si>
    <t>Newcastle</t>
  </si>
  <si>
    <t>New England</t>
  </si>
  <si>
    <t>North Sydney</t>
  </si>
  <si>
    <t>Page</t>
  </si>
  <si>
    <t>Parkes</t>
  </si>
  <si>
    <t>Parramatta</t>
  </si>
  <si>
    <t>Paterson</t>
  </si>
  <si>
    <t>Reid</t>
  </si>
  <si>
    <t>Richmond</t>
  </si>
  <si>
    <t>Riverina</t>
  </si>
  <si>
    <t>Robertson</t>
  </si>
  <si>
    <t>Shortland</t>
  </si>
  <si>
    <t>Sydney</t>
  </si>
  <si>
    <t>Throsby</t>
  </si>
  <si>
    <t>Warringah</t>
  </si>
  <si>
    <t>Watson</t>
  </si>
  <si>
    <t>Wentworth</t>
  </si>
  <si>
    <t>Werriwa</t>
  </si>
  <si>
    <t>Whitlam</t>
  </si>
  <si>
    <t>FOOTNGTYPE</t>
  </si>
  <si>
    <t>CIPC</t>
  </si>
  <si>
    <t>Cast-in-Place Piles &amp; Permanent Casing</t>
  </si>
  <si>
    <t>COCY</t>
  </si>
  <si>
    <t>Concrete Cylinders</t>
  </si>
  <si>
    <t>DCIP</t>
  </si>
  <si>
    <t>Driven Cast-in-Place Piles</t>
  </si>
  <si>
    <t>Other Footing Types</t>
  </si>
  <si>
    <t>PCIP</t>
  </si>
  <si>
    <t>Bored Cast-in-Place Piles</t>
  </si>
  <si>
    <t>PDRH</t>
  </si>
  <si>
    <t>Driven H-Section Piles</t>
  </si>
  <si>
    <t>PDRI</t>
  </si>
  <si>
    <t>Driven Piles</t>
  </si>
  <si>
    <t>PDTU</t>
  </si>
  <si>
    <t>Driven Tubular Piles</t>
  </si>
  <si>
    <t>SPFT</t>
  </si>
  <si>
    <t>Spread / Strip Footings</t>
  </si>
  <si>
    <t>HLTH_INDEX</t>
  </si>
  <si>
    <t>AS-BUILT</t>
  </si>
  <si>
    <t>GOOD</t>
  </si>
  <si>
    <t>FAIR</t>
  </si>
  <si>
    <t>POOR</t>
  </si>
  <si>
    <t>HRTG_LISTS</t>
  </si>
  <si>
    <t>170L</t>
  </si>
  <si>
    <t>RTA  S170 register - Local Significance</t>
  </si>
  <si>
    <t>170S</t>
  </si>
  <si>
    <t>RTA  S170 register - State Significance</t>
  </si>
  <si>
    <t>IE</t>
  </si>
  <si>
    <t>Institute of Engineers Heritage Register</t>
  </si>
  <si>
    <t>LEP</t>
  </si>
  <si>
    <t>Local Environmental Plan</t>
  </si>
  <si>
    <t>NE</t>
  </si>
  <si>
    <t>Register of the National Estate</t>
  </si>
  <si>
    <t>NT</t>
  </si>
  <si>
    <t>Register of the National Trust</t>
  </si>
  <si>
    <t>REP</t>
  </si>
  <si>
    <t>Regional Environmental Plan</t>
  </si>
  <si>
    <t>S130</t>
  </si>
  <si>
    <t>Heritage Council Register, s.130 Order</t>
  </si>
  <si>
    <t>S170</t>
  </si>
  <si>
    <t>NSW Governmt Heritage Register (s.170)</t>
  </si>
  <si>
    <t>SHR</t>
  </si>
  <si>
    <t>State Heritage Register</t>
  </si>
  <si>
    <t>INC_TYPE</t>
  </si>
  <si>
    <t>Accident - Overheight</t>
  </si>
  <si>
    <t>Accident - Overloading</t>
  </si>
  <si>
    <t>Accident - Other</t>
  </si>
  <si>
    <t>Structural Deterioration</t>
  </si>
  <si>
    <t>Operational Malfunction</t>
  </si>
  <si>
    <t>Floods</t>
  </si>
  <si>
    <t>Fire</t>
  </si>
  <si>
    <t>Earthquake</t>
  </si>
  <si>
    <t>Vandalism</t>
  </si>
  <si>
    <t>INSP_LVL</t>
  </si>
  <si>
    <t>L2</t>
  </si>
  <si>
    <t>LEVEL 2</t>
  </si>
  <si>
    <t>L3</t>
  </si>
  <si>
    <t>LEVEL 3</t>
  </si>
  <si>
    <t>L4</t>
  </si>
  <si>
    <t>LEVEL 4</t>
  </si>
  <si>
    <t>SP</t>
  </si>
  <si>
    <t>SPECIALIST</t>
  </si>
  <si>
    <t>INSPECTOR</t>
  </si>
  <si>
    <t>AB</t>
  </si>
  <si>
    <t>BOWDEN</t>
  </si>
  <si>
    <t>ANTHONY</t>
  </si>
  <si>
    <t>AC</t>
  </si>
  <si>
    <t>CRAMP</t>
  </si>
  <si>
    <t>ANDREW</t>
  </si>
  <si>
    <t>ACB</t>
  </si>
  <si>
    <t>CAMPBELL</t>
  </si>
  <si>
    <t>ALEXANDER</t>
  </si>
  <si>
    <t>AF</t>
  </si>
  <si>
    <t>CHEEMA</t>
  </si>
  <si>
    <t>ARIF</t>
  </si>
  <si>
    <t>AG</t>
  </si>
  <si>
    <t>GNANASOTHY</t>
  </si>
  <si>
    <t>ANU</t>
  </si>
  <si>
    <t>AH</t>
  </si>
  <si>
    <t>HARGRAVE</t>
  </si>
  <si>
    <t>AK</t>
  </si>
  <si>
    <t>KRATZ</t>
  </si>
  <si>
    <t>ALLAN</t>
  </si>
  <si>
    <t>AL</t>
  </si>
  <si>
    <t>GRAY DIVING</t>
  </si>
  <si>
    <t>ANDREW LEAN -</t>
  </si>
  <si>
    <t>ALB</t>
  </si>
  <si>
    <t>LABROSSE</t>
  </si>
  <si>
    <t>ALEX</t>
  </si>
  <si>
    <t>AMB</t>
  </si>
  <si>
    <t xml:space="preserve"> MOSHARRAF BOROJENI</t>
  </si>
  <si>
    <t>ALI</t>
  </si>
  <si>
    <t>AP</t>
  </si>
  <si>
    <t>POTTIE</t>
  </si>
  <si>
    <t>ALAN</t>
  </si>
  <si>
    <t>AS</t>
  </si>
  <si>
    <t>SONNENBERG</t>
  </si>
  <si>
    <t>ATEF</t>
  </si>
  <si>
    <t>CHEAITANI</t>
  </si>
  <si>
    <t>BB</t>
  </si>
  <si>
    <t>OUTDOOR SYSTEMS PTY LTD</t>
  </si>
  <si>
    <t>BRIAN BOURNE</t>
  </si>
  <si>
    <t>BD</t>
  </si>
  <si>
    <t>DRAKE</t>
  </si>
  <si>
    <t>BRENDAN</t>
  </si>
  <si>
    <t>BG</t>
  </si>
  <si>
    <t>GRIFFITHS</t>
  </si>
  <si>
    <t>BRIEN</t>
  </si>
  <si>
    <t>BH</t>
  </si>
  <si>
    <t>HERRING</t>
  </si>
  <si>
    <t>BARRY</t>
  </si>
  <si>
    <t>BJH</t>
  </si>
  <si>
    <t>HOY</t>
  </si>
  <si>
    <t>BRIAN</t>
  </si>
  <si>
    <t>BMU</t>
  </si>
  <si>
    <t>MUHUNTHAN</t>
  </si>
  <si>
    <t>BALA</t>
  </si>
  <si>
    <t>BO</t>
  </si>
  <si>
    <t>BOYCE</t>
  </si>
  <si>
    <t>BRENDON</t>
  </si>
  <si>
    <t>BP</t>
  </si>
  <si>
    <t>PORTELLI</t>
  </si>
  <si>
    <t>BART</t>
  </si>
  <si>
    <t>BR</t>
  </si>
  <si>
    <t>BRB</t>
  </si>
  <si>
    <t>BOURNE</t>
  </si>
  <si>
    <t>BS</t>
  </si>
  <si>
    <t>STEVENS</t>
  </si>
  <si>
    <t>BAYDEN</t>
  </si>
  <si>
    <t>BW</t>
  </si>
  <si>
    <t>WALKER</t>
  </si>
  <si>
    <t>BILL</t>
  </si>
  <si>
    <t>CAB</t>
  </si>
  <si>
    <t>BAKER</t>
  </si>
  <si>
    <t>COLIN ANDREW</t>
  </si>
  <si>
    <t>CB</t>
  </si>
  <si>
    <t>BOND</t>
  </si>
  <si>
    <t>CHRIS</t>
  </si>
  <si>
    <t>CC</t>
  </si>
  <si>
    <t>CASSIMATIS</t>
  </si>
  <si>
    <t>CRAIG</t>
  </si>
  <si>
    <t>CD</t>
  </si>
  <si>
    <t>DIVING</t>
  </si>
  <si>
    <t>COMMERCIAL</t>
  </si>
  <si>
    <t>CDS</t>
  </si>
  <si>
    <t>SERVICES - WOLLONGONG</t>
  </si>
  <si>
    <t>COMMERCIAL DIVING</t>
  </si>
  <si>
    <t>CDV</t>
  </si>
  <si>
    <t>SAPHIRE</t>
  </si>
  <si>
    <t>COMMERCIAL DIVE SOLUTIONS</t>
  </si>
  <si>
    <t>CK</t>
  </si>
  <si>
    <t>KALYVIS (SKM)</t>
  </si>
  <si>
    <t>CL</t>
  </si>
  <si>
    <t>LEMAN</t>
  </si>
  <si>
    <t>CM</t>
  </si>
  <si>
    <t>MCYINTYRE RTA ROAD SERVICES</t>
  </si>
  <si>
    <t>CN</t>
  </si>
  <si>
    <t>NELSON</t>
  </si>
  <si>
    <t>COL</t>
  </si>
  <si>
    <t>CNM</t>
  </si>
  <si>
    <t>MELLICK</t>
  </si>
  <si>
    <t>COM</t>
  </si>
  <si>
    <t>DIVING SERVICES</t>
  </si>
  <si>
    <t>PLUMB</t>
  </si>
  <si>
    <t>CRIA</t>
  </si>
  <si>
    <t>INFRASTRUCTURE AUTHORITY</t>
  </si>
  <si>
    <t>COUNTRY RAIL</t>
  </si>
  <si>
    <t>CS</t>
  </si>
  <si>
    <t>SKINNER</t>
  </si>
  <si>
    <t>CLIFFORD</t>
  </si>
  <si>
    <t>CT</t>
  </si>
  <si>
    <t>CONSULTANTS</t>
  </si>
  <si>
    <t>CTI</t>
  </si>
  <si>
    <t>CTH</t>
  </si>
  <si>
    <t>THOMAS</t>
  </si>
  <si>
    <t>CW</t>
  </si>
  <si>
    <t>WILSON</t>
  </si>
  <si>
    <t>DC</t>
  </si>
  <si>
    <t>CASTRO</t>
  </si>
  <si>
    <t>DONY</t>
  </si>
  <si>
    <t>DD</t>
  </si>
  <si>
    <t>DONIKIAN</t>
  </si>
  <si>
    <t>SEVAN</t>
  </si>
  <si>
    <t>DES</t>
  </si>
  <si>
    <t>UNDERWATER DIVING CENTRE</t>
  </si>
  <si>
    <t>DESCEND</t>
  </si>
  <si>
    <t>DG</t>
  </si>
  <si>
    <t>SAGAR</t>
  </si>
  <si>
    <t>DANIEL</t>
  </si>
  <si>
    <t>DGS</t>
  </si>
  <si>
    <t>DH</t>
  </si>
  <si>
    <t>HEAL</t>
  </si>
  <si>
    <t>DAVID</t>
  </si>
  <si>
    <t>DHI</t>
  </si>
  <si>
    <t>HISLOP</t>
  </si>
  <si>
    <t>DK</t>
  </si>
  <si>
    <t>KEIGHLEY</t>
  </si>
  <si>
    <t>DALE</t>
  </si>
  <si>
    <t>DM</t>
  </si>
  <si>
    <t>MANCHANAYAKE</t>
  </si>
  <si>
    <t>DEVE</t>
  </si>
  <si>
    <t>DP</t>
  </si>
  <si>
    <t>PARISOTTO</t>
  </si>
  <si>
    <t>DINO</t>
  </si>
  <si>
    <t>DS</t>
  </si>
  <si>
    <t>DSG</t>
  </si>
  <si>
    <t>DT</t>
  </si>
  <si>
    <t>TEDMAN</t>
  </si>
  <si>
    <t>DENNIS</t>
  </si>
  <si>
    <t>DW</t>
  </si>
  <si>
    <t>WEBER</t>
  </si>
  <si>
    <t>DWC</t>
  </si>
  <si>
    <t>CALDWELL</t>
  </si>
  <si>
    <t>DAVID WARREN</t>
  </si>
  <si>
    <t>DWO</t>
  </si>
  <si>
    <t>WOOD</t>
  </si>
  <si>
    <t>DAVE</t>
  </si>
  <si>
    <t>EB</t>
  </si>
  <si>
    <t>BOOTHMAN</t>
  </si>
  <si>
    <t>ERIC</t>
  </si>
  <si>
    <t>EDA</t>
  </si>
  <si>
    <t>DASCHKE</t>
  </si>
  <si>
    <t>EUGENE</t>
  </si>
  <si>
    <t>EH</t>
  </si>
  <si>
    <t>SEA SERVICE DIVING &amp; MARINE</t>
  </si>
  <si>
    <t>EDWARD HODGE</t>
  </si>
  <si>
    <t>EK</t>
  </si>
  <si>
    <t>KEARNS</t>
  </si>
  <si>
    <t>ELIZABETH</t>
  </si>
  <si>
    <t>FJ</t>
  </si>
  <si>
    <t>JESMIN</t>
  </si>
  <si>
    <t>FARHANA</t>
  </si>
  <si>
    <t>FS</t>
  </si>
  <si>
    <t>SALOME</t>
  </si>
  <si>
    <t>FRED</t>
  </si>
  <si>
    <t>GC</t>
  </si>
  <si>
    <t>CUPITT</t>
  </si>
  <si>
    <t>GORDON</t>
  </si>
  <si>
    <t>GD</t>
  </si>
  <si>
    <t>GILBERT DIVING</t>
  </si>
  <si>
    <t>TYLER GILBERT</t>
  </si>
  <si>
    <t>GEN</t>
  </si>
  <si>
    <t>EGAN</t>
  </si>
  <si>
    <t>GERARD</t>
  </si>
  <si>
    <t>GJ</t>
  </si>
  <si>
    <t>JONES</t>
  </si>
  <si>
    <t>GLYN</t>
  </si>
  <si>
    <t>GR</t>
  </si>
  <si>
    <t>GRAY DIVING SERVICES</t>
  </si>
  <si>
    <t>M LLOYD</t>
  </si>
  <si>
    <t>GT</t>
  </si>
  <si>
    <t>TYNAN</t>
  </si>
  <si>
    <t>GRAHAM</t>
  </si>
  <si>
    <t>GW</t>
  </si>
  <si>
    <t>WENBAN</t>
  </si>
  <si>
    <t>GRANT</t>
  </si>
  <si>
    <t>GWYNN</t>
  </si>
  <si>
    <t>WYNN</t>
  </si>
  <si>
    <t>GEORGE</t>
  </si>
  <si>
    <t>HB</t>
  </si>
  <si>
    <t>GRAY DIVING SERVICES PTY LTD</t>
  </si>
  <si>
    <t>B HALL</t>
  </si>
  <si>
    <t>HDSA</t>
  </si>
  <si>
    <t>HOPE DIVING SERVICES AUS.</t>
  </si>
  <si>
    <t>A SCHUURMAN</t>
  </si>
  <si>
    <t>HF</t>
  </si>
  <si>
    <t>FOK</t>
  </si>
  <si>
    <t>HENRY</t>
  </si>
  <si>
    <t>HM</t>
  </si>
  <si>
    <t>MORRIS</t>
  </si>
  <si>
    <t>HOWARD</t>
  </si>
  <si>
    <t>HS</t>
  </si>
  <si>
    <t>SINUHAJI</t>
  </si>
  <si>
    <t>HENDI</t>
  </si>
  <si>
    <t>IJ</t>
  </si>
  <si>
    <t>JOHNSTON</t>
  </si>
  <si>
    <t>IAN</t>
  </si>
  <si>
    <t>JB</t>
  </si>
  <si>
    <t>BARBIE</t>
  </si>
  <si>
    <t>JACOB</t>
  </si>
  <si>
    <t>JE</t>
  </si>
  <si>
    <t>EU, GRAY DIVING SERVICES</t>
  </si>
  <si>
    <t>JIM</t>
  </si>
  <si>
    <t>JG</t>
  </si>
  <si>
    <t>GERONIMO</t>
  </si>
  <si>
    <t>JEFF</t>
  </si>
  <si>
    <t>JH</t>
  </si>
  <si>
    <t>HART, MAUNCELL</t>
  </si>
  <si>
    <t>JOHN</t>
  </si>
  <si>
    <t>JHR</t>
  </si>
  <si>
    <t>JOHN HOLLAND RAIL</t>
  </si>
  <si>
    <t>JK</t>
  </si>
  <si>
    <t>KRYSZTOFORSKI</t>
  </si>
  <si>
    <t>JANE</t>
  </si>
  <si>
    <t>JM</t>
  </si>
  <si>
    <t>MCPHAIL</t>
  </si>
  <si>
    <t>JMM</t>
  </si>
  <si>
    <t>MAHOOD</t>
  </si>
  <si>
    <t>JAMES</t>
  </si>
  <si>
    <t>JN</t>
  </si>
  <si>
    <t>NING</t>
  </si>
  <si>
    <t>JP</t>
  </si>
  <si>
    <t>PRENDERGAST</t>
  </si>
  <si>
    <t>JS</t>
  </si>
  <si>
    <t>SELWAY</t>
  </si>
  <si>
    <t>JZ</t>
  </si>
  <si>
    <t>ZYCKI</t>
  </si>
  <si>
    <t>JULES</t>
  </si>
  <si>
    <t>KAM</t>
  </si>
  <si>
    <t>JAHANBAKHSH</t>
  </si>
  <si>
    <t>KAMYAR</t>
  </si>
  <si>
    <t>KB</t>
  </si>
  <si>
    <t>BEAMES</t>
  </si>
  <si>
    <t>KENNETH</t>
  </si>
  <si>
    <t>KBR</t>
  </si>
  <si>
    <t>BRAY</t>
  </si>
  <si>
    <t>KYLIE</t>
  </si>
  <si>
    <t>KE</t>
  </si>
  <si>
    <t>ELFORD.</t>
  </si>
  <si>
    <t>KEVIN</t>
  </si>
  <si>
    <t>KH</t>
  </si>
  <si>
    <t>HAMPSON</t>
  </si>
  <si>
    <t>KERRY</t>
  </si>
  <si>
    <t>KK</t>
  </si>
  <si>
    <t>KENNEDY</t>
  </si>
  <si>
    <t>KL</t>
  </si>
  <si>
    <t>LAWSON</t>
  </si>
  <si>
    <t>KM</t>
  </si>
  <si>
    <t>MOORE</t>
  </si>
  <si>
    <t>KEITH</t>
  </si>
  <si>
    <t>KMC</t>
  </si>
  <si>
    <t>MCGREGOR</t>
  </si>
  <si>
    <t>KEN</t>
  </si>
  <si>
    <t>KP</t>
  </si>
  <si>
    <t>PANKHURST</t>
  </si>
  <si>
    <t>KPB</t>
  </si>
  <si>
    <t>BARROW</t>
  </si>
  <si>
    <t>KYLE</t>
  </si>
  <si>
    <t>KT</t>
  </si>
  <si>
    <t>TREVANION</t>
  </si>
  <si>
    <t>KV</t>
  </si>
  <si>
    <t>MULCAHY</t>
  </si>
  <si>
    <t>KYP</t>
  </si>
  <si>
    <t>PERRERA</t>
  </si>
  <si>
    <t>KAUSHALYA</t>
  </si>
  <si>
    <t>LA</t>
  </si>
  <si>
    <t>ANDERSON</t>
  </si>
  <si>
    <t>LAURIE</t>
  </si>
  <si>
    <t>LB</t>
  </si>
  <si>
    <t>BROWN</t>
  </si>
  <si>
    <t>LINDSAY</t>
  </si>
  <si>
    <t>LE</t>
  </si>
  <si>
    <t>EDWARDS</t>
  </si>
  <si>
    <t>LL</t>
  </si>
  <si>
    <t>LEASE</t>
  </si>
  <si>
    <t>LEND</t>
  </si>
  <si>
    <t>LM</t>
  </si>
  <si>
    <t>MATKOVIC</t>
  </si>
  <si>
    <t>LAURENT</t>
  </si>
  <si>
    <t>LS</t>
  </si>
  <si>
    <t>LIAM</t>
  </si>
  <si>
    <t>SHIELLS</t>
  </si>
  <si>
    <t>LT</t>
  </si>
  <si>
    <t>TAN</t>
  </si>
  <si>
    <t>LUKE</t>
  </si>
  <si>
    <t>LW</t>
  </si>
  <si>
    <t>LARRY</t>
  </si>
  <si>
    <t>MA</t>
  </si>
  <si>
    <t>ANZAR</t>
  </si>
  <si>
    <t>MOHAMED</t>
  </si>
  <si>
    <t>MB</t>
  </si>
  <si>
    <t>BRYCE</t>
  </si>
  <si>
    <t>MATHEW</t>
  </si>
  <si>
    <t>MCM</t>
  </si>
  <si>
    <t>MONTGOMERY</t>
  </si>
  <si>
    <t>MALCOLM</t>
  </si>
  <si>
    <t>ME</t>
  </si>
  <si>
    <t>EVANS</t>
  </si>
  <si>
    <t>MARK</t>
  </si>
  <si>
    <t>MG</t>
  </si>
  <si>
    <t>GRAY</t>
  </si>
  <si>
    <t>MAURICE</t>
  </si>
  <si>
    <t>MGK</t>
  </si>
  <si>
    <t>GARLICK, GRAY DIVING</t>
  </si>
  <si>
    <t>MARTIN</t>
  </si>
  <si>
    <t>MIN</t>
  </si>
  <si>
    <t>INSKIP</t>
  </si>
  <si>
    <t>MJM</t>
  </si>
  <si>
    <t>MARSHELL</t>
  </si>
  <si>
    <t>MICHAEL J</t>
  </si>
  <si>
    <t>MK</t>
  </si>
  <si>
    <t>KHATTAK</t>
  </si>
  <si>
    <t>MOHAMMAD</t>
  </si>
  <si>
    <t>ML</t>
  </si>
  <si>
    <t>LEAHY</t>
  </si>
  <si>
    <t>MIKE</t>
  </si>
  <si>
    <t>MM</t>
  </si>
  <si>
    <t>MMB</t>
  </si>
  <si>
    <t>MOBBS</t>
  </si>
  <si>
    <t>MATTHEW</t>
  </si>
  <si>
    <t>MMC</t>
  </si>
  <si>
    <t>MARINE</t>
  </si>
  <si>
    <t>MC MAHONS</t>
  </si>
  <si>
    <t>MP</t>
  </si>
  <si>
    <t>PHILLIPS</t>
  </si>
  <si>
    <t>MPL</t>
  </si>
  <si>
    <t>PRELOG</t>
  </si>
  <si>
    <t>MARCIA</t>
  </si>
  <si>
    <t>MS</t>
  </si>
  <si>
    <t>SEELAN</t>
  </si>
  <si>
    <t>MATHU</t>
  </si>
  <si>
    <t>MW</t>
  </si>
  <si>
    <t>WOSCHITZKA</t>
  </si>
  <si>
    <t>MY</t>
  </si>
  <si>
    <t>YOUNGBERRY</t>
  </si>
  <si>
    <t>MICK</t>
  </si>
  <si>
    <t>NA</t>
  </si>
  <si>
    <t>ADAM</t>
  </si>
  <si>
    <t>NATASHA</t>
  </si>
  <si>
    <t>NB</t>
  </si>
  <si>
    <t>BAX</t>
  </si>
  <si>
    <t>NORMAN</t>
  </si>
  <si>
    <t>NCB</t>
  </si>
  <si>
    <t>BATTYE</t>
  </si>
  <si>
    <t>NOEL</t>
  </si>
  <si>
    <t>ENDO - (GHD)</t>
  </si>
  <si>
    <t>NORIAKI</t>
  </si>
  <si>
    <t>NF</t>
  </si>
  <si>
    <t>FISHER</t>
  </si>
  <si>
    <t>NATHAN</t>
  </si>
  <si>
    <t>NG</t>
  </si>
  <si>
    <t>GEEGANAGE</t>
  </si>
  <si>
    <t>NEWTON</t>
  </si>
  <si>
    <t>NIB</t>
  </si>
  <si>
    <t>BUCKLEY</t>
  </si>
  <si>
    <t>NEVILLE IAN</t>
  </si>
  <si>
    <t>NJ</t>
  </si>
  <si>
    <t>JUNG</t>
  </si>
  <si>
    <t>NEIL</t>
  </si>
  <si>
    <t>NY</t>
  </si>
  <si>
    <t>YOUNG</t>
  </si>
  <si>
    <t>OJS</t>
  </si>
  <si>
    <t>OX</t>
  </si>
  <si>
    <t>XIAO</t>
  </si>
  <si>
    <t>PB</t>
  </si>
  <si>
    <t>PETER</t>
  </si>
  <si>
    <t>PE</t>
  </si>
  <si>
    <t>EVERINGHAM</t>
  </si>
  <si>
    <t>PF</t>
  </si>
  <si>
    <t>FLACK</t>
  </si>
  <si>
    <t>PFC</t>
  </si>
  <si>
    <t>CONSULTING ENGINEERING</t>
  </si>
  <si>
    <t>PATHFLOW</t>
  </si>
  <si>
    <t>PI</t>
  </si>
  <si>
    <t>IRVINE</t>
  </si>
  <si>
    <t>PATRICK</t>
  </si>
  <si>
    <t>PJ</t>
  </si>
  <si>
    <t>KARAJAYLI</t>
  </si>
  <si>
    <t>PHILIP</t>
  </si>
  <si>
    <t>PJS</t>
  </si>
  <si>
    <t>STITT</t>
  </si>
  <si>
    <t>PK</t>
  </si>
  <si>
    <t>KERKENEZOV,P.M.P.DIVING</t>
  </si>
  <si>
    <t>PL</t>
  </si>
  <si>
    <t>LING</t>
  </si>
  <si>
    <t>PLB</t>
  </si>
  <si>
    <t>BATTERHAM</t>
  </si>
  <si>
    <t>PENELOPE</t>
  </si>
  <si>
    <t>PM</t>
  </si>
  <si>
    <t>MCRAE</t>
  </si>
  <si>
    <t>PMA</t>
  </si>
  <si>
    <t>MAHAR</t>
  </si>
  <si>
    <t>PS</t>
  </si>
  <si>
    <t>PARVEZ</t>
  </si>
  <si>
    <t>SHAH</t>
  </si>
  <si>
    <t>PT</t>
  </si>
  <si>
    <t>TON</t>
  </si>
  <si>
    <t>PVW</t>
  </si>
  <si>
    <t>VAN DER WEL</t>
  </si>
  <si>
    <t>PWS</t>
  </si>
  <si>
    <t>SHEEN</t>
  </si>
  <si>
    <t>QLE</t>
  </si>
  <si>
    <t>QUOC</t>
  </si>
  <si>
    <t>QOC</t>
  </si>
  <si>
    <t>QUO</t>
  </si>
  <si>
    <t>QUOK</t>
  </si>
  <si>
    <t>RA</t>
  </si>
  <si>
    <t>AVARD</t>
  </si>
  <si>
    <t>ROB</t>
  </si>
  <si>
    <t>RAM</t>
  </si>
  <si>
    <t>RAMANAN</t>
  </si>
  <si>
    <t>RB</t>
  </si>
  <si>
    <t>BREW</t>
  </si>
  <si>
    <t>ROBERT</t>
  </si>
  <si>
    <t>RC</t>
  </si>
  <si>
    <t>RYAN</t>
  </si>
  <si>
    <t>RDE</t>
  </si>
  <si>
    <t>DENNING</t>
  </si>
  <si>
    <t>RON</t>
  </si>
  <si>
    <t>RE</t>
  </si>
  <si>
    <t>TECHNOLOGY</t>
  </si>
  <si>
    <t>REMEDIAL</t>
  </si>
  <si>
    <t>RG</t>
  </si>
  <si>
    <t>GUNN</t>
  </si>
  <si>
    <t>RIS</t>
  </si>
  <si>
    <t>ISLAM</t>
  </si>
  <si>
    <t>RAFIQUL</t>
  </si>
  <si>
    <t>RL</t>
  </si>
  <si>
    <t>LIANG</t>
  </si>
  <si>
    <t>RHODE</t>
  </si>
  <si>
    <t>RM</t>
  </si>
  <si>
    <t>MURPHY</t>
  </si>
  <si>
    <t>ROSS</t>
  </si>
  <si>
    <t>RMJ</t>
  </si>
  <si>
    <t>ROS</t>
  </si>
  <si>
    <t>SUTCLIFFE</t>
  </si>
  <si>
    <t>RR</t>
  </si>
  <si>
    <t>ROOKE</t>
  </si>
  <si>
    <t>RS</t>
  </si>
  <si>
    <t>STEWART</t>
  </si>
  <si>
    <t>RAY</t>
  </si>
  <si>
    <t>RT</t>
  </si>
  <si>
    <t>RV</t>
  </si>
  <si>
    <t>VYTHILINKAM</t>
  </si>
  <si>
    <t>RAGAVAN</t>
  </si>
  <si>
    <t>RW</t>
  </si>
  <si>
    <t>WEERACKOON</t>
  </si>
  <si>
    <t>RISHI</t>
  </si>
  <si>
    <t>SAM</t>
  </si>
  <si>
    <t>SHRESTHA</t>
  </si>
  <si>
    <t>SB</t>
  </si>
  <si>
    <t>BUDD</t>
  </si>
  <si>
    <t>STEVE</t>
  </si>
  <si>
    <t>SCD</t>
  </si>
  <si>
    <t>SOUTHERN COMMERCIAL DIVERS</t>
  </si>
  <si>
    <t>LES GRIFFIN</t>
  </si>
  <si>
    <t>SD</t>
  </si>
  <si>
    <t>DANTHANARAYANA</t>
  </si>
  <si>
    <t>SARATH</t>
  </si>
  <si>
    <t>SE</t>
  </si>
  <si>
    <t>EVERETT</t>
  </si>
  <si>
    <t>STEPHEN</t>
  </si>
  <si>
    <t>SF</t>
  </si>
  <si>
    <t>FAYERS</t>
  </si>
  <si>
    <t>SCOTT</t>
  </si>
  <si>
    <t>SJW</t>
  </si>
  <si>
    <t>WARD</t>
  </si>
  <si>
    <t>STEVEN</t>
  </si>
  <si>
    <t>SK</t>
  </si>
  <si>
    <t>KREEMERS</t>
  </si>
  <si>
    <t>SKM</t>
  </si>
  <si>
    <t>MERZ</t>
  </si>
  <si>
    <t>SINCLAIR KNIGHT</t>
  </si>
  <si>
    <t>SM</t>
  </si>
  <si>
    <t>MODAFFERI</t>
  </si>
  <si>
    <t>SMB</t>
  </si>
  <si>
    <t>MABOTUWANA</t>
  </si>
  <si>
    <t>SISIRA</t>
  </si>
  <si>
    <t>SMC</t>
  </si>
  <si>
    <t>MCGOLDRICK</t>
  </si>
  <si>
    <t>SMH</t>
  </si>
  <si>
    <t>MITCHELHILL</t>
  </si>
  <si>
    <t>SMI</t>
  </si>
  <si>
    <t>MILLIE</t>
  </si>
  <si>
    <t>SMS</t>
  </si>
  <si>
    <t>SIVARASA</t>
  </si>
  <si>
    <t>SMUTTU</t>
  </si>
  <si>
    <t>SN</t>
  </si>
  <si>
    <t>NOWMANI</t>
  </si>
  <si>
    <t>SYED</t>
  </si>
  <si>
    <t>SNB</t>
  </si>
  <si>
    <t>BRADY</t>
  </si>
  <si>
    <t>SEAN</t>
  </si>
  <si>
    <t>SNS</t>
  </si>
  <si>
    <t>SANTHANAM</t>
  </si>
  <si>
    <t>SINGH</t>
  </si>
  <si>
    <t>PEREIRA</t>
  </si>
  <si>
    <t>SPR</t>
  </si>
  <si>
    <t>PERUMYNAR</t>
  </si>
  <si>
    <t>SIVA</t>
  </si>
  <si>
    <t>SS</t>
  </si>
  <si>
    <t>SADADCHARAN</t>
  </si>
  <si>
    <t>SADA</t>
  </si>
  <si>
    <t>SSK</t>
  </si>
  <si>
    <t>SRIKANTH</t>
  </si>
  <si>
    <t>SRI</t>
  </si>
  <si>
    <t>SW</t>
  </si>
  <si>
    <t>WATSON</t>
  </si>
  <si>
    <t>SWS</t>
  </si>
  <si>
    <t>WICKRAMASINGHE</t>
  </si>
  <si>
    <t>SARINDA</t>
  </si>
  <si>
    <t>TH</t>
  </si>
  <si>
    <t>HENDERSON</t>
  </si>
  <si>
    <t>TIM</t>
  </si>
  <si>
    <t>TI</t>
  </si>
  <si>
    <t>INSPECTIONS PTY LTD</t>
  </si>
  <si>
    <t>TM</t>
  </si>
  <si>
    <t>MENZIES</t>
  </si>
  <si>
    <t>TIMOTHY</t>
  </si>
  <si>
    <t>TN</t>
  </si>
  <si>
    <t>NASH</t>
  </si>
  <si>
    <t>TROY</t>
  </si>
  <si>
    <t>TNSW</t>
  </si>
  <si>
    <t>NSW</t>
  </si>
  <si>
    <t>TIMBER INSPECTION</t>
  </si>
  <si>
    <t>TP</t>
  </si>
  <si>
    <t>PORTER</t>
  </si>
  <si>
    <t>TOM</t>
  </si>
  <si>
    <t>TS</t>
  </si>
  <si>
    <t>SHARP</t>
  </si>
  <si>
    <t>VC</t>
  </si>
  <si>
    <t>VG</t>
  </si>
  <si>
    <t>GUPTA</t>
  </si>
  <si>
    <t>VIVEK</t>
  </si>
  <si>
    <t>VK</t>
  </si>
  <si>
    <t>KODAKALLA</t>
  </si>
  <si>
    <t>VIJAY</t>
  </si>
  <si>
    <t>VM</t>
  </si>
  <si>
    <t>MCLEAN</t>
  </si>
  <si>
    <t>VIC</t>
  </si>
  <si>
    <t>WEBB</t>
  </si>
  <si>
    <t>WK</t>
  </si>
  <si>
    <t>KUMARA</t>
  </si>
  <si>
    <t>WASANTHA</t>
  </si>
  <si>
    <t>WM</t>
  </si>
  <si>
    <t>MCQUEEN</t>
  </si>
  <si>
    <t>WAYNE</t>
  </si>
  <si>
    <t>WP</t>
  </si>
  <si>
    <t>PEARCE</t>
  </si>
  <si>
    <t>WS</t>
  </si>
  <si>
    <t>SULLIVAN</t>
  </si>
  <si>
    <t>WILLIAM</t>
  </si>
  <si>
    <t>ZA</t>
  </si>
  <si>
    <t>ARNEIL</t>
  </si>
  <si>
    <t>ZACHARIAH</t>
  </si>
  <si>
    <t>ZZ</t>
  </si>
  <si>
    <t>ZAM</t>
  </si>
  <si>
    <t>ZAN</t>
  </si>
  <si>
    <t>INSPECTYPE</t>
  </si>
  <si>
    <t>External Third Party</t>
  </si>
  <si>
    <t>Monitor</t>
  </si>
  <si>
    <t>Normal</t>
  </si>
  <si>
    <t>Special</t>
  </si>
  <si>
    <t>Test Bore</t>
  </si>
  <si>
    <t>Underwater</t>
  </si>
  <si>
    <t>JNT_BRAND</t>
  </si>
  <si>
    <t>CUST</t>
  </si>
  <si>
    <t>Custom made to specifications for the br</t>
  </si>
  <si>
    <t>HONEL</t>
  </si>
  <si>
    <t>Honel</t>
  </si>
  <si>
    <t>THRM</t>
  </si>
  <si>
    <t>Thorma</t>
  </si>
  <si>
    <t>WABO</t>
  </si>
  <si>
    <t>Wabo</t>
  </si>
  <si>
    <t>LINK_CLASS</t>
  </si>
  <si>
    <t>Local</t>
  </si>
  <si>
    <t>National</t>
  </si>
  <si>
    <t>Regional</t>
  </si>
  <si>
    <t>State</t>
  </si>
  <si>
    <t>MAT_GROUP</t>
  </si>
  <si>
    <t>Concrete</t>
  </si>
  <si>
    <t>Steel/Concrete</t>
  </si>
  <si>
    <t>Culvert</t>
  </si>
  <si>
    <t>Culvert_Concrete</t>
  </si>
  <si>
    <t>PARCH</t>
  </si>
  <si>
    <t>PTRUS</t>
  </si>
  <si>
    <t>Steel</t>
  </si>
  <si>
    <t>SBASC</t>
  </si>
  <si>
    <t>Culvert_Steel</t>
  </si>
  <si>
    <t>Timber-Traditional Technology</t>
  </si>
  <si>
    <t>Timber-Modern Technology</t>
  </si>
  <si>
    <t>MEDIANTYPE</t>
  </si>
  <si>
    <t>Corrugated Guardrail</t>
  </si>
  <si>
    <t>Mountable</t>
  </si>
  <si>
    <t>Painted on Road Ssurface</t>
  </si>
  <si>
    <t>MEH_MCOMP</t>
  </si>
  <si>
    <t>A General Description</t>
  </si>
  <si>
    <t>Accumulator</t>
  </si>
  <si>
    <t>Actuators</t>
  </si>
  <si>
    <t>BackupPowerSupply</t>
  </si>
  <si>
    <t>Backup Power Supply</t>
  </si>
  <si>
    <t>Bearings</t>
  </si>
  <si>
    <t>Bottom Plank</t>
  </si>
  <si>
    <t>Brake</t>
  </si>
  <si>
    <t>BridgeLockingSystem</t>
  </si>
  <si>
    <t>Bridge Locking System</t>
  </si>
  <si>
    <t>Cabin</t>
  </si>
  <si>
    <t>CCTV Camera</t>
  </si>
  <si>
    <t>Counterweight</t>
  </si>
  <si>
    <t>Counter weight</t>
  </si>
  <si>
    <t>Counterweight Ropes</t>
  </si>
  <si>
    <t>Coupling</t>
  </si>
  <si>
    <t>Crane</t>
  </si>
  <si>
    <t>Crank Handle</t>
  </si>
  <si>
    <t>Cylinder</t>
  </si>
  <si>
    <t>Dog Clutch</t>
  </si>
  <si>
    <t>Drainage Systems</t>
  </si>
  <si>
    <t>Drawings</t>
  </si>
  <si>
    <t>Driving Pinion</t>
  </si>
  <si>
    <t>Drum and Ring Gear</t>
  </si>
  <si>
    <t>Electrical</t>
  </si>
  <si>
    <t>ElectricalSystems</t>
  </si>
  <si>
    <t>Electrical Systems</t>
  </si>
  <si>
    <t>EmergencyLoweringSystem</t>
  </si>
  <si>
    <t>Emergency Lowering System</t>
  </si>
  <si>
    <t>Engine/Generator</t>
  </si>
  <si>
    <t>Ferry</t>
  </si>
  <si>
    <t>Filter</t>
  </si>
  <si>
    <t>Fire Control</t>
  </si>
  <si>
    <t>Fire Systems</t>
  </si>
  <si>
    <t>First Aid Kit</t>
  </si>
  <si>
    <t>Flap</t>
  </si>
  <si>
    <t>Fuel Tank</t>
  </si>
  <si>
    <t>Fuel Tanks</t>
  </si>
  <si>
    <t>Gantry</t>
  </si>
  <si>
    <t>Gasoline Water Pump</t>
  </si>
  <si>
    <t>Gates</t>
  </si>
  <si>
    <t>Gear</t>
  </si>
  <si>
    <t>Gear Box</t>
  </si>
  <si>
    <t>Guide Wheel</t>
  </si>
  <si>
    <t>Height Indicator</t>
  </si>
  <si>
    <t>Hull</t>
  </si>
  <si>
    <t>Hydraulic</t>
  </si>
  <si>
    <t>Invertor</t>
  </si>
  <si>
    <t>Lifebuoy</t>
  </si>
  <si>
    <t>Lift</t>
  </si>
  <si>
    <t>Lighting Systems</t>
  </si>
  <si>
    <t>Lights</t>
  </si>
  <si>
    <t>Lubrication</t>
  </si>
  <si>
    <t>Miscellaneous/Utilities</t>
  </si>
  <si>
    <t>Motor</t>
  </si>
  <si>
    <t>Motor Hydraulic</t>
  </si>
  <si>
    <t>Oil Separator System</t>
  </si>
  <si>
    <t>Others</t>
  </si>
  <si>
    <t>Pinion</t>
  </si>
  <si>
    <t>Pneumatic Buffer</t>
  </si>
  <si>
    <t>PowerPack</t>
  </si>
  <si>
    <t>Power Pack</t>
  </si>
  <si>
    <t>Pump</t>
  </si>
  <si>
    <t>Reservoir</t>
  </si>
  <si>
    <t>RopesCounterWeightOther</t>
  </si>
  <si>
    <t>Ropes Counter Weight Other</t>
  </si>
  <si>
    <t>Safety Equipment</t>
  </si>
  <si>
    <t>Shafts</t>
  </si>
  <si>
    <t>Sheaves</t>
  </si>
  <si>
    <t>Signage</t>
  </si>
  <si>
    <t>Signs</t>
  </si>
  <si>
    <t>Spacers &amp; Collars</t>
  </si>
  <si>
    <t>Spur Wheel</t>
  </si>
  <si>
    <t>Structure</t>
  </si>
  <si>
    <t>Traffic Control Systems</t>
  </si>
  <si>
    <t>Traffic Surveillance Systems</t>
  </si>
  <si>
    <t>Transmission</t>
  </si>
  <si>
    <t>Tunnel Control Centre</t>
  </si>
  <si>
    <t>Utilities</t>
  </si>
  <si>
    <t>Valve</t>
  </si>
  <si>
    <t>Ventilation Systems and Monitoring</t>
  </si>
  <si>
    <t>Vertical</t>
  </si>
  <si>
    <t>Water Separator</t>
  </si>
  <si>
    <t>Water Supply Systems</t>
  </si>
  <si>
    <t>Wheel</t>
  </si>
  <si>
    <t>Wheels</t>
  </si>
  <si>
    <t>Winch</t>
  </si>
  <si>
    <t>X Crossing</t>
  </si>
  <si>
    <t>XX Other Items</t>
  </si>
  <si>
    <t>Z Spare Parts</t>
  </si>
  <si>
    <t>MNTR_MGR</t>
  </si>
  <si>
    <t>CTI Consultants</t>
  </si>
  <si>
    <t>CONNEL WAGNER</t>
  </si>
  <si>
    <t>GHD</t>
  </si>
  <si>
    <t>GL</t>
  </si>
  <si>
    <t>GEOLINK</t>
  </si>
  <si>
    <t>K</t>
  </si>
  <si>
    <t>A.R.T.C</t>
  </si>
  <si>
    <t>MAUNSELL &amp; PARTNERS</t>
  </si>
  <si>
    <t>R.M.S.</t>
  </si>
  <si>
    <t>SAV</t>
  </si>
  <si>
    <t>SAVCOR</t>
  </si>
  <si>
    <t>TEXCELL PTY. LTD.</t>
  </si>
  <si>
    <t>MNTR_TYPE</t>
  </si>
  <si>
    <t>Manual</t>
  </si>
  <si>
    <t>RO</t>
  </si>
  <si>
    <t>Remote only</t>
  </si>
  <si>
    <t>MOVDECKSPN</t>
  </si>
  <si>
    <t>BASCULE SPAN</t>
  </si>
  <si>
    <t>LIFT SPAN</t>
  </si>
  <si>
    <t>NOT MOVABLE DECK SPAN</t>
  </si>
  <si>
    <t>SWING SPAN</t>
  </si>
  <si>
    <t>OPERSTATUS</t>
  </si>
  <si>
    <t>Preparation of Drawings</t>
  </si>
  <si>
    <t>Under Construction</t>
  </si>
  <si>
    <t>Decommissioned (Not controlled by RTA)</t>
  </si>
  <si>
    <t>Completed but Not Opened To Traffic</t>
  </si>
  <si>
    <t>Opened To Traffic</t>
  </si>
  <si>
    <t>Superseded (Bridge Changed / Replaced)</t>
  </si>
  <si>
    <t>Closed To Traffic</t>
  </si>
  <si>
    <t>T1</t>
  </si>
  <si>
    <t>Steel Pole with Circular Section No Arm</t>
  </si>
  <si>
    <t>T2</t>
  </si>
  <si>
    <t>Steel Pole with Octangonal Section No Arm</t>
  </si>
  <si>
    <t>T3</t>
  </si>
  <si>
    <t>Steel Pole with SHS Section No Arm</t>
  </si>
  <si>
    <t>T4</t>
  </si>
  <si>
    <t>Steel Pole with Circular Section Single Arm</t>
  </si>
  <si>
    <t>T5</t>
  </si>
  <si>
    <t>Steel Pole with Octangonal Section Single Arm</t>
  </si>
  <si>
    <t>T6</t>
  </si>
  <si>
    <t>Steel Pole with SHS Section Single Arm</t>
  </si>
  <si>
    <t>T7</t>
  </si>
  <si>
    <t>Steel Pole with Circular Section Double Arm</t>
  </si>
  <si>
    <t>T8</t>
  </si>
  <si>
    <t>Steel Pole with Octangonal Section Double Arm</t>
  </si>
  <si>
    <t>T9</t>
  </si>
  <si>
    <t>Steel Pole with SHS Section Double Arm</t>
  </si>
  <si>
    <t>PRIOR_C1</t>
  </si>
  <si>
    <t>Low Risk</t>
  </si>
  <si>
    <t>Medium Risk</t>
  </si>
  <si>
    <t>High Risk</t>
  </si>
  <si>
    <t>Urgent</t>
  </si>
  <si>
    <t>PRIOR_C2</t>
  </si>
  <si>
    <t>PRIOR_C3</t>
  </si>
  <si>
    <t>Limited Traffic</t>
  </si>
  <si>
    <t>Low Traffic</t>
  </si>
  <si>
    <t>Fair Traffic</t>
  </si>
  <si>
    <t>Considerable Traffic</t>
  </si>
  <si>
    <t>Heavy Traffic</t>
  </si>
  <si>
    <t>PRIOR_C4</t>
  </si>
  <si>
    <t>Small number of RMAs per bridge</t>
  </si>
  <si>
    <t>Moderate number of RMAs per bridge</t>
  </si>
  <si>
    <t>Considerable number of RMAs per bridge</t>
  </si>
  <si>
    <t>Extensive number of RMAs per bridge</t>
  </si>
  <si>
    <t>PROPSLTYPE</t>
  </si>
  <si>
    <t>NOAC</t>
  </si>
  <si>
    <t>No action</t>
  </si>
  <si>
    <t>REPR</t>
  </si>
  <si>
    <t>Repair</t>
  </si>
  <si>
    <t>RPLC</t>
  </si>
  <si>
    <t>Replace</t>
  </si>
  <si>
    <t>GALVANISED</t>
  </si>
  <si>
    <t>PAINT WITH LEAD</t>
  </si>
  <si>
    <t>NO COATING</t>
  </si>
  <si>
    <t>PAINT WITHOUT LEAD</t>
  </si>
  <si>
    <t>PROVDEFCNT</t>
  </si>
  <si>
    <t>CWRS</t>
  </si>
  <si>
    <t>CARRIGEWAY WIDTH RESTRICTED</t>
  </si>
  <si>
    <t>DETR</t>
  </si>
  <si>
    <t>DETOUR</t>
  </si>
  <si>
    <t>LOLI</t>
  </si>
  <si>
    <t>LOAD LIMIT</t>
  </si>
  <si>
    <t>SITR</t>
  </si>
  <si>
    <t>SIDE TRACK</t>
  </si>
  <si>
    <t>SPLI</t>
  </si>
  <si>
    <t>SPEED LIMIT</t>
  </si>
  <si>
    <t>SUBB</t>
  </si>
  <si>
    <t>SUPPORTED BY BAILEY BRIDGING</t>
  </si>
  <si>
    <t>SUTO</t>
  </si>
  <si>
    <t>SUPPORTED BY TOMMING</t>
  </si>
  <si>
    <t>SUUT</t>
  </si>
  <si>
    <t>SUPPORTED BY UNDERTRUSSING</t>
  </si>
  <si>
    <t>TEBR</t>
  </si>
  <si>
    <t>TEMPORARY BRIDGING</t>
  </si>
  <si>
    <t>RC_GROUP</t>
  </si>
  <si>
    <t>Auslink Roads</t>
  </si>
  <si>
    <t>State Roads</t>
  </si>
  <si>
    <t>Local Roads</t>
  </si>
  <si>
    <t>Regional Roads</t>
  </si>
  <si>
    <t>Low Traffic Volume</t>
  </si>
  <si>
    <t>Medium to Low Traffic Volume</t>
  </si>
  <si>
    <t>Medium Traffic Volume</t>
  </si>
  <si>
    <t>Moderate to High Traffic Volume</t>
  </si>
  <si>
    <t>High Traffic Volume</t>
  </si>
  <si>
    <t>Highest Traffic Volume</t>
  </si>
  <si>
    <t>RDLNCLASS</t>
  </si>
  <si>
    <t>Auslink Road</t>
  </si>
  <si>
    <t>Local Road</t>
  </si>
  <si>
    <t>Regional Road</t>
  </si>
  <si>
    <t>State Road</t>
  </si>
  <si>
    <t>RISK_CATG</t>
  </si>
  <si>
    <t>Low</t>
  </si>
  <si>
    <t xml:space="preserve"> &lt; 4</t>
  </si>
  <si>
    <t>Medium</t>
  </si>
  <si>
    <t xml:space="preserve"> 4  -  9</t>
  </si>
  <si>
    <t>High</t>
  </si>
  <si>
    <t xml:space="preserve"> &gt; 16</t>
  </si>
  <si>
    <t>RISK_TYPES</t>
  </si>
  <si>
    <t>ASB</t>
  </si>
  <si>
    <t>Asbestos</t>
  </si>
  <si>
    <t>DO NOT disturb, Support crew, Policy awareness.</t>
  </si>
  <si>
    <t>BAE</t>
  </si>
  <si>
    <t>Barge and EWP</t>
  </si>
  <si>
    <t>Life Jackets / Safety Harness</t>
  </si>
  <si>
    <t>BCH</t>
  </si>
  <si>
    <t>Biological and Chemical Hazards</t>
  </si>
  <si>
    <t>Non contact, Remove, Isolate, Risk assess, SWMS, PPE, Mechanical Aids</t>
  </si>
  <si>
    <t>BOC</t>
  </si>
  <si>
    <t>Boat / Canoe</t>
  </si>
  <si>
    <t>Life Jackets / Boat Safety Gear</t>
  </si>
  <si>
    <t>Communication</t>
  </si>
  <si>
    <t>Mobile, RFS Support Staff</t>
  </si>
  <si>
    <t>CSPA</t>
  </si>
  <si>
    <t>Confined Spaces</t>
  </si>
  <si>
    <t>Training, Test space, Permit, RFS support crew, Use RCI</t>
  </si>
  <si>
    <t>DRV</t>
  </si>
  <si>
    <t>Driving RTA Vehicle</t>
  </si>
  <si>
    <t>Follow RTA Safe Driving Policy</t>
  </si>
  <si>
    <t>FEF</t>
  </si>
  <si>
    <t>Fence: - Electric, Fauna, Barbed</t>
  </si>
  <si>
    <t>Install gates, Avoid electric fences</t>
  </si>
  <si>
    <t>FOB</t>
  </si>
  <si>
    <t>Falling Objects</t>
  </si>
  <si>
    <t>PPE - Hardhat</t>
  </si>
  <si>
    <t>FWH</t>
  </si>
  <si>
    <t>Fatigue and Working Hours</t>
  </si>
  <si>
    <t>Frequent Drink / Rest Breaks</t>
  </si>
  <si>
    <t>HMT</t>
  </si>
  <si>
    <t>Hot Materials</t>
  </si>
  <si>
    <t>PPE - Gloves, Mechanical Aids</t>
  </si>
  <si>
    <t>HSUB</t>
  </si>
  <si>
    <t>Hazardous substances</t>
  </si>
  <si>
    <t>Non contact, remove, isolate, risk assess, SWMS, PPE</t>
  </si>
  <si>
    <t>LWRK</t>
  </si>
  <si>
    <t>Lone Worker</t>
  </si>
  <si>
    <t>Contact base, PLB, Policy awareness</t>
  </si>
  <si>
    <t>MHL</t>
  </si>
  <si>
    <t>Manual Handling</t>
  </si>
  <si>
    <t>Training, Mechanical Aids</t>
  </si>
  <si>
    <t>MOP</t>
  </si>
  <si>
    <t>Mobile Plant</t>
  </si>
  <si>
    <t>Flashing Lights, Hi-vis Garments, Movement alarms</t>
  </si>
  <si>
    <t>NOIS</t>
  </si>
  <si>
    <t>Noise</t>
  </si>
  <si>
    <t>Earmuffs/Plugs</t>
  </si>
  <si>
    <t>PPE</t>
  </si>
  <si>
    <t>Incorrect use of PPE</t>
  </si>
  <si>
    <t>Use correctly, Training</t>
  </si>
  <si>
    <t>SAE</t>
  </si>
  <si>
    <t>Site Access and Egress</t>
  </si>
  <si>
    <t>Use and note best entry and exit points, Stairs where available</t>
  </si>
  <si>
    <t>SST</t>
  </si>
  <si>
    <t>Snakes, Spiders, Ticks, Leeches etc</t>
  </si>
  <si>
    <t>Situational awareness. Long pants, good boots, repellant</t>
  </si>
  <si>
    <t>STS</t>
  </si>
  <si>
    <t>Steep Slopes</t>
  </si>
  <si>
    <t>Use best entry point, EWP, scaffolds etc</t>
  </si>
  <si>
    <t>TOOL</t>
  </si>
  <si>
    <t>Use of Tools / equipment like chainsaw, ladder etc.</t>
  </si>
  <si>
    <t>Training, Required licence / certificate, Follow Manufacturer's Specifications.</t>
  </si>
  <si>
    <t>USTH</t>
  </si>
  <si>
    <t>Uneven Surfaces &amp; Trip Hazards</t>
  </si>
  <si>
    <t>Access Routes Kept Clear</t>
  </si>
  <si>
    <t>UTS</t>
  </si>
  <si>
    <t>Utilities and Services</t>
  </si>
  <si>
    <t>Location Noted, Avoid Contact.</t>
  </si>
  <si>
    <t>UVR</t>
  </si>
  <si>
    <t>UV Radiation</t>
  </si>
  <si>
    <t>Long Sleeves, Hat, Sunscreen</t>
  </si>
  <si>
    <t>WKH</t>
  </si>
  <si>
    <t>Working at Heights</t>
  </si>
  <si>
    <t>Mechanical Aids, PPE, Training</t>
  </si>
  <si>
    <t>WNT</t>
  </si>
  <si>
    <t>Working near Traffic</t>
  </si>
  <si>
    <t>Flashing Lights, Hi-vis Garments, Be observant, Traffic spotter</t>
  </si>
  <si>
    <t>National Highway</t>
  </si>
  <si>
    <t>SPAN_TYPE</t>
  </si>
  <si>
    <t>ARCH</t>
  </si>
  <si>
    <t>Arch</t>
  </si>
  <si>
    <t>BASC</t>
  </si>
  <si>
    <t>Bascule</t>
  </si>
  <si>
    <t>BEAM</t>
  </si>
  <si>
    <t>Beam (incl. Rolled Steel Beam)</t>
  </si>
  <si>
    <t>BFGI</t>
  </si>
  <si>
    <t>Broad Flange Girder</t>
  </si>
  <si>
    <t>BOXG</t>
  </si>
  <si>
    <t>Box Girder</t>
  </si>
  <si>
    <t>BUTG</t>
  </si>
  <si>
    <t>Bulb 'T' Girder</t>
  </si>
  <si>
    <t>CABL</t>
  </si>
  <si>
    <t>Cable Stayed</t>
  </si>
  <si>
    <t>CPBG</t>
  </si>
  <si>
    <t>Cast in Place Box Girder</t>
  </si>
  <si>
    <t>CULP</t>
  </si>
  <si>
    <t>Culvert, Precast</t>
  </si>
  <si>
    <t>Culvert, Cast in Place</t>
  </si>
  <si>
    <t>DOOL</t>
  </si>
  <si>
    <t>Doolan Type of Deck</t>
  </si>
  <si>
    <t>FRAM</t>
  </si>
  <si>
    <t>Frame</t>
  </si>
  <si>
    <t>GIRD</t>
  </si>
  <si>
    <t>"I" Girder (PSC or Steel Fabricated)</t>
  </si>
  <si>
    <t>ILBG</t>
  </si>
  <si>
    <t>Incrementally Launched Box Girder</t>
  </si>
  <si>
    <t>MISC</t>
  </si>
  <si>
    <t>Miscellaneous</t>
  </si>
  <si>
    <t>NLAM</t>
  </si>
  <si>
    <t>Nailed Laminated Deck</t>
  </si>
  <si>
    <t>PIPE</t>
  </si>
  <si>
    <t>Pipe</t>
  </si>
  <si>
    <t>PLNK</t>
  </si>
  <si>
    <t>PSBG</t>
  </si>
  <si>
    <t>Precast Segmental Box Girder</t>
  </si>
  <si>
    <t>SLAB</t>
  </si>
  <si>
    <t>Slab, Cast in Place</t>
  </si>
  <si>
    <t>SLAM</t>
  </si>
  <si>
    <t>Stress Laminated Deck</t>
  </si>
  <si>
    <t>SLBP</t>
  </si>
  <si>
    <t>Slab, Precast</t>
  </si>
  <si>
    <t>SUSP</t>
  </si>
  <si>
    <t>Suspension</t>
  </si>
  <si>
    <t>SUTG</t>
  </si>
  <si>
    <t>Super 'T' Girder</t>
  </si>
  <si>
    <t>TLAM</t>
  </si>
  <si>
    <t>Do NOT use this Type, please.</t>
  </si>
  <si>
    <t>TROG</t>
  </si>
  <si>
    <t>Trough Girder</t>
  </si>
  <si>
    <t>TRUS</t>
  </si>
  <si>
    <t>Truss</t>
  </si>
  <si>
    <t>UNIT</t>
  </si>
  <si>
    <t>PSC Bridge Unit</t>
  </si>
  <si>
    <t>VSLB</t>
  </si>
  <si>
    <t>Voided Slab</t>
  </si>
  <si>
    <t>SPANMATRL</t>
  </si>
  <si>
    <t>Reinforced Concrete</t>
  </si>
  <si>
    <t>Fibre Reinforced Plastic</t>
  </si>
  <si>
    <t>Tunnel Lining - Various Materials</t>
  </si>
  <si>
    <t>Natural Rock (Bored through Earth)</t>
  </si>
  <si>
    <t>Other ; In Truss, Timber with Steel ties</t>
  </si>
  <si>
    <t>ST_ELECT</t>
  </si>
  <si>
    <t>ALBURY</t>
  </si>
  <si>
    <t>AUBURN</t>
  </si>
  <si>
    <t>BALLINA</t>
  </si>
  <si>
    <t>BALMAIN</t>
  </si>
  <si>
    <t>BANKSTOWN</t>
  </si>
  <si>
    <t>BARWON</t>
  </si>
  <si>
    <t>BATHURST</t>
  </si>
  <si>
    <t>BAULKHAM HILLS</t>
  </si>
  <si>
    <t>BEGA</t>
  </si>
  <si>
    <t>BLACKTOWN</t>
  </si>
  <si>
    <t>BLUE MOUNTAINS</t>
  </si>
  <si>
    <t>COOTAMUNDRA</t>
  </si>
  <si>
    <t>CABRAMATTA</t>
  </si>
  <si>
    <t>CAMDEN</t>
  </si>
  <si>
    <t>CAMPBELLTOWN</t>
  </si>
  <si>
    <t>CANTERBURY</t>
  </si>
  <si>
    <t>CASTLE HILL</t>
  </si>
  <si>
    <t>CESSNOCK</t>
  </si>
  <si>
    <t>CHARLESTOWN</t>
  </si>
  <si>
    <t>CLARENCE</t>
  </si>
  <si>
    <t>COFFS HARBOUR</t>
  </si>
  <si>
    <t>COOGEE</t>
  </si>
  <si>
    <t>CRONULLA</t>
  </si>
  <si>
    <t>DAVIDSON</t>
  </si>
  <si>
    <t>DRUMMOYNE</t>
  </si>
  <si>
    <t>DUBBO</t>
  </si>
  <si>
    <t>EAST HILLS</t>
  </si>
  <si>
    <t>EPPING</t>
  </si>
  <si>
    <t>FAIRFIELD</t>
  </si>
  <si>
    <t>GOSFORD</t>
  </si>
  <si>
    <t>GOULBURN</t>
  </si>
  <si>
    <t>GRANVILLE</t>
  </si>
  <si>
    <t>HAWKESBURY</t>
  </si>
  <si>
    <t>HEATHCOTE</t>
  </si>
  <si>
    <t>HEFFRON</t>
  </si>
  <si>
    <t>HORNSBY</t>
  </si>
  <si>
    <t>KEIRA</t>
  </si>
  <si>
    <t>KIAMA</t>
  </si>
  <si>
    <t>KOGARAH</t>
  </si>
  <si>
    <t>KU-RING-GAI</t>
  </si>
  <si>
    <t>LAKE MACQUARIE</t>
  </si>
  <si>
    <t>LAKEMBA</t>
  </si>
  <si>
    <t>LANE COVE</t>
  </si>
  <si>
    <t>LISMORE</t>
  </si>
  <si>
    <t>LIVERPOOL</t>
  </si>
  <si>
    <t>LONDONDERRY</t>
  </si>
  <si>
    <t>MACQUARIE FIELDS</t>
  </si>
  <si>
    <t>MAITLAND</t>
  </si>
  <si>
    <t>MANLY</t>
  </si>
  <si>
    <t>MAROUBRA</t>
  </si>
  <si>
    <t>SUMMER HILL</t>
  </si>
  <si>
    <t>HOLSWORTHY</t>
  </si>
  <si>
    <t>MIRANDA</t>
  </si>
  <si>
    <t>MONARO</t>
  </si>
  <si>
    <t>MOUNT DRUITT</t>
  </si>
  <si>
    <t>MULGOA</t>
  </si>
  <si>
    <t>MURRAY</t>
  </si>
  <si>
    <t>MYALL LAKES</t>
  </si>
  <si>
    <t>NEWCASTLE</t>
  </si>
  <si>
    <t>NORTH SHORE</t>
  </si>
  <si>
    <t>NORTHERN TABLELANDS</t>
  </si>
  <si>
    <t>OATLEY</t>
  </si>
  <si>
    <t>ORANGE</t>
  </si>
  <si>
    <t>OXLEY</t>
  </si>
  <si>
    <t>PARRAMATTA</t>
  </si>
  <si>
    <t>PENRITH</t>
  </si>
  <si>
    <t>PITTWATER</t>
  </si>
  <si>
    <t>PORT MACQUARIE</t>
  </si>
  <si>
    <t>PORT STEPHENS</t>
  </si>
  <si>
    <t>RIVERSTONE</t>
  </si>
  <si>
    <t>ROCKDALE</t>
  </si>
  <si>
    <t>RYDE</t>
  </si>
  <si>
    <t>SHELLHARBOUR</t>
  </si>
  <si>
    <t>PROSPECT</t>
  </si>
  <si>
    <t>SOUTH COAST</t>
  </si>
  <si>
    <t>STRATHFIELD</t>
  </si>
  <si>
    <t>SWANSEA</t>
  </si>
  <si>
    <t>SYDNEY</t>
  </si>
  <si>
    <t>TAMWORTH</t>
  </si>
  <si>
    <t>TERRIGAL</t>
  </si>
  <si>
    <t>THE ENTRANCE</t>
  </si>
  <si>
    <t>SEVEN HILLS</t>
  </si>
  <si>
    <t>TWEED</t>
  </si>
  <si>
    <t>UPPER HUNTER</t>
  </si>
  <si>
    <t>VAUCLUSE</t>
  </si>
  <si>
    <t>WAGGA WAGGA</t>
  </si>
  <si>
    <t>WAKEHURST</t>
  </si>
  <si>
    <t>WALLSEND</t>
  </si>
  <si>
    <t>WILLOUGHBY</t>
  </si>
  <si>
    <t>WOLLONDILLY</t>
  </si>
  <si>
    <t>WOLLONGONG</t>
  </si>
  <si>
    <t>WYONG</t>
  </si>
  <si>
    <t>NEWTOWN</t>
  </si>
  <si>
    <t>STR_COND</t>
  </si>
  <si>
    <t>E1</t>
  </si>
  <si>
    <t>Elect_Good</t>
  </si>
  <si>
    <t>E2</t>
  </si>
  <si>
    <t>Elect_Fair</t>
  </si>
  <si>
    <t>E3</t>
  </si>
  <si>
    <t>Elect_Poor</t>
  </si>
  <si>
    <t>EN</t>
  </si>
  <si>
    <t>No Electro Mech propulsion</t>
  </si>
  <si>
    <t>S1</t>
  </si>
  <si>
    <t>Struct_Good</t>
  </si>
  <si>
    <t>S2</t>
  </si>
  <si>
    <t>Struct_Fair</t>
  </si>
  <si>
    <t>S3</t>
  </si>
  <si>
    <t>Struct_Poor</t>
  </si>
  <si>
    <t>STR_PARTC</t>
  </si>
  <si>
    <t>RAIL</t>
  </si>
  <si>
    <t>Hand Rails / Traffic Barriers</t>
  </si>
  <si>
    <t>SUBSTR</t>
  </si>
  <si>
    <t>SUPER</t>
  </si>
  <si>
    <t>Superstructure</t>
  </si>
  <si>
    <t>TRUSS</t>
  </si>
  <si>
    <t>Truss Spans</t>
  </si>
  <si>
    <t>STRDSGLOAD</t>
  </si>
  <si>
    <t>PWD Pre 1927</t>
  </si>
  <si>
    <t>DMR 1927</t>
  </si>
  <si>
    <t>DMR 1938</t>
  </si>
  <si>
    <t>DMR 1948</t>
  </si>
  <si>
    <t>NAASRA 1970</t>
  </si>
  <si>
    <t>NAASRA 1976</t>
  </si>
  <si>
    <t>AUSTROADS 1992</t>
  </si>
  <si>
    <t>AUSTROADS 1996</t>
  </si>
  <si>
    <t>AS 5100 - 2004: Bridge Design</t>
  </si>
  <si>
    <t>AS 5100 -2017: Bridge Design</t>
  </si>
  <si>
    <t>UNKN</t>
  </si>
  <si>
    <t>Unknown</t>
  </si>
  <si>
    <t>STREAMTYPE</t>
  </si>
  <si>
    <t>DRYB</t>
  </si>
  <si>
    <t>DRY</t>
  </si>
  <si>
    <t>NAVG</t>
  </si>
  <si>
    <t>NAVIGABLE</t>
  </si>
  <si>
    <t>NLFL</t>
  </si>
  <si>
    <t>NORMAL FLOW</t>
  </si>
  <si>
    <t>STAG</t>
  </si>
  <si>
    <t>STAGNANT</t>
  </si>
  <si>
    <t>TIDL</t>
  </si>
  <si>
    <t>TIDAL</t>
  </si>
  <si>
    <t>STRUDEFTYP</t>
  </si>
  <si>
    <t>ACCI</t>
  </si>
  <si>
    <t>ACCIDENT DAMAGE</t>
  </si>
  <si>
    <t>CLTT</t>
  </si>
  <si>
    <t>CLOSED TO TRAFFIC</t>
  </si>
  <si>
    <t>DESL</t>
  </si>
  <si>
    <t>DESIGN LIMITATION</t>
  </si>
  <si>
    <t>DETE</t>
  </si>
  <si>
    <t>STRUCTURAL DETERIORATION</t>
  </si>
  <si>
    <t>SCOU</t>
  </si>
  <si>
    <t>SCOUR</t>
  </si>
  <si>
    <t>SOLF</t>
  </si>
  <si>
    <t>STRUCTURAL OVERLOAD FAILURE</t>
  </si>
  <si>
    <t>WASH</t>
  </si>
  <si>
    <t>WASHED AWAY</t>
  </si>
  <si>
    <t>SUBCONMATR</t>
  </si>
  <si>
    <t>Cast Iron</t>
  </si>
  <si>
    <t>Other Material</t>
  </si>
  <si>
    <t>Mass Concrete</t>
  </si>
  <si>
    <t>SUBSTRTYP</t>
  </si>
  <si>
    <t>BOAB</t>
  </si>
  <si>
    <t>BOXED ABUTMENT</t>
  </si>
  <si>
    <t>CFRW</t>
  </si>
  <si>
    <t>COUNTERFORT RETAINING WALL</t>
  </si>
  <si>
    <t>COPI</t>
  </si>
  <si>
    <t>CONTIGUOUS PILING</t>
  </si>
  <si>
    <t>FISS</t>
  </si>
  <si>
    <t>FRAMED INTO SUPERSTRUCTURE</t>
  </si>
  <si>
    <t>OBST</t>
  </si>
  <si>
    <t>OPEN BUTTRESS SPILL THROUGH (2 +  WALL</t>
  </si>
  <si>
    <t>OTHER TYPES</t>
  </si>
  <si>
    <t>PDRW</t>
  </si>
  <si>
    <t>PROPPED RETAINING WALL</t>
  </si>
  <si>
    <t>PTST</t>
  </si>
  <si>
    <t>PILE TRESTLE SPILL-THROUGH</t>
  </si>
  <si>
    <t>SBRS</t>
  </si>
  <si>
    <t>SILL BEAM ON REINFORCED SOIL</t>
  </si>
  <si>
    <t>SSRW</t>
  </si>
  <si>
    <t>SELF SUPPORTING RETAINING WALL</t>
  </si>
  <si>
    <t>STRP</t>
  </si>
  <si>
    <t>STRIP FOOTING</t>
  </si>
  <si>
    <t>TBRW</t>
  </si>
  <si>
    <t>TIED BACK RETAINING WALL</t>
  </si>
  <si>
    <t>abut</t>
  </si>
  <si>
    <t>TCFS</t>
  </si>
  <si>
    <t>2 OR MORE COLUMN FRAME SPILL THROUGH</t>
  </si>
  <si>
    <t>SUBSTRTYPE</t>
  </si>
  <si>
    <t>Boxed Abutment</t>
  </si>
  <si>
    <t>CARW</t>
  </si>
  <si>
    <t>Cantilever Retaining Wall</t>
  </si>
  <si>
    <t>Counterfort Retaining Wall</t>
  </si>
  <si>
    <t>Contiguous Piling</t>
  </si>
  <si>
    <t>GRRW</t>
  </si>
  <si>
    <t>Gravity Retaining Wall</t>
  </si>
  <si>
    <t>Open Buttress Spill Through</t>
  </si>
  <si>
    <t>Propped Retaining Wall</t>
  </si>
  <si>
    <t>PITR</t>
  </si>
  <si>
    <t>Pile Trestle</t>
  </si>
  <si>
    <t>pier</t>
  </si>
  <si>
    <t>Pile Trestle Spill-Through</t>
  </si>
  <si>
    <t>Sill Beam on Reinforced Soil</t>
  </si>
  <si>
    <t>SCFS</t>
  </si>
  <si>
    <t>Single Column Framed into Superstructure</t>
  </si>
  <si>
    <t>SCHS</t>
  </si>
  <si>
    <t>Single Column with Headstock</t>
  </si>
  <si>
    <t>SCOL</t>
  </si>
  <si>
    <t>Single Column</t>
  </si>
  <si>
    <t>Strip Footing</t>
  </si>
  <si>
    <t>Tied Back Retaining Wall</t>
  </si>
  <si>
    <t>TCFR</t>
  </si>
  <si>
    <t>2 or more Column Frame</t>
  </si>
  <si>
    <t>2 or more Columns Framed into Superstruc</t>
  </si>
  <si>
    <t>TCOL</t>
  </si>
  <si>
    <t>2 or more Column Detached</t>
  </si>
  <si>
    <t>TCST</t>
  </si>
  <si>
    <t>2 or more Column Frame Spill Through</t>
  </si>
  <si>
    <t>TOPI</t>
  </si>
  <si>
    <t>Tower Piers for Cable Stayed Bridges</t>
  </si>
  <si>
    <t>WALL</t>
  </si>
  <si>
    <t>Wall</t>
  </si>
  <si>
    <t>WFSS</t>
  </si>
  <si>
    <t>Wall Framed into Superstructure</t>
  </si>
  <si>
    <t>SYS_MNTR</t>
  </si>
  <si>
    <t>ABUT</t>
  </si>
  <si>
    <t>Abutment movement</t>
  </si>
  <si>
    <t>CABLE</t>
  </si>
  <si>
    <t>Cable -vibration / strain etc</t>
  </si>
  <si>
    <t>CCTV</t>
  </si>
  <si>
    <t>CCTV Cameras</t>
  </si>
  <si>
    <t>DECK</t>
  </si>
  <si>
    <t>Deck -deflection/ horiz. movement/ crack</t>
  </si>
  <si>
    <t>GROUND</t>
  </si>
  <si>
    <t>Ground movement/ subsidence</t>
  </si>
  <si>
    <t>J</t>
  </si>
  <si>
    <t>Joint</t>
  </si>
  <si>
    <t>TACP_LOC</t>
  </si>
  <si>
    <t>Arrawarra</t>
  </si>
  <si>
    <t>ABB</t>
  </si>
  <si>
    <t>Abbotsford</t>
  </si>
  <si>
    <t>ABC</t>
  </si>
  <si>
    <t>Abermain Colliery</t>
  </si>
  <si>
    <t>ABJ</t>
  </si>
  <si>
    <t>Aberdare Jct</t>
  </si>
  <si>
    <t>ABM</t>
  </si>
  <si>
    <t>Abermain</t>
  </si>
  <si>
    <t>ABP</t>
  </si>
  <si>
    <t>Airport Business Park</t>
  </si>
  <si>
    <t>ABY</t>
  </si>
  <si>
    <t>Albury</t>
  </si>
  <si>
    <t>ACJ</t>
  </si>
  <si>
    <t>Abermain Colliery Jct</t>
  </si>
  <si>
    <t>ACK</t>
  </si>
  <si>
    <t>Allans Creek</t>
  </si>
  <si>
    <t>ADG</t>
  </si>
  <si>
    <t>Adelong</t>
  </si>
  <si>
    <t>ADN</t>
  </si>
  <si>
    <t>Aberdeen</t>
  </si>
  <si>
    <t>ADQ</t>
  </si>
  <si>
    <t>Ardglen Quarry</t>
  </si>
  <si>
    <t>AEC</t>
  </si>
  <si>
    <t>Aerotropolis Core</t>
  </si>
  <si>
    <t>AEC01</t>
  </si>
  <si>
    <t>Bringelly Services Facility</t>
  </si>
  <si>
    <t>AER</t>
  </si>
  <si>
    <t>Aerosol Valley</t>
  </si>
  <si>
    <t>AES</t>
  </si>
  <si>
    <t>Aerotropolis South</t>
  </si>
  <si>
    <t>AFT</t>
  </si>
  <si>
    <t>Alfredtown</t>
  </si>
  <si>
    <t>AIR</t>
  </si>
  <si>
    <t>Airdrie</t>
  </si>
  <si>
    <t>AIY</t>
  </si>
  <si>
    <t>Armidale Yard</t>
  </si>
  <si>
    <t>AJL</t>
  </si>
  <si>
    <t>Arajoel</t>
  </si>
  <si>
    <t>AKU</t>
  </si>
  <si>
    <t>Akuna</t>
  </si>
  <si>
    <t>ALA</t>
  </si>
  <si>
    <t>Allawah</t>
  </si>
  <si>
    <t>Albert</t>
  </si>
  <si>
    <t>ALC</t>
  </si>
  <si>
    <t>Alectown West</t>
  </si>
  <si>
    <t>ALD</t>
  </si>
  <si>
    <t>Allandale</t>
  </si>
  <si>
    <t>ALE</t>
  </si>
  <si>
    <t>Alleena</t>
  </si>
  <si>
    <t>ALN</t>
  </si>
  <si>
    <t>Alpine</t>
  </si>
  <si>
    <t>ALP</t>
  </si>
  <si>
    <t>Albion Park</t>
  </si>
  <si>
    <t>ALP01</t>
  </si>
  <si>
    <t>Albion Park Traction SS</t>
  </si>
  <si>
    <t>ALP02</t>
  </si>
  <si>
    <t>Albion Park Depot</t>
  </si>
  <si>
    <t>ALX</t>
  </si>
  <si>
    <t>Alexandria</t>
  </si>
  <si>
    <t>ALX01</t>
  </si>
  <si>
    <t>ROC Cnr Mandible&amp;Wyndham St,Alexandria</t>
  </si>
  <si>
    <t>ALY</t>
  </si>
  <si>
    <t>Albury Yard</t>
  </si>
  <si>
    <t>AMA</t>
  </si>
  <si>
    <t>Amaroo</t>
  </si>
  <si>
    <t>AMP</t>
  </si>
  <si>
    <t>Ampdale</t>
  </si>
  <si>
    <t>AMR</t>
  </si>
  <si>
    <t>Amarina</t>
  </si>
  <si>
    <t>ANG</t>
  </si>
  <si>
    <t>Attunga</t>
  </si>
  <si>
    <t>ANN</t>
  </si>
  <si>
    <t>Annandale</t>
  </si>
  <si>
    <t>ANV</t>
  </si>
  <si>
    <t>Alstonville</t>
  </si>
  <si>
    <t>APB</t>
  </si>
  <si>
    <t>Appleby</t>
  </si>
  <si>
    <t>APK</t>
  </si>
  <si>
    <t>Ariah Park</t>
  </si>
  <si>
    <t>APS</t>
  </si>
  <si>
    <t>Apsley</t>
  </si>
  <si>
    <t>APY</t>
  </si>
  <si>
    <t>Auburn Yard</t>
  </si>
  <si>
    <t>APY01</t>
  </si>
  <si>
    <t>Auburn Maint Ctr (Auburn Yd)</t>
  </si>
  <si>
    <t>APY02</t>
  </si>
  <si>
    <t>Auburn Training Facility,Manchester Rd</t>
  </si>
  <si>
    <t>ARA</t>
  </si>
  <si>
    <t>Armatree</t>
  </si>
  <si>
    <t>ARD</t>
  </si>
  <si>
    <t>Ardglen</t>
  </si>
  <si>
    <t>ARE</t>
  </si>
  <si>
    <t>Ardlethan</t>
  </si>
  <si>
    <t>ARG</t>
  </si>
  <si>
    <t>Argyle</t>
  </si>
  <si>
    <t>ARH</t>
  </si>
  <si>
    <t>Arthurville</t>
  </si>
  <si>
    <t>ARL</t>
  </si>
  <si>
    <t>Airly Colliery</t>
  </si>
  <si>
    <t>ARM</t>
  </si>
  <si>
    <t>Armidale</t>
  </si>
  <si>
    <t>ARN</t>
  </si>
  <si>
    <t>Arncliffe</t>
  </si>
  <si>
    <t>ARR</t>
  </si>
  <si>
    <t>Arrangull</t>
  </si>
  <si>
    <t>ARS</t>
  </si>
  <si>
    <t>Arlington</t>
  </si>
  <si>
    <t>ART</t>
  </si>
  <si>
    <t>Artarmon</t>
  </si>
  <si>
    <t>ART01</t>
  </si>
  <si>
    <t>Artarmon Traction SS</t>
  </si>
  <si>
    <t>ARV</t>
  </si>
  <si>
    <t>Archville</t>
  </si>
  <si>
    <t>ARX</t>
  </si>
  <si>
    <t>Airly Jct</t>
  </si>
  <si>
    <t>ASH</t>
  </si>
  <si>
    <t>Ashfield</t>
  </si>
  <si>
    <t>ASH01</t>
  </si>
  <si>
    <t>Ashfield Traction SS</t>
  </si>
  <si>
    <t>ASJ</t>
  </si>
  <si>
    <t>Ashfield Jct</t>
  </si>
  <si>
    <t>ASQ</t>
  </si>
  <si>
    <t>Asquith</t>
  </si>
  <si>
    <t>ASY</t>
  </si>
  <si>
    <t>Ashley</t>
  </si>
  <si>
    <t>ATB</t>
  </si>
  <si>
    <t>Athol Bay</t>
  </si>
  <si>
    <t>ATH</t>
  </si>
  <si>
    <t>Athol</t>
  </si>
  <si>
    <t>ATK</t>
  </si>
  <si>
    <t>Atkins Road</t>
  </si>
  <si>
    <t>ATL</t>
  </si>
  <si>
    <t>Airport Terminal</t>
  </si>
  <si>
    <t>ATN</t>
  </si>
  <si>
    <t>Antiene</t>
  </si>
  <si>
    <t>ATW</t>
  </si>
  <si>
    <t>Adamstown</t>
  </si>
  <si>
    <t>ATW01</t>
  </si>
  <si>
    <t>Adamstown Traction SH</t>
  </si>
  <si>
    <t>AUB</t>
  </si>
  <si>
    <t>Auburn</t>
  </si>
  <si>
    <t>AUB01</t>
  </si>
  <si>
    <t>Auburn Traction SS</t>
  </si>
  <si>
    <t>AUB02</t>
  </si>
  <si>
    <t>Auburn Logistics Warehouse</t>
  </si>
  <si>
    <t>AUB03</t>
  </si>
  <si>
    <t>Auburn Archives Document Management Cntr</t>
  </si>
  <si>
    <t>AUB04</t>
  </si>
  <si>
    <t>Clyde Network Base</t>
  </si>
  <si>
    <t>AUB05</t>
  </si>
  <si>
    <t>Auburn eTMC (M4)</t>
  </si>
  <si>
    <t>AUB06</t>
  </si>
  <si>
    <t>Clyde Test &amp; Development Centre</t>
  </si>
  <si>
    <t>AUS</t>
  </si>
  <si>
    <t>Austinmer</t>
  </si>
  <si>
    <t>AUS01</t>
  </si>
  <si>
    <t>Austinmer Traction SS</t>
  </si>
  <si>
    <t>AUY</t>
  </si>
  <si>
    <t>Auburn Heavy Maintenance Yard</t>
  </si>
  <si>
    <t>AUY01</t>
  </si>
  <si>
    <t>L3C Heavy Maint Ctr(Auburn Hvy Maint Yd)</t>
  </si>
  <si>
    <t>AWB</t>
  </si>
  <si>
    <t>Awaba</t>
  </si>
  <si>
    <t>AWB01</t>
  </si>
  <si>
    <t>Awaba Traction SS</t>
  </si>
  <si>
    <t>AWB02</t>
  </si>
  <si>
    <t>Hawkmount Traction SH</t>
  </si>
  <si>
    <t>AYL</t>
  </si>
  <si>
    <t>Aylmerton</t>
  </si>
  <si>
    <t>AYR</t>
  </si>
  <si>
    <t>Ayrfield Colliery</t>
  </si>
  <si>
    <t>AYS</t>
  </si>
  <si>
    <t>Auburn Stabling Yard</t>
  </si>
  <si>
    <t>BAA</t>
  </si>
  <si>
    <t>Baan Baa</t>
  </si>
  <si>
    <t>BAC</t>
  </si>
  <si>
    <t>Baal Bone Colliery</t>
  </si>
  <si>
    <t>Baerami</t>
  </si>
  <si>
    <t>BAG</t>
  </si>
  <si>
    <t>Barbigal</t>
  </si>
  <si>
    <t>BAI</t>
  </si>
  <si>
    <t>Ballina</t>
  </si>
  <si>
    <t>BAI01</t>
  </si>
  <si>
    <t>Ballina Works Centre</t>
  </si>
  <si>
    <t>BAL</t>
  </si>
  <si>
    <t>Balmoral</t>
  </si>
  <si>
    <t>BAM</t>
  </si>
  <si>
    <t>Black Springs</t>
  </si>
  <si>
    <t>BAN</t>
  </si>
  <si>
    <t>Barellan</t>
  </si>
  <si>
    <t>BAQ</t>
  </si>
  <si>
    <t>Baraimal</t>
  </si>
  <si>
    <t>BAR</t>
  </si>
  <si>
    <t>Barmedman</t>
  </si>
  <si>
    <t>BAT</t>
  </si>
  <si>
    <t>Batlow</t>
  </si>
  <si>
    <t>BAU</t>
  </si>
  <si>
    <t>Bauloora</t>
  </si>
  <si>
    <t>Barooga</t>
  </si>
  <si>
    <t>BAY</t>
  </si>
  <si>
    <t>Barellan Yard</t>
  </si>
  <si>
    <t>BBA</t>
  </si>
  <si>
    <t>Barraba</t>
  </si>
  <si>
    <t>BBB</t>
  </si>
  <si>
    <t>Bungabee</t>
  </si>
  <si>
    <t>BBC</t>
  </si>
  <si>
    <t>Bellbird Colliery</t>
  </si>
  <si>
    <t>BBD</t>
  </si>
  <si>
    <t>Bribbaree Yard</t>
  </si>
  <si>
    <t>BBE</t>
  </si>
  <si>
    <t>Boambee Beach</t>
  </si>
  <si>
    <t>BBG</t>
  </si>
  <si>
    <t>Beelbangera</t>
  </si>
  <si>
    <t>BBI</t>
  </si>
  <si>
    <t>Boggabilla</t>
  </si>
  <si>
    <t>BBJ</t>
  </si>
  <si>
    <t>Baal Bone Jct</t>
  </si>
  <si>
    <t>BBK</t>
  </si>
  <si>
    <t>Bemboka</t>
  </si>
  <si>
    <t>BBN</t>
  </si>
  <si>
    <t>Ben Bullen</t>
  </si>
  <si>
    <t>BBO</t>
  </si>
  <si>
    <t>Bredbo</t>
  </si>
  <si>
    <t>BBQ</t>
  </si>
  <si>
    <t>Bobbiwaa</t>
  </si>
  <si>
    <t>BBY</t>
  </si>
  <si>
    <t>Bumberry</t>
  </si>
  <si>
    <t>Burcher</t>
  </si>
  <si>
    <t>BCK</t>
  </si>
  <si>
    <t>Boree Creek</t>
  </si>
  <si>
    <t>BCL</t>
  </si>
  <si>
    <t>Bulga Colliery</t>
  </si>
  <si>
    <t>BCO</t>
  </si>
  <si>
    <t>Berrico</t>
  </si>
  <si>
    <t>BCR</t>
  </si>
  <si>
    <t>Beecroft</t>
  </si>
  <si>
    <t>BCR01</t>
  </si>
  <si>
    <t>Beecroft Traction SS</t>
  </si>
  <si>
    <t>BCX</t>
  </si>
  <si>
    <t>Blacktown Jct</t>
  </si>
  <si>
    <t>BDE</t>
  </si>
  <si>
    <t>Baradine</t>
  </si>
  <si>
    <t>BDH</t>
  </si>
  <si>
    <t>Buladelah</t>
  </si>
  <si>
    <t>BDI</t>
  </si>
  <si>
    <t>Bondi</t>
  </si>
  <si>
    <t>BDJ</t>
  </si>
  <si>
    <t>Bindogundra</t>
  </si>
  <si>
    <t>BDK</t>
  </si>
  <si>
    <t>Bundook</t>
  </si>
  <si>
    <t>BDL</t>
  </si>
  <si>
    <t>Breadalbane</t>
  </si>
  <si>
    <t>BDM</t>
  </si>
  <si>
    <t>Bendick Murrell</t>
  </si>
  <si>
    <t>BDN</t>
  </si>
  <si>
    <t>Balladoran</t>
  </si>
  <si>
    <t>BDP</t>
  </si>
  <si>
    <t>Bardwell Park</t>
  </si>
  <si>
    <t>BDP01</t>
  </si>
  <si>
    <t>Bardwell Park Traction SH</t>
  </si>
  <si>
    <t>BDR</t>
  </si>
  <si>
    <t>Bungendore</t>
  </si>
  <si>
    <t>BDW</t>
  </si>
  <si>
    <t>Broadwater</t>
  </si>
  <si>
    <t>BDY</t>
  </si>
  <si>
    <t>Bomaderry</t>
  </si>
  <si>
    <t>BEA</t>
  </si>
  <si>
    <t>Beabula</t>
  </si>
  <si>
    <t>BEB</t>
  </si>
  <si>
    <t>Beanbri</t>
  </si>
  <si>
    <t>BEC</t>
  </si>
  <si>
    <t>Beckom</t>
  </si>
  <si>
    <t>BED</t>
  </si>
  <si>
    <t>Bendemeer</t>
  </si>
  <si>
    <t>BEE</t>
  </si>
  <si>
    <t>Bengerang</t>
  </si>
  <si>
    <t>BEG</t>
  </si>
  <si>
    <t>Bega</t>
  </si>
  <si>
    <t>BEG01</t>
  </si>
  <si>
    <t>Office 153 Auckland St,Bega</t>
  </si>
  <si>
    <t>BEG0100</t>
  </si>
  <si>
    <t>Office 153 Auckland St,Grnd Flr,Bega</t>
  </si>
  <si>
    <t>BEG0101</t>
  </si>
  <si>
    <t>Office 153 Auckland St,L1,Bega</t>
  </si>
  <si>
    <t>BEG02</t>
  </si>
  <si>
    <t>Bega Works Depot</t>
  </si>
  <si>
    <t>BEH</t>
  </si>
  <si>
    <t>Braemar Yard</t>
  </si>
  <si>
    <t>BEI</t>
  </si>
  <si>
    <t>Booberoi</t>
  </si>
  <si>
    <t>BEK</t>
  </si>
  <si>
    <t>Berkeley</t>
  </si>
  <si>
    <t>BEL</t>
  </si>
  <si>
    <t>Belford</t>
  </si>
  <si>
    <t>BEM</t>
  </si>
  <si>
    <t>Berrima</t>
  </si>
  <si>
    <t>BEN</t>
  </si>
  <si>
    <t>Ben Lomond</t>
  </si>
  <si>
    <t>BER</t>
  </si>
  <si>
    <t>BER01</t>
  </si>
  <si>
    <t>Berowra Traction SH</t>
  </si>
  <si>
    <t>BER02</t>
  </si>
  <si>
    <t>Berowra Switching Station</t>
  </si>
  <si>
    <t>BES</t>
  </si>
  <si>
    <t>Bridge Street</t>
  </si>
  <si>
    <t>BET</t>
  </si>
  <si>
    <t>Bethungra</t>
  </si>
  <si>
    <t>BEV</t>
  </si>
  <si>
    <t>Bella Vista</t>
  </si>
  <si>
    <t>BEV01</t>
  </si>
  <si>
    <t>Bella Vista Traction SS</t>
  </si>
  <si>
    <t>BEX</t>
  </si>
  <si>
    <t>Bexhill</t>
  </si>
  <si>
    <t>BEY</t>
  </si>
  <si>
    <t>Bentley</t>
  </si>
  <si>
    <t>BFD</t>
  </si>
  <si>
    <t>Blandford</t>
  </si>
  <si>
    <t>BFE</t>
  </si>
  <si>
    <t>Bloomfield</t>
  </si>
  <si>
    <t>BFH</t>
  </si>
  <si>
    <t>Beacon Hill</t>
  </si>
  <si>
    <t>BFJ</t>
  </si>
  <si>
    <t>Bloomfield Colliery Jct</t>
  </si>
  <si>
    <t>BFK</t>
  </si>
  <si>
    <t>Brush Island</t>
  </si>
  <si>
    <t>BFN</t>
  </si>
  <si>
    <t>Belfrayden</t>
  </si>
  <si>
    <t>BFQ</t>
  </si>
  <si>
    <t>Black Neds Bay</t>
  </si>
  <si>
    <t>BFR</t>
  </si>
  <si>
    <t>Bluff River</t>
  </si>
  <si>
    <t>BFS</t>
  </si>
  <si>
    <t>Bowenfels</t>
  </si>
  <si>
    <t>BFS01</t>
  </si>
  <si>
    <t>Bowenfells Traction SH</t>
  </si>
  <si>
    <t>BFU</t>
  </si>
  <si>
    <t>Blowering Reservoir</t>
  </si>
  <si>
    <t>BFV</t>
  </si>
  <si>
    <t>Bradfordville</t>
  </si>
  <si>
    <t>BFX</t>
  </si>
  <si>
    <t>Binnaway Jct</t>
  </si>
  <si>
    <t>BFY</t>
  </si>
  <si>
    <t>Boggabri Loop Jct</t>
  </si>
  <si>
    <t>BGA</t>
  </si>
  <si>
    <t>Brolgan</t>
  </si>
  <si>
    <t>BGB</t>
  </si>
  <si>
    <t>Burringbar</t>
  </si>
  <si>
    <t>BGD</t>
  </si>
  <si>
    <t>Biniguy Yard</t>
  </si>
  <si>
    <t>BGE</t>
  </si>
  <si>
    <t>Bringagee</t>
  </si>
  <si>
    <t>BGG</t>
  </si>
  <si>
    <t>Burrangong</t>
  </si>
  <si>
    <t>BGH</t>
  </si>
  <si>
    <t>Bobingah</t>
  </si>
  <si>
    <t>BGI</t>
  </si>
  <si>
    <t>Bugaldie</t>
  </si>
  <si>
    <t>BGJ</t>
  </si>
  <si>
    <t>Bangaroo</t>
  </si>
  <si>
    <t>BGK</t>
  </si>
  <si>
    <t>Brogans Creek</t>
  </si>
  <si>
    <t>BGL</t>
  </si>
  <si>
    <t>Brewongle</t>
  </si>
  <si>
    <t>BGN</t>
  </si>
  <si>
    <t>Berrigan</t>
  </si>
  <si>
    <t>BGO</t>
  </si>
  <si>
    <t>Bargo</t>
  </si>
  <si>
    <t>BGR</t>
  </si>
  <si>
    <t>Bingara</t>
  </si>
  <si>
    <t>BGT</t>
  </si>
  <si>
    <t>Bogan Gate</t>
  </si>
  <si>
    <t>BGU</t>
  </si>
  <si>
    <t>Barangaroo</t>
  </si>
  <si>
    <t>BGU01</t>
  </si>
  <si>
    <t>Barangaroo Traction SS</t>
  </si>
  <si>
    <t>BGV</t>
  </si>
  <si>
    <t>Birchgrove</t>
  </si>
  <si>
    <t>BGY</t>
  </si>
  <si>
    <t>Biniguy</t>
  </si>
  <si>
    <t>BHL</t>
  </si>
  <si>
    <t>Baulkham Hills</t>
  </si>
  <si>
    <t>BHT</t>
  </si>
  <si>
    <t>Blackheath</t>
  </si>
  <si>
    <t>BHT01</t>
  </si>
  <si>
    <t>Blackheath Traction SH</t>
  </si>
  <si>
    <t>BHW</t>
  </si>
  <si>
    <t>Brushwood</t>
  </si>
  <si>
    <t>BHZ</t>
  </si>
  <si>
    <t>Bathurst Yard</t>
  </si>
  <si>
    <t>BIA</t>
  </si>
  <si>
    <t>Billimari</t>
  </si>
  <si>
    <t>BIB</t>
  </si>
  <si>
    <t>Bibilah</t>
  </si>
  <si>
    <t>BIC</t>
  </si>
  <si>
    <t>Bohena Creek</t>
  </si>
  <si>
    <t>BIE</t>
  </si>
  <si>
    <t>Boomooderie</t>
  </si>
  <si>
    <t>BIG</t>
  </si>
  <si>
    <t>Brightling</t>
  </si>
  <si>
    <t>BIK</t>
  </si>
  <si>
    <t>Birkalla</t>
  </si>
  <si>
    <t>BIL</t>
  </si>
  <si>
    <t>Billilingra</t>
  </si>
  <si>
    <t>BIN</t>
  </si>
  <si>
    <t>Binalong</t>
  </si>
  <si>
    <t>BIO</t>
  </si>
  <si>
    <t>Birdlip</t>
  </si>
  <si>
    <t>BIR</t>
  </si>
  <si>
    <t>Birrong</t>
  </si>
  <si>
    <t>BIU</t>
  </si>
  <si>
    <t>Birumba</t>
  </si>
  <si>
    <t>BIY</t>
  </si>
  <si>
    <t>Binalong Yard</t>
  </si>
  <si>
    <t>BJA</t>
  </si>
  <si>
    <t>Bengalla Colliery</t>
  </si>
  <si>
    <t>BJC</t>
  </si>
  <si>
    <t>Bengalla Jct</t>
  </si>
  <si>
    <t>BJE</t>
  </si>
  <si>
    <t>Boggabri Jct</t>
  </si>
  <si>
    <t>BJG</t>
  </si>
  <si>
    <t>Bega River</t>
  </si>
  <si>
    <t>Beilpajah</t>
  </si>
  <si>
    <t>BJJ</t>
  </si>
  <si>
    <t>Boolaroo</t>
  </si>
  <si>
    <t>BJK</t>
  </si>
  <si>
    <t>Budgewoi Lake</t>
  </si>
  <si>
    <t>BJM</t>
  </si>
  <si>
    <t>Balmain</t>
  </si>
  <si>
    <t>BJM01</t>
  </si>
  <si>
    <t>Ferry Depot,72 Waterview St,Balmain</t>
  </si>
  <si>
    <t>BJN</t>
  </si>
  <si>
    <t>Bondi Jct</t>
  </si>
  <si>
    <t>BJN01</t>
  </si>
  <si>
    <t>Bondi Jct Traction SH</t>
  </si>
  <si>
    <t>BJN02</t>
  </si>
  <si>
    <t>Waverley Bus Depot</t>
  </si>
  <si>
    <t>BJP</t>
  </si>
  <si>
    <t>Broomes Head</t>
  </si>
  <si>
    <t>BJR</t>
  </si>
  <si>
    <t>Bunyan</t>
  </si>
  <si>
    <t>BJS</t>
  </si>
  <si>
    <t>Bass Hill</t>
  </si>
  <si>
    <t>BJT</t>
  </si>
  <si>
    <t>Burrinjuck Dam</t>
  </si>
  <si>
    <t>BJU</t>
  </si>
  <si>
    <t>Buchanan</t>
  </si>
  <si>
    <t>BJU01</t>
  </si>
  <si>
    <t>Shed-John Renshaw Dr&amp;Hunter Exp,Buchanan</t>
  </si>
  <si>
    <t>BJV</t>
  </si>
  <si>
    <t>Burrill Lake</t>
  </si>
  <si>
    <t>BJV01</t>
  </si>
  <si>
    <t>Burrill Lake-The Broadwater</t>
  </si>
  <si>
    <t>BJW</t>
  </si>
  <si>
    <t>Brisbane Water</t>
  </si>
  <si>
    <t>BJW01</t>
  </si>
  <si>
    <t>Brisbane Water-Davistown Channel</t>
  </si>
  <si>
    <t>BJW02</t>
  </si>
  <si>
    <t>Brisbane Water-Half Tide Rocks</t>
  </si>
  <si>
    <t>BJW03</t>
  </si>
  <si>
    <t>Brisbane Water-Hardy's Bay</t>
  </si>
  <si>
    <t>BJW04</t>
  </si>
  <si>
    <t>Brisbane Water-Murphys Bay</t>
  </si>
  <si>
    <t>BJW05</t>
  </si>
  <si>
    <t>Brisbane Water-Pretty Beach</t>
  </si>
  <si>
    <t>BJW06</t>
  </si>
  <si>
    <t>Brisbane Water-Point Clare</t>
  </si>
  <si>
    <t>BJW07</t>
  </si>
  <si>
    <t>Brisbane Water-Wagstaffe Pt</t>
  </si>
  <si>
    <t>BJX</t>
  </si>
  <si>
    <t>Byrock Jct</t>
  </si>
  <si>
    <t>BJY</t>
  </si>
  <si>
    <t>Burrendong Dam</t>
  </si>
  <si>
    <t>BJZ</t>
  </si>
  <si>
    <t>Burns</t>
  </si>
  <si>
    <t>BKA</t>
  </si>
  <si>
    <t>Black Range</t>
  </si>
  <si>
    <t>BKC</t>
  </si>
  <si>
    <t>Back Creek</t>
  </si>
  <si>
    <t>BKE</t>
  </si>
  <si>
    <t>Brookvale</t>
  </si>
  <si>
    <t>BKE01</t>
  </si>
  <si>
    <t>Brookvale Bus Depot</t>
  </si>
  <si>
    <t>BKE02</t>
  </si>
  <si>
    <t>Office,Northern Beaches B-Line</t>
  </si>
  <si>
    <t>BKH</t>
  </si>
  <si>
    <t>Broken Hill</t>
  </si>
  <si>
    <t>BKI</t>
  </si>
  <si>
    <t>Bullock Island Yard</t>
  </si>
  <si>
    <t>BKL</t>
  </si>
  <si>
    <t>Blackalls Park</t>
  </si>
  <si>
    <t>BKM</t>
  </si>
  <si>
    <t>Backmede</t>
  </si>
  <si>
    <t>BKN</t>
  </si>
  <si>
    <t>Bakana</t>
  </si>
  <si>
    <t>BKO</t>
  </si>
  <si>
    <t>Bookoola</t>
  </si>
  <si>
    <t>BKP</t>
  </si>
  <si>
    <t>Breakfast Point</t>
  </si>
  <si>
    <t>BKR</t>
  </si>
  <si>
    <t>Barmedman Yard</t>
  </si>
  <si>
    <t>BKS</t>
  </si>
  <si>
    <t>Banksia</t>
  </si>
  <si>
    <t>BKV</t>
  </si>
  <si>
    <t>Berkeley Vale</t>
  </si>
  <si>
    <t>BKY</t>
  </si>
  <si>
    <t>Brooklyn</t>
  </si>
  <si>
    <t>BLA</t>
  </si>
  <si>
    <t>Blayney</t>
  </si>
  <si>
    <t>BLB</t>
  </si>
  <si>
    <t>Bullaburra</t>
  </si>
  <si>
    <t>BLC</t>
  </si>
  <si>
    <t>Bulliac</t>
  </si>
  <si>
    <t>BLE</t>
  </si>
  <si>
    <t>Balldale</t>
  </si>
  <si>
    <t>BLF</t>
  </si>
  <si>
    <t>Belfield</t>
  </si>
  <si>
    <t>BLG</t>
  </si>
  <si>
    <t>Belgamba</t>
  </si>
  <si>
    <t>BLH</t>
  </si>
  <si>
    <t>Blackwattle Bay</t>
  </si>
  <si>
    <t>BLI</t>
  </si>
  <si>
    <t>Bulli</t>
  </si>
  <si>
    <t>BLI01</t>
  </si>
  <si>
    <t>Bulli Traction SH</t>
  </si>
  <si>
    <t>BLJ</t>
  </si>
  <si>
    <t>Bellbird Jct</t>
  </si>
  <si>
    <t>BLK</t>
  </si>
  <si>
    <t>Bluff Rock</t>
  </si>
  <si>
    <t>BLL</t>
  </si>
  <si>
    <t>Bell</t>
  </si>
  <si>
    <t>BLL01</t>
  </si>
  <si>
    <t>Bell Traction SH</t>
  </si>
  <si>
    <t>BLM</t>
  </si>
  <si>
    <t>Bloomfield Colliery</t>
  </si>
  <si>
    <t>BLN</t>
  </si>
  <si>
    <t>Brawlin</t>
  </si>
  <si>
    <t>BLO</t>
  </si>
  <si>
    <t>Booloongie</t>
  </si>
  <si>
    <t>BLP</t>
  </si>
  <si>
    <t>Border Loop</t>
  </si>
  <si>
    <t>BLR</t>
  </si>
  <si>
    <t>Ballimore</t>
  </si>
  <si>
    <t>BLT</t>
  </si>
  <si>
    <t>Bellata</t>
  </si>
  <si>
    <t>BLW</t>
  </si>
  <si>
    <t>Bangalow</t>
  </si>
  <si>
    <t>BLX</t>
  </si>
  <si>
    <t>Belaringar</t>
  </si>
  <si>
    <t>BLY</t>
  </si>
  <si>
    <t>Boomley</t>
  </si>
  <si>
    <t>BMA</t>
  </si>
  <si>
    <t>Bomera</t>
  </si>
  <si>
    <t>BMB</t>
  </si>
  <si>
    <t>Bombo</t>
  </si>
  <si>
    <t>BMB01</t>
  </si>
  <si>
    <t>Bombo Traction SS</t>
  </si>
  <si>
    <t>BMD</t>
  </si>
  <si>
    <t>Broadmeadow</t>
  </si>
  <si>
    <t>BME</t>
  </si>
  <si>
    <t>Bomen Yard</t>
  </si>
  <si>
    <t>BMI</t>
  </si>
  <si>
    <t>Bellambi</t>
  </si>
  <si>
    <t>BMJ</t>
  </si>
  <si>
    <t>Belmont</t>
  </si>
  <si>
    <t>BMK</t>
  </si>
  <si>
    <t>Bambrook</t>
  </si>
  <si>
    <t>BMM</t>
  </si>
  <si>
    <t>Bommeri</t>
  </si>
  <si>
    <t>BMN</t>
  </si>
  <si>
    <t>Boppy Mountain</t>
  </si>
  <si>
    <t>BMO</t>
  </si>
  <si>
    <t>Belmore</t>
  </si>
  <si>
    <t>BMO01</t>
  </si>
  <si>
    <t>Belmore Traction SS</t>
  </si>
  <si>
    <t>BMO02</t>
  </si>
  <si>
    <t>Belmore Business Continuity Centre</t>
  </si>
  <si>
    <t>BMO03</t>
  </si>
  <si>
    <t>Belmore Ops Disaster Recovery Cntr (DRC)</t>
  </si>
  <si>
    <t>BMQ</t>
  </si>
  <si>
    <t>Bombo Quarry</t>
  </si>
  <si>
    <t>BMR</t>
  </si>
  <si>
    <t>Braemar</t>
  </si>
  <si>
    <t>BMT</t>
  </si>
  <si>
    <t>Black Mountain</t>
  </si>
  <si>
    <t>BMW</t>
  </si>
  <si>
    <t>Banksmeadow</t>
  </si>
  <si>
    <t>BMX</t>
  </si>
  <si>
    <t>Broadmeadow Up Yard</t>
  </si>
  <si>
    <t>BMY</t>
  </si>
  <si>
    <t>Broadmeadow Down Yard</t>
  </si>
  <si>
    <t>BMY01</t>
  </si>
  <si>
    <t>Broadmeadow Maint Ctr (Broadmeadow Yd)</t>
  </si>
  <si>
    <t>BNA</t>
  </si>
  <si>
    <t>Binnaway</t>
  </si>
  <si>
    <t>BNB</t>
  </si>
  <si>
    <t>Binna Burra</t>
  </si>
  <si>
    <t>BNG</t>
  </si>
  <si>
    <t>Bongalong</t>
  </si>
  <si>
    <t>BNH</t>
  </si>
  <si>
    <t>Benerembah</t>
  </si>
  <si>
    <t>BNI</t>
  </si>
  <si>
    <t>Beni</t>
  </si>
  <si>
    <t>BNJ</t>
  </si>
  <si>
    <t>Burren</t>
  </si>
  <si>
    <t>BNK</t>
  </si>
  <si>
    <t>Bankstown</t>
  </si>
  <si>
    <t>BNL</t>
  </si>
  <si>
    <t>Billinudgel</t>
  </si>
  <si>
    <t>BNN</t>
  </si>
  <si>
    <t>Bong Bong</t>
  </si>
  <si>
    <t>BNO</t>
  </si>
  <si>
    <t>Bringelly</t>
  </si>
  <si>
    <t>BNR</t>
  </si>
  <si>
    <t>Bundure</t>
  </si>
  <si>
    <t>BNS</t>
  </si>
  <si>
    <t>Braunstone</t>
  </si>
  <si>
    <t>BNX</t>
  </si>
  <si>
    <t>Branxton</t>
  </si>
  <si>
    <t>BNX01</t>
  </si>
  <si>
    <t>Shed-Rest Area,New England Hwy,Branxton</t>
  </si>
  <si>
    <t>BNY</t>
  </si>
  <si>
    <t>Binya</t>
  </si>
  <si>
    <t>BOA</t>
  </si>
  <si>
    <t>Bombala</t>
  </si>
  <si>
    <t>BOB</t>
  </si>
  <si>
    <t>Bobor</t>
  </si>
  <si>
    <t>BOD</t>
  </si>
  <si>
    <t>Boorindal</t>
  </si>
  <si>
    <t>BOE</t>
  </si>
  <si>
    <t>Barokee</t>
  </si>
  <si>
    <t>BOF</t>
  </si>
  <si>
    <t>Broken Bay</t>
  </si>
  <si>
    <t>BOG</t>
  </si>
  <si>
    <t>Boggabri</t>
  </si>
  <si>
    <t>BOI</t>
  </si>
  <si>
    <t>Boomeroi</t>
  </si>
  <si>
    <t>BOK</t>
  </si>
  <si>
    <t>Brooklana</t>
  </si>
  <si>
    <t>BOL</t>
  </si>
  <si>
    <t>Bolivia</t>
  </si>
  <si>
    <t>BOM</t>
  </si>
  <si>
    <t>Bomen</t>
  </si>
  <si>
    <t>BON</t>
  </si>
  <si>
    <t>Bon Accord</t>
  </si>
  <si>
    <t>BOO</t>
  </si>
  <si>
    <t>Burradoo</t>
  </si>
  <si>
    <t>BOR</t>
  </si>
  <si>
    <t>Borenore</t>
  </si>
  <si>
    <t>BOT</t>
  </si>
  <si>
    <t>Botfield</t>
  </si>
  <si>
    <t>BOU</t>
  </si>
  <si>
    <t>Booragul</t>
  </si>
  <si>
    <t>BOU01</t>
  </si>
  <si>
    <t>Booragul Traction SS</t>
  </si>
  <si>
    <t>BOW</t>
  </si>
  <si>
    <t>Bowral</t>
  </si>
  <si>
    <t>BOY</t>
  </si>
  <si>
    <t>Byron Bay</t>
  </si>
  <si>
    <t>BPA</t>
  </si>
  <si>
    <t>Bomaderry Yard</t>
  </si>
  <si>
    <t>BPB</t>
  </si>
  <si>
    <t>Bellinger River</t>
  </si>
  <si>
    <t>BPJ</t>
  </si>
  <si>
    <t>Ben Chifley Dam</t>
  </si>
  <si>
    <t>BPK</t>
  </si>
  <si>
    <t>Berringer Lake</t>
  </si>
  <si>
    <t>BPM</t>
  </si>
  <si>
    <t>Belubula River</t>
  </si>
  <si>
    <t>BPN</t>
  </si>
  <si>
    <t>Bogan Gate North</t>
  </si>
  <si>
    <t>BPP</t>
  </si>
  <si>
    <t>Bermagui</t>
  </si>
  <si>
    <t>BPQ</t>
  </si>
  <si>
    <t>Berowra Creek</t>
  </si>
  <si>
    <t>BPQ01</t>
  </si>
  <si>
    <t>Berowra Creek-Square Bay</t>
  </si>
  <si>
    <t>BPS</t>
  </si>
  <si>
    <t>Busby</t>
  </si>
  <si>
    <t>BPU</t>
  </si>
  <si>
    <t>Bermagui River</t>
  </si>
  <si>
    <t>BPV</t>
  </si>
  <si>
    <t>Broadway</t>
  </si>
  <si>
    <t>BPW</t>
  </si>
  <si>
    <t>Botany Bay</t>
  </si>
  <si>
    <t>BPW01</t>
  </si>
  <si>
    <t>Botany Bay-Kurnell</t>
  </si>
  <si>
    <t>BPX</t>
  </si>
  <si>
    <t>Blayney Jct</t>
  </si>
  <si>
    <t>BPZ</t>
  </si>
  <si>
    <t>Brighton Le Sands</t>
  </si>
  <si>
    <t>BQJ</t>
  </si>
  <si>
    <t xml:space="preserve">Bonville Creek </t>
  </si>
  <si>
    <t>BQS</t>
  </si>
  <si>
    <t>Temora West (Brabhams)</t>
  </si>
  <si>
    <t>BRA</t>
  </si>
  <si>
    <t>Braefield</t>
  </si>
  <si>
    <t>Bribbaree</t>
  </si>
  <si>
    <t>BRC</t>
  </si>
  <si>
    <t>Barrick</t>
  </si>
  <si>
    <t>BRD</t>
  </si>
  <si>
    <t>Berendebba</t>
  </si>
  <si>
    <t>BRE</t>
  </si>
  <si>
    <t>Brewarrina</t>
  </si>
  <si>
    <t>BRG</t>
  </si>
  <si>
    <t>Burgooney</t>
  </si>
  <si>
    <t>BRH</t>
  </si>
  <si>
    <t>Brunswick Heads</t>
  </si>
  <si>
    <t>BRI</t>
  </si>
  <si>
    <t>Bril Bril</t>
  </si>
  <si>
    <t>BRJ</t>
  </si>
  <si>
    <t>Beryl</t>
  </si>
  <si>
    <t>BRK</t>
  </si>
  <si>
    <t>Bourke</t>
  </si>
  <si>
    <t>BRL</t>
  </si>
  <si>
    <t>Berala</t>
  </si>
  <si>
    <t>BRM</t>
  </si>
  <si>
    <t>Berrima Jct</t>
  </si>
  <si>
    <t>BRN</t>
  </si>
  <si>
    <t>Boronia</t>
  </si>
  <si>
    <t>BRN01</t>
  </si>
  <si>
    <t>Boronia Traction SH</t>
  </si>
  <si>
    <t>BRO</t>
  </si>
  <si>
    <t>Brocklesby</t>
  </si>
  <si>
    <t>BRP</t>
  </si>
  <si>
    <t>Burbong</t>
  </si>
  <si>
    <t>BRR</t>
  </si>
  <si>
    <t>Burrandana</t>
  </si>
  <si>
    <t>BRU</t>
  </si>
  <si>
    <t>Brundah</t>
  </si>
  <si>
    <t>BRV</t>
  </si>
  <si>
    <t>Briggsvale</t>
  </si>
  <si>
    <t>BRW</t>
  </si>
  <si>
    <t>Birriwa</t>
  </si>
  <si>
    <t>BRY</t>
  </si>
  <si>
    <t>Berry</t>
  </si>
  <si>
    <t>BSF</t>
  </si>
  <si>
    <t>Beresfield</t>
  </si>
  <si>
    <t>BSF01</t>
  </si>
  <si>
    <t>Depot-48 Enterprise Dr,Beresfield</t>
  </si>
  <si>
    <t>BSG</t>
  </si>
  <si>
    <t>Booshang</t>
  </si>
  <si>
    <t>BSW</t>
  </si>
  <si>
    <t>Berowra Waters</t>
  </si>
  <si>
    <t>BSX</t>
  </si>
  <si>
    <t>Bogan Gate Jct</t>
  </si>
  <si>
    <t>BTB</t>
  </si>
  <si>
    <t>Boothenba</t>
  </si>
  <si>
    <t>BTE</t>
  </si>
  <si>
    <t>Bronte</t>
  </si>
  <si>
    <t>BTH</t>
  </si>
  <si>
    <t>Bathurst</t>
  </si>
  <si>
    <t>BTJ</t>
  </si>
  <si>
    <t>Blacktown Yard</t>
  </si>
  <si>
    <t>BTK</t>
  </si>
  <si>
    <t>Burrumbuttock</t>
  </si>
  <si>
    <t>BTM</t>
  </si>
  <si>
    <t>Batemans Bay</t>
  </si>
  <si>
    <t>BTM01</t>
  </si>
  <si>
    <t>Batemans Bay-South</t>
  </si>
  <si>
    <t>BTM02</t>
  </si>
  <si>
    <t>Batemans Bay-North</t>
  </si>
  <si>
    <t>BTN</t>
  </si>
  <si>
    <t>Blacktown</t>
  </si>
  <si>
    <t>BTN01</t>
  </si>
  <si>
    <t>Blacktown North Traction SS</t>
  </si>
  <si>
    <t>BTN02</t>
  </si>
  <si>
    <t>Blacktown West Traction SH</t>
  </si>
  <si>
    <t>BTN03</t>
  </si>
  <si>
    <t>Blacktown Comms Dpt cnr Prince&amp;George St</t>
  </si>
  <si>
    <t>BTN04</t>
  </si>
  <si>
    <t>Blacktown Network Base</t>
  </si>
  <si>
    <t>BTO</t>
  </si>
  <si>
    <t>Butmaroo</t>
  </si>
  <si>
    <t>BTR</t>
  </si>
  <si>
    <t>Batar</t>
  </si>
  <si>
    <t>BTY</t>
  </si>
  <si>
    <t>Botany</t>
  </si>
  <si>
    <t>BTY01</t>
  </si>
  <si>
    <t>Botany Heavy Vehicle Inspection Centre</t>
  </si>
  <si>
    <t>BUA</t>
  </si>
  <si>
    <t>Bulgary</t>
  </si>
  <si>
    <t>BUC</t>
  </si>
  <si>
    <t>Burroway</t>
  </si>
  <si>
    <t>BUD</t>
  </si>
  <si>
    <t>Buddigower</t>
  </si>
  <si>
    <t>BUG</t>
  </si>
  <si>
    <t>Bugilbone</t>
  </si>
  <si>
    <t>BUJ</t>
  </si>
  <si>
    <t>Burren Jct</t>
  </si>
  <si>
    <t>BUK</t>
  </si>
  <si>
    <t>Bukalong</t>
  </si>
  <si>
    <t>BUL</t>
  </si>
  <si>
    <t>Bungulla</t>
  </si>
  <si>
    <t>BUN</t>
  </si>
  <si>
    <t>Bundanoon</t>
  </si>
  <si>
    <t>BUO</t>
  </si>
  <si>
    <t>Beuloora</t>
  </si>
  <si>
    <t>BUR</t>
  </si>
  <si>
    <t>Burilda</t>
  </si>
  <si>
    <t>BUW</t>
  </si>
  <si>
    <t>Browns Creek</t>
  </si>
  <si>
    <t>BUX</t>
  </si>
  <si>
    <t>Buxton</t>
  </si>
  <si>
    <t>BUY</t>
  </si>
  <si>
    <t>Buralyang</t>
  </si>
  <si>
    <t>BVH</t>
  </si>
  <si>
    <t>Beverly Hills</t>
  </si>
  <si>
    <t>BVJ</t>
  </si>
  <si>
    <t>Blue Haven</t>
  </si>
  <si>
    <t>BVK</t>
  </si>
  <si>
    <t>Bonville</t>
  </si>
  <si>
    <t>BVQ</t>
  </si>
  <si>
    <t>Bexley</t>
  </si>
  <si>
    <t>BVV</t>
  </si>
  <si>
    <t>Blowering Dam</t>
  </si>
  <si>
    <t>BVX</t>
  </si>
  <si>
    <t>Barmedman Jct</t>
  </si>
  <si>
    <t>BVY</t>
  </si>
  <si>
    <t>Bombo Yard</t>
  </si>
  <si>
    <t>BWA</t>
  </si>
  <si>
    <t>Boorowa</t>
  </si>
  <si>
    <t>BWD</t>
  </si>
  <si>
    <t>Burwood</t>
  </si>
  <si>
    <t>BWD01</t>
  </si>
  <si>
    <t>Office 2-14 Elsie St,Burwood</t>
  </si>
  <si>
    <t>BWD0100</t>
  </si>
  <si>
    <t>Office 2-14 Elsie St,Grnd Floor,Burwood</t>
  </si>
  <si>
    <t>BWD0101</t>
  </si>
  <si>
    <t>Office 2-14 Elsie St,L1,Burwood</t>
  </si>
  <si>
    <t>BWD0102</t>
  </si>
  <si>
    <t>Office 2-14 Elsie St,L2,Burwood</t>
  </si>
  <si>
    <t>BWD0103</t>
  </si>
  <si>
    <t>Office 2-14 Elsie St,L3,Burwood</t>
  </si>
  <si>
    <t>BWD0104</t>
  </si>
  <si>
    <t>Office 2-14 Elsie St,L4,Burwood</t>
  </si>
  <si>
    <t>BWD0105</t>
  </si>
  <si>
    <t>Office 2-14 Elsie St,L5,Burwood</t>
  </si>
  <si>
    <t>BWD0106</t>
  </si>
  <si>
    <t>Office 2-14 Elsie St,L6,Burwood</t>
  </si>
  <si>
    <t>BWD02</t>
  </si>
  <si>
    <t>Office 16-24 Elsie St,Burwood</t>
  </si>
  <si>
    <t>BWD0200</t>
  </si>
  <si>
    <t>Office 16-24 Elsie St,Grnd Flr,Burwood</t>
  </si>
  <si>
    <t>BWD0201</t>
  </si>
  <si>
    <t>Office 16-24 Elsie St,L1,Burwood</t>
  </si>
  <si>
    <t>BWD0202</t>
  </si>
  <si>
    <t>Office 16-24 Elsie St,L2,Burwood</t>
  </si>
  <si>
    <t>BWD0203</t>
  </si>
  <si>
    <t>Office 16-24 Elsie St,L3,Burwood</t>
  </si>
  <si>
    <t>BWD02P2</t>
  </si>
  <si>
    <t>Office 16-24 Elsie St,P2 CarPark,Burwood</t>
  </si>
  <si>
    <t>BWD02P4</t>
  </si>
  <si>
    <t>Office 16-24 Elsie St,P4 CarPark,Burwood</t>
  </si>
  <si>
    <t>BWD03</t>
  </si>
  <si>
    <t>Office 36-46 George St,Burwood</t>
  </si>
  <si>
    <t>BWG</t>
  </si>
  <si>
    <t>Bowning</t>
  </si>
  <si>
    <t>BWH</t>
  </si>
  <si>
    <t>Balgowlah</t>
  </si>
  <si>
    <t>BWI</t>
  </si>
  <si>
    <t>Bellarwi</t>
  </si>
  <si>
    <t>BWJ</t>
  </si>
  <si>
    <t>Braidwood</t>
  </si>
  <si>
    <t>BWN</t>
  </si>
  <si>
    <t>Burrawang</t>
  </si>
  <si>
    <t>BWR</t>
  </si>
  <si>
    <t>Bradwell Park</t>
  </si>
  <si>
    <t>BWT</t>
  </si>
  <si>
    <t>Burwood North</t>
  </si>
  <si>
    <t>BWU</t>
  </si>
  <si>
    <t>Barwon River</t>
  </si>
  <si>
    <t>BXD</t>
  </si>
  <si>
    <t>BXD01</t>
  </si>
  <si>
    <t>Blaxland Traction SS</t>
  </si>
  <si>
    <t>BXN</t>
  </si>
  <si>
    <t>Bexley North</t>
  </si>
  <si>
    <t>BXW</t>
  </si>
  <si>
    <t>Balmain West</t>
  </si>
  <si>
    <t>BYA</t>
  </si>
  <si>
    <t>Banyabba</t>
  </si>
  <si>
    <t>BYD</t>
  </si>
  <si>
    <t>Broken Hill Yard</t>
  </si>
  <si>
    <t>BYG</t>
  </si>
  <si>
    <t>Bygalorie</t>
  </si>
  <si>
    <t>BYJ</t>
  </si>
  <si>
    <t>Botany Yard</t>
  </si>
  <si>
    <t>BYL</t>
  </si>
  <si>
    <t>Bylong</t>
  </si>
  <si>
    <t>BYM</t>
  </si>
  <si>
    <t>Berrima Yard</t>
  </si>
  <si>
    <t>BYN</t>
  </si>
  <si>
    <t>Byron</t>
  </si>
  <si>
    <t>BYO</t>
  </si>
  <si>
    <t>Booyong</t>
  </si>
  <si>
    <t>BYR</t>
  </si>
  <si>
    <t>Byrock</t>
  </si>
  <si>
    <t>BYW</t>
  </si>
  <si>
    <t>Bayswater</t>
  </si>
  <si>
    <t>BYX</t>
  </si>
  <si>
    <t>Blayney Yard</t>
  </si>
  <si>
    <t>BZA</t>
  </si>
  <si>
    <t>Breeza</t>
  </si>
  <si>
    <t>BZK</t>
  </si>
  <si>
    <t>Bangor</t>
  </si>
  <si>
    <t>BZM</t>
  </si>
  <si>
    <t>Bogan River</t>
  </si>
  <si>
    <t>BZP</t>
  </si>
  <si>
    <t>Bonnyrigg</t>
  </si>
  <si>
    <t>BZQ</t>
  </si>
  <si>
    <t>Brunswick River</t>
  </si>
  <si>
    <t>BZS</t>
  </si>
  <si>
    <t>Balmain East</t>
  </si>
  <si>
    <t>BZV</t>
  </si>
  <si>
    <t>Bayview Park</t>
  </si>
  <si>
    <t>BZX</t>
  </si>
  <si>
    <t>Bungendore Jct</t>
  </si>
  <si>
    <t>BZZ</t>
  </si>
  <si>
    <t>Bonville Creek</t>
  </si>
  <si>
    <t>Cabramatta</t>
  </si>
  <si>
    <t>CAB01</t>
  </si>
  <si>
    <t>Cabramatta Traction SS</t>
  </si>
  <si>
    <t>CAD</t>
  </si>
  <si>
    <t>Canowindra Yard</t>
  </si>
  <si>
    <t>CAE</t>
  </si>
  <si>
    <t>Calleen</t>
  </si>
  <si>
    <t>CAH</t>
  </si>
  <si>
    <t>Camden Haven</t>
  </si>
  <si>
    <t>CAJ</t>
  </si>
  <si>
    <t>Camurra Jct</t>
  </si>
  <si>
    <t>CAM</t>
  </si>
  <si>
    <t>Camberwell Colliery</t>
  </si>
  <si>
    <t>CAN</t>
  </si>
  <si>
    <t>Carbeen</t>
  </si>
  <si>
    <t>CAO</t>
  </si>
  <si>
    <t>Carroll</t>
  </si>
  <si>
    <t>CAR</t>
  </si>
  <si>
    <t>Carcoar</t>
  </si>
  <si>
    <t>CAS</t>
  </si>
  <si>
    <t>Casula</t>
  </si>
  <si>
    <t>CAT</t>
  </si>
  <si>
    <t>Cathundral</t>
  </si>
  <si>
    <t>CAY</t>
  </si>
  <si>
    <t>Collaroy</t>
  </si>
  <si>
    <t>CAZ</t>
  </si>
  <si>
    <t>Cawley</t>
  </si>
  <si>
    <t>CBA</t>
  </si>
  <si>
    <t>Coolabah</t>
  </si>
  <si>
    <t>CBB</t>
  </si>
  <si>
    <t>Currabubula</t>
  </si>
  <si>
    <t>CBC</t>
  </si>
  <si>
    <t>Cabarita</t>
  </si>
  <si>
    <t>CBD</t>
  </si>
  <si>
    <t>Cobar Yard</t>
  </si>
  <si>
    <t>CBE</t>
  </si>
  <si>
    <t>Comobella</t>
  </si>
  <si>
    <t>CBG</t>
  </si>
  <si>
    <t>Cumboogle</t>
  </si>
  <si>
    <t>CBI</t>
  </si>
  <si>
    <t>Collarenebri</t>
  </si>
  <si>
    <t>CBL</t>
  </si>
  <si>
    <t>Coonamble</t>
  </si>
  <si>
    <t>CBN</t>
  </si>
  <si>
    <t>Cullen Bullen</t>
  </si>
  <si>
    <t>CBO</t>
  </si>
  <si>
    <t>Combo</t>
  </si>
  <si>
    <t>CBR</t>
  </si>
  <si>
    <t>Cobar</t>
  </si>
  <si>
    <t>CBS</t>
  </si>
  <si>
    <t>Canobolas</t>
  </si>
  <si>
    <t>CBV</t>
  </si>
  <si>
    <t>Cabravale</t>
  </si>
  <si>
    <t>CBX</t>
  </si>
  <si>
    <t>Cabramatta Jct</t>
  </si>
  <si>
    <t>CBY</t>
  </si>
  <si>
    <t>Canterbury</t>
  </si>
  <si>
    <t>CBY01</t>
  </si>
  <si>
    <t>Canterbury Traction SH</t>
  </si>
  <si>
    <t>CBY02</t>
  </si>
  <si>
    <t>Canterbury Traction SS</t>
  </si>
  <si>
    <t>CBZ</t>
  </si>
  <si>
    <t>Coonamble South</t>
  </si>
  <si>
    <t>CCD</t>
  </si>
  <si>
    <t xml:space="preserve">Crowdy Head </t>
  </si>
  <si>
    <t>CCE</t>
  </si>
  <si>
    <t>Coal and Candle Creek</t>
  </si>
  <si>
    <t>CCF</t>
  </si>
  <si>
    <t>Coalcliff</t>
  </si>
  <si>
    <t>CCF01</t>
  </si>
  <si>
    <t>Coalcliff Traction SH</t>
  </si>
  <si>
    <t>CCH</t>
  </si>
  <si>
    <t>Chaffey Dam</t>
  </si>
  <si>
    <t>CCJ</t>
  </si>
  <si>
    <t>Charbon Colliery Jct</t>
  </si>
  <si>
    <t>CCK</t>
  </si>
  <si>
    <t>Cockle Creek</t>
  </si>
  <si>
    <t>CCK01</t>
  </si>
  <si>
    <t>Cockle Creek Traction SH</t>
  </si>
  <si>
    <t>CCL</t>
  </si>
  <si>
    <t>Coalcliff Colliery</t>
  </si>
  <si>
    <t>CCM</t>
  </si>
  <si>
    <t>Croom</t>
  </si>
  <si>
    <t>CCM01</t>
  </si>
  <si>
    <t>Croom Traction SS</t>
  </si>
  <si>
    <t>CCN</t>
  </si>
  <si>
    <t>Clarence River</t>
  </si>
  <si>
    <t>CCN01</t>
  </si>
  <si>
    <t>Clarence River-Yamba</t>
  </si>
  <si>
    <t>CCQ</t>
  </si>
  <si>
    <t>Circular Quay</t>
  </si>
  <si>
    <t>CCQ01</t>
  </si>
  <si>
    <t>Circular Quay Station SS No1</t>
  </si>
  <si>
    <t>CCQ02</t>
  </si>
  <si>
    <t>Circular Quay Station SS No2</t>
  </si>
  <si>
    <t>CCQ03</t>
  </si>
  <si>
    <t>Circular Quay Traction SS</t>
  </si>
  <si>
    <t>CCQ04</t>
  </si>
  <si>
    <t>Circular Quay Sig Elec Depot</t>
  </si>
  <si>
    <t>CCR</t>
  </si>
  <si>
    <t>Cochrane</t>
  </si>
  <si>
    <t>CCS</t>
  </si>
  <si>
    <t>Crisps Creek</t>
  </si>
  <si>
    <t>CCW</t>
  </si>
  <si>
    <t>Camurra West</t>
  </si>
  <si>
    <t>CCY</t>
  </si>
  <si>
    <t>Culcairn Yard</t>
  </si>
  <si>
    <t>CDA</t>
  </si>
  <si>
    <t>Caledonia</t>
  </si>
  <si>
    <t>CDB</t>
  </si>
  <si>
    <t>Cudgen Creek</t>
  </si>
  <si>
    <t>CDB01</t>
  </si>
  <si>
    <t>Cudgen Creek-Kingscliffe</t>
  </si>
  <si>
    <t>CDC</t>
  </si>
  <si>
    <t>Cudgera Creek</t>
  </si>
  <si>
    <t>CDF</t>
  </si>
  <si>
    <t>Cardiff</t>
  </si>
  <si>
    <t>CDF01</t>
  </si>
  <si>
    <t>Cardiff Traction SS</t>
  </si>
  <si>
    <t>CDH</t>
  </si>
  <si>
    <t>Cardiff Heights</t>
  </si>
  <si>
    <t>CDL</t>
  </si>
  <si>
    <t>Clandulla</t>
  </si>
  <si>
    <t>CDN</t>
  </si>
  <si>
    <t>Clarendon</t>
  </si>
  <si>
    <t>CDN01</t>
  </si>
  <si>
    <t>Clarendon Traction SS</t>
  </si>
  <si>
    <t>CDX</t>
  </si>
  <si>
    <t>Clarence Balloon Loop Jct</t>
  </si>
  <si>
    <t>CDZ</t>
  </si>
  <si>
    <t>Cardiff Yard</t>
  </si>
  <si>
    <t>CDZ01</t>
  </si>
  <si>
    <t>Cardiff Maint Ctr (Cardiff Yd)</t>
  </si>
  <si>
    <t>CEB</t>
  </si>
  <si>
    <t>Cherrybrook</t>
  </si>
  <si>
    <t>CEB01</t>
  </si>
  <si>
    <t>Cherrybrook Traction SS</t>
  </si>
  <si>
    <t>CEC</t>
  </si>
  <si>
    <t>Clarence</t>
  </si>
  <si>
    <t>CEE</t>
  </si>
  <si>
    <t>Coreen</t>
  </si>
  <si>
    <t>CEG</t>
  </si>
  <si>
    <t>Clergate</t>
  </si>
  <si>
    <t>CEK</t>
  </si>
  <si>
    <t>Cowan Creek</t>
  </si>
  <si>
    <t>CEL</t>
  </si>
  <si>
    <t>Coombell</t>
  </si>
  <si>
    <t>CEN</t>
  </si>
  <si>
    <t>Central</t>
  </si>
  <si>
    <t>CEN01</t>
  </si>
  <si>
    <t>Prince Alfred Traction SS</t>
  </si>
  <si>
    <t>CEN02</t>
  </si>
  <si>
    <t>Sydney Transformer Rm SS No1</t>
  </si>
  <si>
    <t>CEN03</t>
  </si>
  <si>
    <t>Sydney Transformer Rm SS No2</t>
  </si>
  <si>
    <t>CEN04</t>
  </si>
  <si>
    <t>Lee Street Traction SS</t>
  </si>
  <si>
    <t>CEN05</t>
  </si>
  <si>
    <t>Chalmers Street Traction SS</t>
  </si>
  <si>
    <t>CEN06</t>
  </si>
  <si>
    <t>Sydney Terminal Admin Building</t>
  </si>
  <si>
    <t>CEN07</t>
  </si>
  <si>
    <t>Central Traction SS</t>
  </si>
  <si>
    <t>CEN08</t>
  </si>
  <si>
    <t>CBD Network Base,Central</t>
  </si>
  <si>
    <t>CES</t>
  </si>
  <si>
    <t>Cessnock</t>
  </si>
  <si>
    <t>CEX</t>
  </si>
  <si>
    <t>Central Jct</t>
  </si>
  <si>
    <t>CEY</t>
  </si>
  <si>
    <t>Canberra Yard</t>
  </si>
  <si>
    <t>CFA</t>
  </si>
  <si>
    <t>Coffs Harbour Yard</t>
  </si>
  <si>
    <t>CFH</t>
  </si>
  <si>
    <t>Coffs Harbour</t>
  </si>
  <si>
    <t>CFO</t>
  </si>
  <si>
    <t>Clifton</t>
  </si>
  <si>
    <t>CFO01</t>
  </si>
  <si>
    <t>Clifton Traction SS</t>
  </si>
  <si>
    <t>CFT</t>
  </si>
  <si>
    <t>Califat</t>
  </si>
  <si>
    <t>CFX</t>
  </si>
  <si>
    <t>Carlingford Jct</t>
  </si>
  <si>
    <t>CFY</t>
  </si>
  <si>
    <t>CGA</t>
  </si>
  <si>
    <t>Culgoora</t>
  </si>
  <si>
    <t>CGB</t>
  </si>
  <si>
    <t>Caragabal</t>
  </si>
  <si>
    <t>CGC</t>
  </si>
  <si>
    <t>Coggan Creek</t>
  </si>
  <si>
    <t>CGD</t>
  </si>
  <si>
    <t>Caragabal Yard</t>
  </si>
  <si>
    <t>CGF</t>
  </si>
  <si>
    <t>Carlingford</t>
  </si>
  <si>
    <t>CGF01</t>
  </si>
  <si>
    <t>Carlingford Traction SS</t>
  </si>
  <si>
    <t>CGJ</t>
  </si>
  <si>
    <t>Chullora Jct</t>
  </si>
  <si>
    <t>CGJ01</t>
  </si>
  <si>
    <t>Chullora Jct Traction SH</t>
  </si>
  <si>
    <t>CGL</t>
  </si>
  <si>
    <t>Collingullie</t>
  </si>
  <si>
    <t>CGN</t>
  </si>
  <si>
    <t>Carrington</t>
  </si>
  <si>
    <t>CGN01</t>
  </si>
  <si>
    <t>Office Maritime Carrington</t>
  </si>
  <si>
    <t>CGN02</t>
  </si>
  <si>
    <t>Carrington Heavy Vehicle Inspection Cntr</t>
  </si>
  <si>
    <t>CGR</t>
  </si>
  <si>
    <t>Cunningar</t>
  </si>
  <si>
    <t>CGX</t>
  </si>
  <si>
    <t>Casino Jct</t>
  </si>
  <si>
    <t>CGY</t>
  </si>
  <si>
    <t>Cringila Yard</t>
  </si>
  <si>
    <t>CHB</t>
  </si>
  <si>
    <t>Charbon</t>
  </si>
  <si>
    <t>CHC</t>
  </si>
  <si>
    <t>Charbon Colliery</t>
  </si>
  <si>
    <t>CHD</t>
  </si>
  <si>
    <t>Chinderah</t>
  </si>
  <si>
    <t>CHH</t>
  </si>
  <si>
    <t>Chester Hill</t>
  </si>
  <si>
    <t>CHK</t>
  </si>
  <si>
    <t>Chakola</t>
  </si>
  <si>
    <t>CHL</t>
  </si>
  <si>
    <t>Currans Hill</t>
  </si>
  <si>
    <t>CHM</t>
  </si>
  <si>
    <t>Curraghmore</t>
  </si>
  <si>
    <t>CHP</t>
  </si>
  <si>
    <t>Chippendale</t>
  </si>
  <si>
    <t>CHP01</t>
  </si>
  <si>
    <t>Office 18 Lee St,Chippendale</t>
  </si>
  <si>
    <t>CHP0101</t>
  </si>
  <si>
    <t>Office 18 Lee St,L1,Chippendale</t>
  </si>
  <si>
    <t>CHP0102</t>
  </si>
  <si>
    <t>Office 18 Lee St,L2,Chippendale</t>
  </si>
  <si>
    <t>CHP0103</t>
  </si>
  <si>
    <t>Office 18 Lee St,L3,Chippendale</t>
  </si>
  <si>
    <t>CHP0106</t>
  </si>
  <si>
    <t>Office 18 Lee St,L6,Chippendale</t>
  </si>
  <si>
    <t>CHP02</t>
  </si>
  <si>
    <t>Office 20 Lee St,Chippendale</t>
  </si>
  <si>
    <t>CHR</t>
  </si>
  <si>
    <t>Charing Cross</t>
  </si>
  <si>
    <t>CHT</t>
  </si>
  <si>
    <t>Cheltenham</t>
  </si>
  <si>
    <t>CHT01</t>
  </si>
  <si>
    <t>Cheltenham Service Facility</t>
  </si>
  <si>
    <t>CHU</t>
  </si>
  <si>
    <t>Chullora Yard</t>
  </si>
  <si>
    <t>CHU01</t>
  </si>
  <si>
    <t>Chullora System SS</t>
  </si>
  <si>
    <t>CHY</t>
  </si>
  <si>
    <t>Carlachy</t>
  </si>
  <si>
    <t>CHZ</t>
  </si>
  <si>
    <t>Chullora</t>
  </si>
  <si>
    <t>CHZ01</t>
  </si>
  <si>
    <t>Chullora Depot and Logistics Warehouse</t>
  </si>
  <si>
    <t>CIH</t>
  </si>
  <si>
    <t>Chiswick</t>
  </si>
  <si>
    <t>CIX</t>
  </si>
  <si>
    <t>Coniston Jct</t>
  </si>
  <si>
    <t>CIY</t>
  </si>
  <si>
    <t>Condobolin Yard</t>
  </si>
  <si>
    <t>CJC</t>
  </si>
  <si>
    <t>Cobar CSA Jct</t>
  </si>
  <si>
    <t>CJH</t>
  </si>
  <si>
    <t>Charlestown</t>
  </si>
  <si>
    <t>CJN</t>
  </si>
  <si>
    <t>Chullora North Jct</t>
  </si>
  <si>
    <t>CJS</t>
  </si>
  <si>
    <t>Chullora South Jct</t>
  </si>
  <si>
    <t>CJW</t>
  </si>
  <si>
    <t>Chullora West Jct</t>
  </si>
  <si>
    <t>CJX</t>
  </si>
  <si>
    <t>Craboon Jct</t>
  </si>
  <si>
    <t>CJY</t>
  </si>
  <si>
    <t>Coogee</t>
  </si>
  <si>
    <t>CKD</t>
  </si>
  <si>
    <t>Caddies Creek</t>
  </si>
  <si>
    <t>CKH</t>
  </si>
  <si>
    <t>Cooks Hill</t>
  </si>
  <si>
    <t>CKI</t>
  </si>
  <si>
    <t>Chilcotts Creek</t>
  </si>
  <si>
    <t>CKL</t>
  </si>
  <si>
    <t>Cockatoo Is</t>
  </si>
  <si>
    <t>CKM</t>
  </si>
  <si>
    <t>Cookamidgera</t>
  </si>
  <si>
    <t>CKV</t>
  </si>
  <si>
    <t>Cooks River</t>
  </si>
  <si>
    <t>CKV01</t>
  </si>
  <si>
    <t>Cooks River-Muddy Creek</t>
  </si>
  <si>
    <t>CKX</t>
  </si>
  <si>
    <t>Cockle Creek Jct</t>
  </si>
  <si>
    <t>CKY</t>
  </si>
  <si>
    <t>Crookhaven Heads</t>
  </si>
  <si>
    <t>CKZ</t>
  </si>
  <si>
    <t>Crookhaven River</t>
  </si>
  <si>
    <t>CLA</t>
  </si>
  <si>
    <t>Camellia</t>
  </si>
  <si>
    <t>CLA01</t>
  </si>
  <si>
    <t>Camellia Traction SH</t>
  </si>
  <si>
    <t>CLA02</t>
  </si>
  <si>
    <t>Camellia Traction SS</t>
  </si>
  <si>
    <t>CLB</t>
  </si>
  <si>
    <t>Clyburn Jct</t>
  </si>
  <si>
    <t>CLC</t>
  </si>
  <si>
    <t>Coolac</t>
  </si>
  <si>
    <t>CLD</t>
  </si>
  <si>
    <t>Coledale</t>
  </si>
  <si>
    <t>CLE</t>
  </si>
  <si>
    <t>Cullinga</t>
  </si>
  <si>
    <t>CLF</t>
  </si>
  <si>
    <t>Clearfield</t>
  </si>
  <si>
    <t>CLH</t>
  </si>
  <si>
    <t>Coolah</t>
  </si>
  <si>
    <t>CLJ</t>
  </si>
  <si>
    <t>Clyde</t>
  </si>
  <si>
    <t>CLJ01</t>
  </si>
  <si>
    <t>Clyde System SS</t>
  </si>
  <si>
    <t>CLL</t>
  </si>
  <si>
    <t>Coolalie</t>
  </si>
  <si>
    <t>CLM</t>
  </si>
  <si>
    <t>Colombatti</t>
  </si>
  <si>
    <t>CLN</t>
  </si>
  <si>
    <t>Clarence Colliery</t>
  </si>
  <si>
    <t>CLQ</t>
  </si>
  <si>
    <t>Coolamon Yard</t>
  </si>
  <si>
    <t>CLR</t>
  </si>
  <si>
    <t>Cullerin</t>
  </si>
  <si>
    <t>CLS</t>
  </si>
  <si>
    <t>Curlewis</t>
  </si>
  <si>
    <t>CLT</t>
  </si>
  <si>
    <t>Carlton</t>
  </si>
  <si>
    <t>CLT01</t>
  </si>
  <si>
    <t>Carlton Traction SH</t>
  </si>
  <si>
    <t>CLW</t>
  </si>
  <si>
    <t>Calwalla</t>
  </si>
  <si>
    <t>CLY</t>
  </si>
  <si>
    <t>Cullya</t>
  </si>
  <si>
    <t>CMA</t>
  </si>
  <si>
    <t>Cooma</t>
  </si>
  <si>
    <t>CMB</t>
  </si>
  <si>
    <t>Combara</t>
  </si>
  <si>
    <t>CMC</t>
  </si>
  <si>
    <t>Camira Creek</t>
  </si>
  <si>
    <t>CMD</t>
  </si>
  <si>
    <t>Camden</t>
  </si>
  <si>
    <t>CME</t>
  </si>
  <si>
    <t>Cumberland Hospital</t>
  </si>
  <si>
    <t>CMI</t>
  </si>
  <si>
    <t>Cobar Csa Mine</t>
  </si>
  <si>
    <t>CMJ</t>
  </si>
  <si>
    <t>Camberwell Jct</t>
  </si>
  <si>
    <t>CMK</t>
  </si>
  <si>
    <t>Cumnock</t>
  </si>
  <si>
    <t>CML</t>
  </si>
  <si>
    <t>Corrimal</t>
  </si>
  <si>
    <t>CML01</t>
  </si>
  <si>
    <t>Corrimal Traction SS</t>
  </si>
  <si>
    <t>CMN</t>
  </si>
  <si>
    <t>Coolamon</t>
  </si>
  <si>
    <t>CMO</t>
  </si>
  <si>
    <t>Como</t>
  </si>
  <si>
    <t>CMO01</t>
  </si>
  <si>
    <t>Como Traction SS</t>
  </si>
  <si>
    <t>CMP</t>
  </si>
  <si>
    <t>Campsie</t>
  </si>
  <si>
    <t>CMP01</t>
  </si>
  <si>
    <t>Campsie Traction SS</t>
  </si>
  <si>
    <t>CMR</t>
  </si>
  <si>
    <t>Camurra</t>
  </si>
  <si>
    <t>CMS</t>
  </si>
  <si>
    <t>Camellia East</t>
  </si>
  <si>
    <t>CMU</t>
  </si>
  <si>
    <t>Colombo Creek</t>
  </si>
  <si>
    <t>CMX</t>
  </si>
  <si>
    <t>Cowra Jct</t>
  </si>
  <si>
    <t>CMY</t>
  </si>
  <si>
    <t>Coonamble Yard</t>
  </si>
  <si>
    <t>CNA</t>
  </si>
  <si>
    <t>Canowindra</t>
  </si>
  <si>
    <t>CNB</t>
  </si>
  <si>
    <t>Canberra</t>
  </si>
  <si>
    <t>CND</t>
  </si>
  <si>
    <t>Concord</t>
  </si>
  <si>
    <t>CNF</t>
  </si>
  <si>
    <t>Cronulla Yard</t>
  </si>
  <si>
    <t>CNG</t>
  </si>
  <si>
    <t>Caringbah</t>
  </si>
  <si>
    <t>CNG01</t>
  </si>
  <si>
    <t>Caringbah Traction SS</t>
  </si>
  <si>
    <t>CNL</t>
  </si>
  <si>
    <t>Cronulla</t>
  </si>
  <si>
    <t>CNL01</t>
  </si>
  <si>
    <t>Cronulla Traction SH</t>
  </si>
  <si>
    <t>Connemarra</t>
  </si>
  <si>
    <t>CNN</t>
  </si>
  <si>
    <t>Coonerang</t>
  </si>
  <si>
    <t>CNO</t>
  </si>
  <si>
    <t>Conoble</t>
  </si>
  <si>
    <t>CNS</t>
  </si>
  <si>
    <t>Coniston</t>
  </si>
  <si>
    <t>CNS01</t>
  </si>
  <si>
    <t>Coniston Traction SS</t>
  </si>
  <si>
    <t>CNT</t>
  </si>
  <si>
    <t>Cremorne Point</t>
  </si>
  <si>
    <t>CNV</t>
  </si>
  <si>
    <t>Canley Vale</t>
  </si>
  <si>
    <t>CNY</t>
  </si>
  <si>
    <t>Campbelltown Yard</t>
  </si>
  <si>
    <t>COA</t>
  </si>
  <si>
    <t>Coonabarabran</t>
  </si>
  <si>
    <t>COB</t>
  </si>
  <si>
    <t>Coorabin</t>
  </si>
  <si>
    <t>COD</t>
  </si>
  <si>
    <t>Carlwood</t>
  </si>
  <si>
    <t>COE</t>
  </si>
  <si>
    <t>Coreinbob</t>
  </si>
  <si>
    <t>COG</t>
  </si>
  <si>
    <t>Coonong</t>
  </si>
  <si>
    <t>COJ</t>
  </si>
  <si>
    <t>Cootamundra West Jct</t>
  </si>
  <si>
    <t>Colinton</t>
  </si>
  <si>
    <t>Combaning</t>
  </si>
  <si>
    <t>CON</t>
  </si>
  <si>
    <t>Condobolin</t>
  </si>
  <si>
    <t>COO</t>
  </si>
  <si>
    <t>Caroona</t>
  </si>
  <si>
    <t>COR</t>
  </si>
  <si>
    <t>Corowa</t>
  </si>
  <si>
    <t>COU</t>
  </si>
  <si>
    <t>Cougal</t>
  </si>
  <si>
    <t>COV</t>
  </si>
  <si>
    <t>Colo Vale</t>
  </si>
  <si>
    <t>COX</t>
  </si>
  <si>
    <t>Canyon Colliery</t>
  </si>
  <si>
    <t>COY</t>
  </si>
  <si>
    <t>Colley Blue</t>
  </si>
  <si>
    <t>CPA</t>
  </si>
  <si>
    <t>Capitol Square</t>
  </si>
  <si>
    <t>CPD</t>
  </si>
  <si>
    <t>Clapham Yard</t>
  </si>
  <si>
    <t>CPF</t>
  </si>
  <si>
    <t>Captains Flat</t>
  </si>
  <si>
    <t>CPM</t>
  </si>
  <si>
    <t>Coopernook</t>
  </si>
  <si>
    <t>CPT</t>
  </si>
  <si>
    <t>Cedar Point</t>
  </si>
  <si>
    <t>CPX</t>
  </si>
  <si>
    <t>Campsie Jct</t>
  </si>
  <si>
    <t>CPZ</t>
  </si>
  <si>
    <t>Croydon Park</t>
  </si>
  <si>
    <t>CQI</t>
  </si>
  <si>
    <t>Coolleearllee</t>
  </si>
  <si>
    <t>CQV</t>
  </si>
  <si>
    <t>Camden Haven River</t>
  </si>
  <si>
    <t>CQX</t>
  </si>
  <si>
    <t>Culcairn Jct</t>
  </si>
  <si>
    <t>CRA</t>
  </si>
  <si>
    <t>Craboon</t>
  </si>
  <si>
    <t>CRB</t>
  </si>
  <si>
    <t>Curban</t>
  </si>
  <si>
    <t>CRC</t>
  </si>
  <si>
    <t>Crabbes Creek</t>
  </si>
  <si>
    <t>CRD</t>
  </si>
  <si>
    <t>Concord West</t>
  </si>
  <si>
    <t>CRG</t>
  </si>
  <si>
    <t>Cringila</t>
  </si>
  <si>
    <t>CRH</t>
  </si>
  <si>
    <t>Crowther</t>
  </si>
  <si>
    <t>CRJ</t>
  </si>
  <si>
    <t>Couridjah</t>
  </si>
  <si>
    <t>CRK</t>
  </si>
  <si>
    <t>Carrick</t>
  </si>
  <si>
    <t>CRL</t>
  </si>
  <si>
    <t>Corobimilla</t>
  </si>
  <si>
    <t>CRM</t>
  </si>
  <si>
    <t>Coramba</t>
  </si>
  <si>
    <t>CRN</t>
  </si>
  <si>
    <t>Corringle</t>
  </si>
  <si>
    <t>CRO</t>
  </si>
  <si>
    <t>Crooble</t>
  </si>
  <si>
    <t>CRP</t>
  </si>
  <si>
    <t>Croppa Creek</t>
  </si>
  <si>
    <t>CRR</t>
  </si>
  <si>
    <t>Carramar</t>
  </si>
  <si>
    <t>CRT</t>
  </si>
  <si>
    <t>Carrathool</t>
  </si>
  <si>
    <t>CRW</t>
  </si>
  <si>
    <t>Cooerwull</t>
  </si>
  <si>
    <t>CRY</t>
  </si>
  <si>
    <t>Cryon</t>
  </si>
  <si>
    <t>CSC</t>
  </si>
  <si>
    <t>Cascade</t>
  </si>
  <si>
    <t>CSD</t>
  </si>
  <si>
    <t>Condong</t>
  </si>
  <si>
    <t>CSF</t>
  </si>
  <si>
    <t>Crown Street</t>
  </si>
  <si>
    <t>CSF01</t>
  </si>
  <si>
    <t>Arygle St Traction SS</t>
  </si>
  <si>
    <t>CSG</t>
  </si>
  <si>
    <t>CSH</t>
  </si>
  <si>
    <t>Castle Hill</t>
  </si>
  <si>
    <t>CSH01</t>
  </si>
  <si>
    <t>Castle Hill NWRL Project Office</t>
  </si>
  <si>
    <t>CSO</t>
  </si>
  <si>
    <t>Casino</t>
  </si>
  <si>
    <t>CST</t>
  </si>
  <si>
    <t>Crows Nest</t>
  </si>
  <si>
    <t>CSY</t>
  </si>
  <si>
    <t>Casino Yard</t>
  </si>
  <si>
    <t>CSZ</t>
  </si>
  <si>
    <t>Carter Street</t>
  </si>
  <si>
    <t>CTA</t>
  </si>
  <si>
    <t>Cootamundra</t>
  </si>
  <si>
    <t>CTC</t>
  </si>
  <si>
    <t>Charity Creek</t>
  </si>
  <si>
    <t>CTE</t>
  </si>
  <si>
    <t>Capertee</t>
  </si>
  <si>
    <t>CTJ</t>
  </si>
  <si>
    <t>Chatswood Jct</t>
  </si>
  <si>
    <t>CTK</t>
  </si>
  <si>
    <t>Chinatown</t>
  </si>
  <si>
    <t>CTK01</t>
  </si>
  <si>
    <t>Hay Street Traction SS</t>
  </si>
  <si>
    <t>CTN</t>
  </si>
  <si>
    <t>Campbelltown</t>
  </si>
  <si>
    <t>CTN01</t>
  </si>
  <si>
    <t>Campbelltown Traction SS</t>
  </si>
  <si>
    <t>CTP</t>
  </si>
  <si>
    <t>Chullora Rail Technology Campus</t>
  </si>
  <si>
    <t>CTP01</t>
  </si>
  <si>
    <t>Chullora Digital Systems Facility</t>
  </si>
  <si>
    <t>CTQ</t>
  </si>
  <si>
    <t>Campbelltown North</t>
  </si>
  <si>
    <t>CTS</t>
  </si>
  <si>
    <t>Chatswood West</t>
  </si>
  <si>
    <t>CTW</t>
  </si>
  <si>
    <t>Cootamundra West</t>
  </si>
  <si>
    <t>CTX</t>
  </si>
  <si>
    <t>Cootamundra Jct</t>
  </si>
  <si>
    <t>CTZ</t>
  </si>
  <si>
    <t>Cartwright</t>
  </si>
  <si>
    <t>CUB</t>
  </si>
  <si>
    <t>Cubbaroo</t>
  </si>
  <si>
    <t>CUD</t>
  </si>
  <si>
    <t>Curlewis Yard</t>
  </si>
  <si>
    <t>CUG</t>
  </si>
  <si>
    <t>Cudal</t>
  </si>
  <si>
    <t>CUG01</t>
  </si>
  <si>
    <t>Future Mobility Testing and Research Centre,Cudal</t>
  </si>
  <si>
    <t>CUJ</t>
  </si>
  <si>
    <t>Cootamundra North Jct</t>
  </si>
  <si>
    <t>CUL</t>
  </si>
  <si>
    <t>Culcairn</t>
  </si>
  <si>
    <t>CUN</t>
  </si>
  <si>
    <t>Cootamundra Yard</t>
  </si>
  <si>
    <t>CUY</t>
  </si>
  <si>
    <t>Clyde Up Yard</t>
  </si>
  <si>
    <t>CUY01</t>
  </si>
  <si>
    <t>Auburn Ops Dpt cnr Highgate&amp;Rawson St</t>
  </si>
  <si>
    <t>CUY02</t>
  </si>
  <si>
    <t>Clyde Heavy Plant and Resurfacing Depot</t>
  </si>
  <si>
    <t>CVB</t>
  </si>
  <si>
    <t>Chain Valley Bay</t>
  </si>
  <si>
    <t>CVC</t>
  </si>
  <si>
    <t>Civic</t>
  </si>
  <si>
    <t>CVI</t>
  </si>
  <si>
    <t>Convention</t>
  </si>
  <si>
    <t>CVL</t>
  </si>
  <si>
    <t>Cullivel</t>
  </si>
  <si>
    <t>CVN</t>
  </si>
  <si>
    <t>Craven</t>
  </si>
  <si>
    <t>CVR</t>
  </si>
  <si>
    <t>CVV</t>
  </si>
  <si>
    <t>Corindi River</t>
  </si>
  <si>
    <t>CVX</t>
  </si>
  <si>
    <t>Craven Jct</t>
  </si>
  <si>
    <t>CVY</t>
  </si>
  <si>
    <t>Cooks River Yard</t>
  </si>
  <si>
    <t>CWA</t>
  </si>
  <si>
    <t>Cowra</t>
  </si>
  <si>
    <t>CWD</t>
  </si>
  <si>
    <t>Chatswood</t>
  </si>
  <si>
    <t>CWD01</t>
  </si>
  <si>
    <t>Office TwrA,821-823 PacificHwy,Chatswood</t>
  </si>
  <si>
    <t>CWD0105</t>
  </si>
  <si>
    <t>Office TwrA,821-823 PacificHwy,L5,Chat</t>
  </si>
  <si>
    <t>CWD02</t>
  </si>
  <si>
    <t>Chatswood North Traction SS</t>
  </si>
  <si>
    <t>CWD03</t>
  </si>
  <si>
    <t>Chatswood Stn Tx Rm SS No1</t>
  </si>
  <si>
    <t>CWD04</t>
  </si>
  <si>
    <t>Chatswood Stn Tx Rm SS No2</t>
  </si>
  <si>
    <t>CWD05</t>
  </si>
  <si>
    <t>Office,12 Help St,Chatswood</t>
  </si>
  <si>
    <t>CWD06</t>
  </si>
  <si>
    <t>Office TwrB,821-823 PacificHwy,Chatswood</t>
  </si>
  <si>
    <t>CWL</t>
  </si>
  <si>
    <t>Crookwell</t>
  </si>
  <si>
    <t>CWN</t>
  </si>
  <si>
    <t>Cowan</t>
  </si>
  <si>
    <t>CWN01</t>
  </si>
  <si>
    <t>Cowan Traction SS</t>
  </si>
  <si>
    <t>CWP</t>
  </si>
  <si>
    <t>CWX</t>
  </si>
  <si>
    <t>Cowra Yard</t>
  </si>
  <si>
    <t>CXB</t>
  </si>
  <si>
    <t>Callala Bay</t>
  </si>
  <si>
    <t>CXD</t>
  </si>
  <si>
    <t>Carcoar Dam</t>
  </si>
  <si>
    <t>CXP</t>
  </si>
  <si>
    <t>Chittaway Point</t>
  </si>
  <si>
    <t>CXX</t>
  </si>
  <si>
    <t>Cullarin Range</t>
  </si>
  <si>
    <t>CYD</t>
  </si>
  <si>
    <t>Croydon</t>
  </si>
  <si>
    <t>CYH</t>
  </si>
  <si>
    <t>Campbelltown Yard South</t>
  </si>
  <si>
    <t>CYK</t>
  </si>
  <si>
    <t>Coila Lake</t>
  </si>
  <si>
    <t>CYN</t>
  </si>
  <si>
    <t>Currambene Creek</t>
  </si>
  <si>
    <t>CYQ</t>
  </si>
  <si>
    <t>Currarong Creek</t>
  </si>
  <si>
    <t>CYR</t>
  </si>
  <si>
    <t>Camellia Yard</t>
  </si>
  <si>
    <t>CYR01</t>
  </si>
  <si>
    <t>Camellia Yard Traction SS</t>
  </si>
  <si>
    <t>CYR02</t>
  </si>
  <si>
    <t>Camellia Maint Depot (Camellia Yd)</t>
  </si>
  <si>
    <t>CYX</t>
  </si>
  <si>
    <t>Clyde Jct</t>
  </si>
  <si>
    <t>CYY</t>
  </si>
  <si>
    <t>Clyde Stabling Yard</t>
  </si>
  <si>
    <t>CYY01</t>
  </si>
  <si>
    <t>Clyde Stabling Yard Train Facility</t>
  </si>
  <si>
    <t>CYY02</t>
  </si>
  <si>
    <t>Clyde Stabling Yard Services Facility</t>
  </si>
  <si>
    <t>CYZ</t>
  </si>
  <si>
    <t>Coonabarabran Yard</t>
  </si>
  <si>
    <t>CZR</t>
  </si>
  <si>
    <t>Clyde River</t>
  </si>
  <si>
    <t>DAN</t>
  </si>
  <si>
    <t>Danglemah</t>
  </si>
  <si>
    <t>DAP</t>
  </si>
  <si>
    <t>Dapto</t>
  </si>
  <si>
    <t>DAP01</t>
  </si>
  <si>
    <t>Dapto Traction SS</t>
  </si>
  <si>
    <t>DAQ</t>
  </si>
  <si>
    <t>Durras Lake</t>
  </si>
  <si>
    <t>DBA</t>
  </si>
  <si>
    <t>Dubbleda</t>
  </si>
  <si>
    <t>DBB</t>
  </si>
  <si>
    <t>Dunbible</t>
  </si>
  <si>
    <t>DBO</t>
  </si>
  <si>
    <t>Dubbo</t>
  </si>
  <si>
    <t>DBO01</t>
  </si>
  <si>
    <t>Office 188 Macquarie St,Dubbo</t>
  </si>
  <si>
    <t>DBO0101</t>
  </si>
  <si>
    <t>Office 188 Macquarie St,L1,Dubbo</t>
  </si>
  <si>
    <t>DBO02</t>
  </si>
  <si>
    <t>Office 22L Yarrandale Rd,Dubbo</t>
  </si>
  <si>
    <t>DBO03</t>
  </si>
  <si>
    <t>Dubbo District Office and Works Depot</t>
  </si>
  <si>
    <t>DBX</t>
  </si>
  <si>
    <t>Dubbo Jct</t>
  </si>
  <si>
    <t>DBY</t>
  </si>
  <si>
    <t>Double Bay</t>
  </si>
  <si>
    <t>DCK</t>
  </si>
  <si>
    <t>Dora Creek</t>
  </si>
  <si>
    <t>DCK01</t>
  </si>
  <si>
    <t>Dora Creek Traction SH</t>
  </si>
  <si>
    <t>DCX</t>
  </si>
  <si>
    <t>Duralie Coal Jct</t>
  </si>
  <si>
    <t>DEE</t>
  </si>
  <si>
    <t>Dundee</t>
  </si>
  <si>
    <t>DEI</t>
  </si>
  <si>
    <t>Dee Why</t>
  </si>
  <si>
    <t>DEJ</t>
  </si>
  <si>
    <t>Dubbo East Jct</t>
  </si>
  <si>
    <t>DEN</t>
  </si>
  <si>
    <t>Denman</t>
  </si>
  <si>
    <t>DER</t>
  </si>
  <si>
    <t>Derriwong</t>
  </si>
  <si>
    <t>DEW</t>
  </si>
  <si>
    <t>Dewrang</t>
  </si>
  <si>
    <t>DEY</t>
  </si>
  <si>
    <t>Denman Yard</t>
  </si>
  <si>
    <t>DFC</t>
  </si>
  <si>
    <t>Darlington</t>
  </si>
  <si>
    <t>DGO</t>
  </si>
  <si>
    <t>Dingadee</t>
  </si>
  <si>
    <t>DGY</t>
  </si>
  <si>
    <t>Dungog Yard</t>
  </si>
  <si>
    <t>DHA</t>
  </si>
  <si>
    <t>Darling Harbour Aquarium</t>
  </si>
  <si>
    <t>DHB</t>
  </si>
  <si>
    <t>Darling Harbour</t>
  </si>
  <si>
    <t>DHB01</t>
  </si>
  <si>
    <t>Darling Harbour-Wharf 9</t>
  </si>
  <si>
    <t>DHB02</t>
  </si>
  <si>
    <t>Darling Harbour-Wharf 10</t>
  </si>
  <si>
    <t>DHD</t>
  </si>
  <si>
    <t>Dunheved</t>
  </si>
  <si>
    <t>DHL</t>
  </si>
  <si>
    <t>Dulwich Hill</t>
  </si>
  <si>
    <t>DHL01</t>
  </si>
  <si>
    <t>Dulwich Hill Traction SS</t>
  </si>
  <si>
    <t>DHL02</t>
  </si>
  <si>
    <t>DHR</t>
  </si>
  <si>
    <t>Darling Harbour Pier 26</t>
  </si>
  <si>
    <t>DHT</t>
  </si>
  <si>
    <t>Darlinghurst</t>
  </si>
  <si>
    <t>DHV</t>
  </si>
  <si>
    <t>Darling Harbour Convention Ctr</t>
  </si>
  <si>
    <t>DIC</t>
  </si>
  <si>
    <t>Drill Creek</t>
  </si>
  <si>
    <t>DIR</t>
  </si>
  <si>
    <t>Dirrung</t>
  </si>
  <si>
    <t>DLA</t>
  </si>
  <si>
    <t>Delungra</t>
  </si>
  <si>
    <t>DLB</t>
  </si>
  <si>
    <t>Dulbolla</t>
  </si>
  <si>
    <t>DLI</t>
  </si>
  <si>
    <t>Darling Island</t>
  </si>
  <si>
    <t>DLK</t>
  </si>
  <si>
    <t>Dilkoon</t>
  </si>
  <si>
    <t>DLT</t>
  </si>
  <si>
    <t>Darlington Point</t>
  </si>
  <si>
    <t>DMB</t>
  </si>
  <si>
    <t>Dombarton</t>
  </si>
  <si>
    <t>DMD</t>
  </si>
  <si>
    <t>Demondrille</t>
  </si>
  <si>
    <t>DMF</t>
  </si>
  <si>
    <t>Dubbo Maintenance Yard</t>
  </si>
  <si>
    <t>DMF01</t>
  </si>
  <si>
    <t>Mindyarra Traction SS</t>
  </si>
  <si>
    <t>DMF02</t>
  </si>
  <si>
    <t>Mindyarra Maintenance Facility</t>
  </si>
  <si>
    <t>DMJ</t>
  </si>
  <si>
    <t>Dombarton Jct</t>
  </si>
  <si>
    <t>DMQ</t>
  </si>
  <si>
    <t>Dumaresq</t>
  </si>
  <si>
    <t>DMX</t>
  </si>
  <si>
    <t>Demondrille Jct</t>
  </si>
  <si>
    <t>DMY</t>
  </si>
  <si>
    <t>Drummoyne</t>
  </si>
  <si>
    <t>DND</t>
  </si>
  <si>
    <t>Dunedoo</t>
  </si>
  <si>
    <t>DNE</t>
  </si>
  <si>
    <t>Dripstone</t>
  </si>
  <si>
    <t>DNG</t>
  </si>
  <si>
    <t>Dungog</t>
  </si>
  <si>
    <t>DNK</t>
  </si>
  <si>
    <t>Darnick</t>
  </si>
  <si>
    <t>DNQ</t>
  </si>
  <si>
    <t>Deniliquin</t>
  </si>
  <si>
    <t>DNR</t>
  </si>
  <si>
    <t>Doon Ayre</t>
  </si>
  <si>
    <t>DNS</t>
  </si>
  <si>
    <t>Denistone</t>
  </si>
  <si>
    <t>DNY</t>
  </si>
  <si>
    <t>Dynon Yard</t>
  </si>
  <si>
    <t>DOO</t>
  </si>
  <si>
    <t>Doonside</t>
  </si>
  <si>
    <t>DOO01</t>
  </si>
  <si>
    <t>Doonside Traction SH</t>
  </si>
  <si>
    <t>DOR</t>
  </si>
  <si>
    <t>Dorrigo</t>
  </si>
  <si>
    <t>DOY</t>
  </si>
  <si>
    <t>Dubbo Yard</t>
  </si>
  <si>
    <t>DPK</t>
  </si>
  <si>
    <t>Douglas Park</t>
  </si>
  <si>
    <t>DPR</t>
  </si>
  <si>
    <t>Deep Creek</t>
  </si>
  <si>
    <t>DPT</t>
  </si>
  <si>
    <t>Darling Point</t>
  </si>
  <si>
    <t>DRB</t>
  </si>
  <si>
    <t>Daroobalgie</t>
  </si>
  <si>
    <t>DRE</t>
  </si>
  <si>
    <t>Duralie</t>
  </si>
  <si>
    <t>DRG</t>
  </si>
  <si>
    <t>Deringulla</t>
  </si>
  <si>
    <t>DRH</t>
  </si>
  <si>
    <t>Dargan</t>
  </si>
  <si>
    <t>DRI</t>
  </si>
  <si>
    <t>Duri</t>
  </si>
  <si>
    <t>DRJ</t>
  </si>
  <si>
    <t>Draytons Jct</t>
  </si>
  <si>
    <t>DRK</t>
  </si>
  <si>
    <t>Dorack</t>
  </si>
  <si>
    <t>DRL</t>
  </si>
  <si>
    <t>Dural</t>
  </si>
  <si>
    <t>DRN</t>
  </si>
  <si>
    <t>Derain</t>
  </si>
  <si>
    <t>Darling River</t>
  </si>
  <si>
    <t>Draytons Colliery</t>
  </si>
  <si>
    <t>DSW</t>
  </si>
  <si>
    <t>Dunns Swamp</t>
  </si>
  <si>
    <t>DTJ</t>
  </si>
  <si>
    <t>Dartbrook Jct</t>
  </si>
  <si>
    <t>DTK</t>
  </si>
  <si>
    <t>Dartbrook Colliery</t>
  </si>
  <si>
    <t>DTP</t>
  </si>
  <si>
    <t>Dutton Park</t>
  </si>
  <si>
    <t>DUD</t>
  </si>
  <si>
    <t>Dumaresq Dam</t>
  </si>
  <si>
    <t>DUG</t>
  </si>
  <si>
    <t>Dulwich Grove</t>
  </si>
  <si>
    <t>DUM</t>
  </si>
  <si>
    <t>Dunmore</t>
  </si>
  <si>
    <t>DUM01</t>
  </si>
  <si>
    <t>Dunmore Traction SS</t>
  </si>
  <si>
    <t>DUN</t>
  </si>
  <si>
    <t>Dundas</t>
  </si>
  <si>
    <t>DUQ</t>
  </si>
  <si>
    <t>Dumaresq Creek</t>
  </si>
  <si>
    <t>DWP</t>
  </si>
  <si>
    <t>Dawes Point</t>
  </si>
  <si>
    <t>DWP01</t>
  </si>
  <si>
    <t>Syd Hrbr Bridge Maint Office (Sth Pylon)</t>
  </si>
  <si>
    <t>DWR</t>
  </si>
  <si>
    <t>Diwarra</t>
  </si>
  <si>
    <t>DWT</t>
  </si>
  <si>
    <t>Deepwater</t>
  </si>
  <si>
    <t>DWY</t>
  </si>
  <si>
    <t>Dwyers</t>
  </si>
  <si>
    <t>DYS</t>
  </si>
  <si>
    <t>Doyles Siding</t>
  </si>
  <si>
    <t>EAH</t>
  </si>
  <si>
    <t>Evans River</t>
  </si>
  <si>
    <t>EAK</t>
  </si>
  <si>
    <t>Edward River</t>
  </si>
  <si>
    <t>EAT</t>
  </si>
  <si>
    <t>Eat Street</t>
  </si>
  <si>
    <t>EBG</t>
  </si>
  <si>
    <t>Edgeroi</t>
  </si>
  <si>
    <t>ECR</t>
  </si>
  <si>
    <t>Eastern Creek</t>
  </si>
  <si>
    <t>ECR01</t>
  </si>
  <si>
    <t>Eastern Creek Precast Facility</t>
  </si>
  <si>
    <t>ECU</t>
  </si>
  <si>
    <t>Eraring Colliery</t>
  </si>
  <si>
    <t>EDC</t>
  </si>
  <si>
    <t>Edgecombe</t>
  </si>
  <si>
    <t>EDG</t>
  </si>
  <si>
    <t>Edgecliff</t>
  </si>
  <si>
    <t>EDG01</t>
  </si>
  <si>
    <t>Edgecliff Traction SS</t>
  </si>
  <si>
    <t>EDN</t>
  </si>
  <si>
    <t>Eden</t>
  </si>
  <si>
    <t>EDN01</t>
  </si>
  <si>
    <t>Eden-Lookout Pt</t>
  </si>
  <si>
    <t>EDN02</t>
  </si>
  <si>
    <t>Eden-Munganno Pt</t>
  </si>
  <si>
    <t>EDN03</t>
  </si>
  <si>
    <t>Eden-Quarantine Bay</t>
  </si>
  <si>
    <t>EDN04</t>
  </si>
  <si>
    <t>Eden-Snug Cove</t>
  </si>
  <si>
    <t>EDN05</t>
  </si>
  <si>
    <t>Eden-Thompson Pt</t>
  </si>
  <si>
    <t>EDP</t>
  </si>
  <si>
    <t>Edmondson Park</t>
  </si>
  <si>
    <t>EDP01</t>
  </si>
  <si>
    <t>Edmondson Park Traction SS</t>
  </si>
  <si>
    <t>EFY</t>
  </si>
  <si>
    <t>Enfield Yard</t>
  </si>
  <si>
    <t>EGD</t>
  </si>
  <si>
    <t>Engadine</t>
  </si>
  <si>
    <t>EGD01</t>
  </si>
  <si>
    <t>Engadine Traction SH</t>
  </si>
  <si>
    <t>EGL</t>
  </si>
  <si>
    <t>Egelabra</t>
  </si>
  <si>
    <t>EGN</t>
  </si>
  <si>
    <t>East Greta Jct</t>
  </si>
  <si>
    <t>EGP</t>
  </si>
  <si>
    <t>East Greta Jct Yard</t>
  </si>
  <si>
    <t>EGY</t>
  </si>
  <si>
    <t>Eugowra Yard</t>
  </si>
  <si>
    <t>EHI</t>
  </si>
  <si>
    <t>Emerald Hill</t>
  </si>
  <si>
    <t>EHL</t>
  </si>
  <si>
    <t>East Hills</t>
  </si>
  <si>
    <t>EHL01</t>
  </si>
  <si>
    <t>East Hills Signals Depot</t>
  </si>
  <si>
    <t>EHX</t>
  </si>
  <si>
    <t>Exhibition Centre</t>
  </si>
  <si>
    <t>EHX01</t>
  </si>
  <si>
    <t>Exhibition Centre Traction SS</t>
  </si>
  <si>
    <t>EHY</t>
  </si>
  <si>
    <t>Emerald Hill Yard</t>
  </si>
  <si>
    <t>EKS</t>
  </si>
  <si>
    <t>Eastlakes</t>
  </si>
  <si>
    <t>ELD</t>
  </si>
  <si>
    <t>Elderslie</t>
  </si>
  <si>
    <t>ELG</t>
  </si>
  <si>
    <t>Elong Elong</t>
  </si>
  <si>
    <t>ELL</t>
  </si>
  <si>
    <t>Ellsmore</t>
  </si>
  <si>
    <t>ELM</t>
  </si>
  <si>
    <t>Eltham</t>
  </si>
  <si>
    <t>ELT</t>
  </si>
  <si>
    <t>East Lithgow Colliery</t>
  </si>
  <si>
    <t>ELU</t>
  </si>
  <si>
    <t>Elura</t>
  </si>
  <si>
    <t>EMD</t>
  </si>
  <si>
    <t>East Maitland</t>
  </si>
  <si>
    <t>ENF</t>
  </si>
  <si>
    <t>Enfield</t>
  </si>
  <si>
    <t>ENG</t>
  </si>
  <si>
    <t>Eungai</t>
  </si>
  <si>
    <t>ENI</t>
  </si>
  <si>
    <t>Ennisdale</t>
  </si>
  <si>
    <t>ENM</t>
  </si>
  <si>
    <t>Enmore</t>
  </si>
  <si>
    <t>EPG</t>
  </si>
  <si>
    <t>Epping</t>
  </si>
  <si>
    <t>EPG01</t>
  </si>
  <si>
    <t>Epping Traction SS</t>
  </si>
  <si>
    <t>EPG02</t>
  </si>
  <si>
    <t>Epping Station North SS</t>
  </si>
  <si>
    <t>EPG03</t>
  </si>
  <si>
    <t>Epping Station South SS</t>
  </si>
  <si>
    <t>EPG04</t>
  </si>
  <si>
    <t>Devlins Creek SH</t>
  </si>
  <si>
    <t>EPG05</t>
  </si>
  <si>
    <t>Epping NWRL Project Office</t>
  </si>
  <si>
    <t>EPG06</t>
  </si>
  <si>
    <t>Epping Service Facility</t>
  </si>
  <si>
    <t>EPJ</t>
  </si>
  <si>
    <t>Epping Jct</t>
  </si>
  <si>
    <t>EPL</t>
  </si>
  <si>
    <t>Emu Plains</t>
  </si>
  <si>
    <t>EPL01</t>
  </si>
  <si>
    <t>Emu Plains Traction SS</t>
  </si>
  <si>
    <t>ERC</t>
  </si>
  <si>
    <t>East Richmond</t>
  </si>
  <si>
    <t>ERE</t>
  </si>
  <si>
    <t>Eurie Eurie</t>
  </si>
  <si>
    <t>ERG</t>
  </si>
  <si>
    <t>Erigolia</t>
  </si>
  <si>
    <t>ERI</t>
  </si>
  <si>
    <t>Erin</t>
  </si>
  <si>
    <t>ERJ</t>
  </si>
  <si>
    <t>Eraring Jct</t>
  </si>
  <si>
    <t>ERK</t>
  </si>
  <si>
    <t>Erskine Park</t>
  </si>
  <si>
    <t>ERN</t>
  </si>
  <si>
    <t>Ermington</t>
  </si>
  <si>
    <t>ERR</t>
  </si>
  <si>
    <t>Eraring</t>
  </si>
  <si>
    <t>ERR01</t>
  </si>
  <si>
    <t>Eraring Traction SS</t>
  </si>
  <si>
    <t>ERS</t>
  </si>
  <si>
    <t>Erskineville</t>
  </si>
  <si>
    <t>ERS01</t>
  </si>
  <si>
    <t>Erskineville Traction SS</t>
  </si>
  <si>
    <t>ERS02</t>
  </si>
  <si>
    <t>Erskineville Radio Service Centre</t>
  </si>
  <si>
    <t>ERT</t>
  </si>
  <si>
    <t>Euratha</t>
  </si>
  <si>
    <t>ERW</t>
  </si>
  <si>
    <t>Earlwood</t>
  </si>
  <si>
    <t>ERW01</t>
  </si>
  <si>
    <t>Earlwood System SS</t>
  </si>
  <si>
    <t>ESB</t>
  </si>
  <si>
    <t>Eskbank</t>
  </si>
  <si>
    <t>ESM</t>
  </si>
  <si>
    <t>ES Marks</t>
  </si>
  <si>
    <t>ESX</t>
  </si>
  <si>
    <t>Enfield South Jct</t>
  </si>
  <si>
    <t>ETY</t>
  </si>
  <si>
    <t>Ettamogah</t>
  </si>
  <si>
    <t>EUA</t>
  </si>
  <si>
    <t>Euabalong West</t>
  </si>
  <si>
    <t>EUB</t>
  </si>
  <si>
    <t>Eurabba</t>
  </si>
  <si>
    <t>EUC</t>
  </si>
  <si>
    <t>Euchareena</t>
  </si>
  <si>
    <t>EUG</t>
  </si>
  <si>
    <t>Eugowra</t>
  </si>
  <si>
    <t>EUL</t>
  </si>
  <si>
    <t>Eulomogo</t>
  </si>
  <si>
    <t>EUM</t>
  </si>
  <si>
    <t>Eumungerie</t>
  </si>
  <si>
    <t>EUR</t>
  </si>
  <si>
    <t>Eurabbalimbri</t>
  </si>
  <si>
    <t>EUY</t>
  </si>
  <si>
    <t>Euabalong West Yard</t>
  </si>
  <si>
    <t>EVA</t>
  </si>
  <si>
    <t>Eveleigh ACDEP Yard</t>
  </si>
  <si>
    <t>EVA01</t>
  </si>
  <si>
    <t>Oscar Maint Ctr (Eveleigh ACDEP Yd)</t>
  </si>
  <si>
    <t>EVA02</t>
  </si>
  <si>
    <t>Millennium Maint Ctr (Eveleigh ACDEP Yd)</t>
  </si>
  <si>
    <t>EVA03</t>
  </si>
  <si>
    <t>Endeavour/Xplorer MntCtr(Eveleigh ACDEP)</t>
  </si>
  <si>
    <t>EVA04</t>
  </si>
  <si>
    <t>NIF Maint Ctr (Eveleigh ACDEP Yd)</t>
  </si>
  <si>
    <t>EVC</t>
  </si>
  <si>
    <t>Eveleigh Yard (Carriage Works)</t>
  </si>
  <si>
    <t>EVH</t>
  </si>
  <si>
    <t>Evans Head</t>
  </si>
  <si>
    <t>EVJ</t>
  </si>
  <si>
    <t>Erskineville Jct</t>
  </si>
  <si>
    <t>EVL</t>
  </si>
  <si>
    <t>Eveleigh</t>
  </si>
  <si>
    <t>EVL01</t>
  </si>
  <si>
    <t>Transport Management Centre</t>
  </si>
  <si>
    <t>EVL02</t>
  </si>
  <si>
    <t>Eveleigh NICTA Building</t>
  </si>
  <si>
    <t>EVL03</t>
  </si>
  <si>
    <t>Eveleigh Biomedical Building</t>
  </si>
  <si>
    <t>EVL04</t>
  </si>
  <si>
    <t>Eveleigh Locomotive Workshop</t>
  </si>
  <si>
    <t>EVL05</t>
  </si>
  <si>
    <t>Office 281 Wilson St,Eveleigh</t>
  </si>
  <si>
    <t>EVL06</t>
  </si>
  <si>
    <t>Redfern Fair Compliance Un 451 Wilson St</t>
  </si>
  <si>
    <t>EVL07</t>
  </si>
  <si>
    <t>North Eveleigh SS</t>
  </si>
  <si>
    <t>EWD</t>
  </si>
  <si>
    <t>Eastwood</t>
  </si>
  <si>
    <t>EXC</t>
  </si>
  <si>
    <t>Excelsior</t>
  </si>
  <si>
    <t>EXM</t>
  </si>
  <si>
    <t>Exmouth</t>
  </si>
  <si>
    <t>EXT</t>
  </si>
  <si>
    <t>Exeter</t>
  </si>
  <si>
    <t>FAC</t>
  </si>
  <si>
    <t>Factory Street</t>
  </si>
  <si>
    <t>FAC01</t>
  </si>
  <si>
    <t>Factory Street Traction SS</t>
  </si>
  <si>
    <t>FAR</t>
  </si>
  <si>
    <t>Farley</t>
  </si>
  <si>
    <t>FAX</t>
  </si>
  <si>
    <t>Fassifern Jct</t>
  </si>
  <si>
    <t>FBG</t>
  </si>
  <si>
    <t>Faulconbridge</t>
  </si>
  <si>
    <t>FBG01</t>
  </si>
  <si>
    <t>Faulconbridge Traction SS</t>
  </si>
  <si>
    <t>FCJ</t>
  </si>
  <si>
    <t>Flemington Car Siding Jct</t>
  </si>
  <si>
    <t>FCS</t>
  </si>
  <si>
    <t>Flemington Car Sdg Yard</t>
  </si>
  <si>
    <t>FCS01</t>
  </si>
  <si>
    <t>Flemington Maint Ctr(Flemngtn CarSdg Yd)</t>
  </si>
  <si>
    <t>FCS02</t>
  </si>
  <si>
    <t>Flemington Maintenance Centre SS</t>
  </si>
  <si>
    <t>FDA</t>
  </si>
  <si>
    <t>Florida</t>
  </si>
  <si>
    <t>FDK</t>
  </si>
  <si>
    <t>Five Dock</t>
  </si>
  <si>
    <t>FEH</t>
  </si>
  <si>
    <t>Fernleigh</t>
  </si>
  <si>
    <t>FEJ</t>
  </si>
  <si>
    <t>Flemington East Jct</t>
  </si>
  <si>
    <t>FEN</t>
  </si>
  <si>
    <t>Fennel Street</t>
  </si>
  <si>
    <t>FGJ</t>
  </si>
  <si>
    <t>Flemington Goods Jct</t>
  </si>
  <si>
    <t>FGN</t>
  </si>
  <si>
    <t>Flanagans</t>
  </si>
  <si>
    <t>FHL</t>
  </si>
  <si>
    <t>Forest Hill</t>
  </si>
  <si>
    <t>FIF</t>
  </si>
  <si>
    <t>Frenchs Forest</t>
  </si>
  <si>
    <t>FIM</t>
  </si>
  <si>
    <t>Fish Market</t>
  </si>
  <si>
    <t>FIM01</t>
  </si>
  <si>
    <t>Fish Market Traction SS</t>
  </si>
  <si>
    <t>FIN</t>
  </si>
  <si>
    <t>Finley</t>
  </si>
  <si>
    <t>FIS</t>
  </si>
  <si>
    <t>Fishermans Island</t>
  </si>
  <si>
    <t>FLD</t>
  </si>
  <si>
    <t>Fairfield</t>
  </si>
  <si>
    <t>FLG</t>
  </si>
  <si>
    <t>Forest Lodge</t>
  </si>
  <si>
    <t>FLH</t>
  </si>
  <si>
    <t>Fellow Hills</t>
  </si>
  <si>
    <t>FLJ</t>
  </si>
  <si>
    <t>Flying Jct</t>
  </si>
  <si>
    <t>FLM</t>
  </si>
  <si>
    <t>Flemington</t>
  </si>
  <si>
    <t>FLM01</t>
  </si>
  <si>
    <t>Flemington Traction SS</t>
  </si>
  <si>
    <t>FLR</t>
  </si>
  <si>
    <t>Flinders</t>
  </si>
  <si>
    <t>FLX</t>
  </si>
  <si>
    <t>Flemington Jct</t>
  </si>
  <si>
    <t>FMH</t>
  </si>
  <si>
    <t>Farmsborough Heights</t>
  </si>
  <si>
    <t>FMJ</t>
  </si>
  <si>
    <t>Flemington Middle Jct</t>
  </si>
  <si>
    <t>FMN</t>
  </si>
  <si>
    <t>Farnham</t>
  </si>
  <si>
    <t>FMP</t>
  </si>
  <si>
    <t>Frampton</t>
  </si>
  <si>
    <t>FMW</t>
  </si>
  <si>
    <t>Fairy Meadow</t>
  </si>
  <si>
    <t>FNJ</t>
  </si>
  <si>
    <t>Flemington North Jct</t>
  </si>
  <si>
    <t>FNS</t>
  </si>
  <si>
    <t>Finns</t>
  </si>
  <si>
    <t>FOT</t>
  </si>
  <si>
    <t>Forster</t>
  </si>
  <si>
    <t>FOT01</t>
  </si>
  <si>
    <t>Forster-Cape Hawke Harbour</t>
  </si>
  <si>
    <t>FRB</t>
  </si>
  <si>
    <t>Forbes</t>
  </si>
  <si>
    <t>FRD</t>
  </si>
  <si>
    <t>Ferndale</t>
  </si>
  <si>
    <t>FRN</t>
  </si>
  <si>
    <t>Fassifern</t>
  </si>
  <si>
    <t>FRN01</t>
  </si>
  <si>
    <t>Fassifern Traction SH</t>
  </si>
  <si>
    <t>FRP</t>
  </si>
  <si>
    <t>French Park</t>
  </si>
  <si>
    <t>FRR</t>
  </si>
  <si>
    <t>FRS</t>
  </si>
  <si>
    <t>Fernside</t>
  </si>
  <si>
    <t>FSJ</t>
  </si>
  <si>
    <t>Flemington South Jct</t>
  </si>
  <si>
    <t>FSR</t>
  </si>
  <si>
    <t>Fish River</t>
  </si>
  <si>
    <t>FVW</t>
  </si>
  <si>
    <t>Fairview</t>
  </si>
  <si>
    <t>FWJ</t>
  </si>
  <si>
    <t>Flemington West Jct</t>
  </si>
  <si>
    <t>FYH</t>
  </si>
  <si>
    <t>Fairy Hill</t>
  </si>
  <si>
    <t>FYS</t>
  </si>
  <si>
    <t>Fyshwick</t>
  </si>
  <si>
    <t>GAA</t>
  </si>
  <si>
    <t>Greenacre</t>
  </si>
  <si>
    <t>GAD</t>
  </si>
  <si>
    <t>Gadara</t>
  </si>
  <si>
    <t>GAJ</t>
  </si>
  <si>
    <t>St Georges Basin</t>
  </si>
  <si>
    <t>GAJ01</t>
  </si>
  <si>
    <t>St Georges Basin-Wandandian Ck</t>
  </si>
  <si>
    <t>GAL</t>
  </si>
  <si>
    <t>Galong</t>
  </si>
  <si>
    <t>GAN</t>
  </si>
  <si>
    <t>Ganmain</t>
  </si>
  <si>
    <t>GAR</t>
  </si>
  <si>
    <t>Garland</t>
  </si>
  <si>
    <t>GAU</t>
  </si>
  <si>
    <t>Georges River</t>
  </si>
  <si>
    <t>GAU01</t>
  </si>
  <si>
    <t>Georges River-Bald Face Pt</t>
  </si>
  <si>
    <t>GAU02</t>
  </si>
  <si>
    <t>Georges River-Alfords Pt</t>
  </si>
  <si>
    <t>GAU03</t>
  </si>
  <si>
    <t>Georges River-Bonna Pt</t>
  </si>
  <si>
    <t>GAU04</t>
  </si>
  <si>
    <t>Georges River-Botany Bay</t>
  </si>
  <si>
    <t>GAU05</t>
  </si>
  <si>
    <t>Georges River-Dolls Pt</t>
  </si>
  <si>
    <t>GAU06</t>
  </si>
  <si>
    <t>Georges River-Lugarno</t>
  </si>
  <si>
    <t>GAU07</t>
  </si>
  <si>
    <t>Georges River-Mill Creek</t>
  </si>
  <si>
    <t>GAU08</t>
  </si>
  <si>
    <t>Georges River-Moons Area</t>
  </si>
  <si>
    <t>GAU09</t>
  </si>
  <si>
    <t>Georges River-Oatley Bay</t>
  </si>
  <si>
    <t>GAU10</t>
  </si>
  <si>
    <t>Georges River-Pelican Pt</t>
  </si>
  <si>
    <t>GAU11</t>
  </si>
  <si>
    <t>Georges River-Picnic Pt</t>
  </si>
  <si>
    <t>GAU12</t>
  </si>
  <si>
    <t>Georges River-Sylvania Waters</t>
  </si>
  <si>
    <t>GAU13</t>
  </si>
  <si>
    <t>Georges River-Tom Uglys Upstream</t>
  </si>
  <si>
    <t>GAV</t>
  </si>
  <si>
    <t>Glenbawn Dam</t>
  </si>
  <si>
    <t>GBD</t>
  </si>
  <si>
    <t>Gunningbland</t>
  </si>
  <si>
    <t>GBJ</t>
  </si>
  <si>
    <t>Goobang Jct</t>
  </si>
  <si>
    <t>GBK</t>
  </si>
  <si>
    <t>Glenbrook</t>
  </si>
  <si>
    <t>GBK01</t>
  </si>
  <si>
    <t>Glenbrook Traction SH</t>
  </si>
  <si>
    <t>GBT</t>
  </si>
  <si>
    <t>Gubbata</t>
  </si>
  <si>
    <t>GBY</t>
  </si>
  <si>
    <t>Goulburn Yard</t>
  </si>
  <si>
    <t>GCD</t>
  </si>
  <si>
    <t>Grafton City Yard</t>
  </si>
  <si>
    <t>GCH</t>
  </si>
  <si>
    <t>Greenwich</t>
  </si>
  <si>
    <t>GCJ</t>
  </si>
  <si>
    <t>Gunnedah Colliery Jct</t>
  </si>
  <si>
    <t>GCK</t>
  </si>
  <si>
    <t>Glennies Creek</t>
  </si>
  <si>
    <t>GCO</t>
  </si>
  <si>
    <t>Glencoe</t>
  </si>
  <si>
    <t>GCR</t>
  </si>
  <si>
    <t>Gloucester</t>
  </si>
  <si>
    <t>GDC</t>
  </si>
  <si>
    <t>Gunnedah Colliery</t>
  </si>
  <si>
    <t>GDE</t>
  </si>
  <si>
    <t>Glendale</t>
  </si>
  <si>
    <t>GDH</t>
  </si>
  <si>
    <t>Gunnedah</t>
  </si>
  <si>
    <t>GDL</t>
  </si>
  <si>
    <t>Gundibindyal</t>
  </si>
  <si>
    <t>GDV</t>
  </si>
  <si>
    <t>Gladesville</t>
  </si>
  <si>
    <t>Glengerra</t>
  </si>
  <si>
    <t>GFD</t>
  </si>
  <si>
    <t>Glenfield</t>
  </si>
  <si>
    <t>GFD01</t>
  </si>
  <si>
    <t>Glenfield Traction SS</t>
  </si>
  <si>
    <t>GFD02</t>
  </si>
  <si>
    <t>Glenfield South Traction SS</t>
  </si>
  <si>
    <t>GFD03</t>
  </si>
  <si>
    <t>Glenfield Network Base</t>
  </si>
  <si>
    <t>GFE</t>
  </si>
  <si>
    <t>Grenfell Yard</t>
  </si>
  <si>
    <t>GFJ</t>
  </si>
  <si>
    <t>Glenfield North Jct</t>
  </si>
  <si>
    <t>GFL</t>
  </si>
  <si>
    <t>Grenfell</t>
  </si>
  <si>
    <t>GFN</t>
  </si>
  <si>
    <t>Grafton</t>
  </si>
  <si>
    <t>GFN01</t>
  </si>
  <si>
    <t>Grafton (Northern) Regional Office</t>
  </si>
  <si>
    <t>GFN02</t>
  </si>
  <si>
    <t>Office 21 Prince St,Grafton</t>
  </si>
  <si>
    <t>GFN0202</t>
  </si>
  <si>
    <t>Office 21 Prince St,L2,Grafton</t>
  </si>
  <si>
    <t>GFX</t>
  </si>
  <si>
    <t>Glenfield South Jct</t>
  </si>
  <si>
    <t>GFY</t>
  </si>
  <si>
    <t>Gosford Down Yard</t>
  </si>
  <si>
    <t>GGG</t>
  </si>
  <si>
    <t>Girragulang</t>
  </si>
  <si>
    <t>GGJ</t>
  </si>
  <si>
    <t>Gongolgon</t>
  </si>
  <si>
    <t>GGN</t>
  </si>
  <si>
    <t>Garoolgan</t>
  </si>
  <si>
    <t>GGX</t>
  </si>
  <si>
    <t>Gulgong Jct</t>
  </si>
  <si>
    <t>GGY</t>
  </si>
  <si>
    <t>Gulgong Yard</t>
  </si>
  <si>
    <t>Grahweed</t>
  </si>
  <si>
    <t>GHV</t>
  </si>
  <si>
    <t>Geehi Reservoir</t>
  </si>
  <si>
    <t>GHY</t>
  </si>
  <si>
    <t>Glenreagh Yard</t>
  </si>
  <si>
    <t>GID</t>
  </si>
  <si>
    <t>Gidginbung</t>
  </si>
  <si>
    <t>GIL</t>
  </si>
  <si>
    <t>Gilgandra</t>
  </si>
  <si>
    <t>GIR</t>
  </si>
  <si>
    <t>Girilambone</t>
  </si>
  <si>
    <t>GIS</t>
  </si>
  <si>
    <t>Garden Island</t>
  </si>
  <si>
    <t>GIX</t>
  </si>
  <si>
    <t>Glebe</t>
  </si>
  <si>
    <t>GIY</t>
  </si>
  <si>
    <t>Griffith Yard</t>
  </si>
  <si>
    <t>GJN</t>
  </si>
  <si>
    <t>Glebe Jct</t>
  </si>
  <si>
    <t>GJY</t>
  </si>
  <si>
    <t>Goobang Yard</t>
  </si>
  <si>
    <t>GLB</t>
  </si>
  <si>
    <t>Goulburn</t>
  </si>
  <si>
    <t>GLB01</t>
  </si>
  <si>
    <t>Office 70 Robinson St,Goulburn</t>
  </si>
  <si>
    <t>GLD</t>
  </si>
  <si>
    <t>Guildford</t>
  </si>
  <si>
    <t>GLD01</t>
  </si>
  <si>
    <t>Guildford Traction SH</t>
  </si>
  <si>
    <t>GLD02</t>
  </si>
  <si>
    <t>Guildford Traction SS</t>
  </si>
  <si>
    <t>GLE</t>
  </si>
  <si>
    <t>Glenlee</t>
  </si>
  <si>
    <t>GLE01</t>
  </si>
  <si>
    <t>Glenlee Traction SS</t>
  </si>
  <si>
    <t>GLG</t>
  </si>
  <si>
    <t>Gulgong</t>
  </si>
  <si>
    <t>GLI</t>
  </si>
  <si>
    <t>Goolgowi</t>
  </si>
  <si>
    <t>GLK</t>
  </si>
  <si>
    <t>Gum Lake</t>
  </si>
  <si>
    <t>GLL</t>
  </si>
  <si>
    <t>Glenlogan</t>
  </si>
  <si>
    <t>GLM</t>
  </si>
  <si>
    <t>GLN</t>
  </si>
  <si>
    <t>Glenreagh</t>
  </si>
  <si>
    <t>GLP</t>
  </si>
  <si>
    <t>Glenapp</t>
  </si>
  <si>
    <t>GLR</t>
  </si>
  <si>
    <t>Glenroy</t>
  </si>
  <si>
    <t>GLS</t>
  </si>
  <si>
    <t>Glebe Island</t>
  </si>
  <si>
    <t>GLV</t>
  </si>
  <si>
    <t>Glenlee Colliery Jct</t>
  </si>
  <si>
    <t>GLW</t>
  </si>
  <si>
    <t>Glenlee Colliery</t>
  </si>
  <si>
    <t>GLY</t>
  </si>
  <si>
    <t>Gidley</t>
  </si>
  <si>
    <t>GMA</t>
  </si>
  <si>
    <t>Gooramma</t>
  </si>
  <si>
    <t>GMB</t>
  </si>
  <si>
    <t>Gamboola</t>
  </si>
  <si>
    <t>GML</t>
  </si>
  <si>
    <t>Gemalla</t>
  </si>
  <si>
    <t>GMX</t>
  </si>
  <si>
    <t>Gilmore Jct</t>
  </si>
  <si>
    <t>GND</t>
  </si>
  <si>
    <t>Goondah</t>
  </si>
  <si>
    <t>GNF</t>
  </si>
  <si>
    <t>Glenariff</t>
  </si>
  <si>
    <t>GNG</t>
  </si>
  <si>
    <t>Gunning</t>
  </si>
  <si>
    <t>GNL</t>
  </si>
  <si>
    <t>Gillinghall</t>
  </si>
  <si>
    <t>GNM</t>
  </si>
  <si>
    <t>Goonumbla</t>
  </si>
  <si>
    <t>GNS</t>
  </si>
  <si>
    <t>Glen Innes</t>
  </si>
  <si>
    <t>GNS01</t>
  </si>
  <si>
    <t>Glen Innes Administration Centre</t>
  </si>
  <si>
    <t>GNX</t>
  </si>
  <si>
    <t>Glenreagh Jct</t>
  </si>
  <si>
    <t>GNY</t>
  </si>
  <si>
    <t>Gunnedah Yard</t>
  </si>
  <si>
    <t>GOA</t>
  </si>
  <si>
    <t>Goolma</t>
  </si>
  <si>
    <t>GOB</t>
  </si>
  <si>
    <t>Gobondery</t>
  </si>
  <si>
    <t>GOE</t>
  </si>
  <si>
    <t>Galore</t>
  </si>
  <si>
    <t>GOG</t>
  </si>
  <si>
    <t>Gerringong</t>
  </si>
  <si>
    <t>GOI</t>
  </si>
  <si>
    <t>Goodwood Island</t>
  </si>
  <si>
    <t>GOL</t>
  </si>
  <si>
    <t>Gogeldrie</t>
  </si>
  <si>
    <t>GOO</t>
  </si>
  <si>
    <t>Gooloogong</t>
  </si>
  <si>
    <t>GOS</t>
  </si>
  <si>
    <t>Gosford</t>
  </si>
  <si>
    <t>GOS01</t>
  </si>
  <si>
    <t>Gosford Traction SS</t>
  </si>
  <si>
    <t>GOS02</t>
  </si>
  <si>
    <t>Gosford South Traction SS</t>
  </si>
  <si>
    <t>GOS03</t>
  </si>
  <si>
    <t>Gosford Network Base</t>
  </si>
  <si>
    <t>GOX</t>
  </si>
  <si>
    <t>Galong Jct</t>
  </si>
  <si>
    <t>GPL</t>
  </si>
  <si>
    <t>Georges Plains</t>
  </si>
  <si>
    <t>GPT</t>
  </si>
  <si>
    <t>Greenwich Point</t>
  </si>
  <si>
    <t>GPV</t>
  </si>
  <si>
    <t>Green Valley</t>
  </si>
  <si>
    <t>GQU</t>
  </si>
  <si>
    <t>Green Square</t>
  </si>
  <si>
    <t>GQU02</t>
  </si>
  <si>
    <t>Green Square No1 Station SS</t>
  </si>
  <si>
    <t>GQU03</t>
  </si>
  <si>
    <t>Green Square No2 Station SS</t>
  </si>
  <si>
    <t>GQV</t>
  </si>
  <si>
    <t>Googong Reservoir</t>
  </si>
  <si>
    <t>GRD</t>
  </si>
  <si>
    <t>Gordon</t>
  </si>
  <si>
    <t>GRD01</t>
  </si>
  <si>
    <t>Gordon Traction SS</t>
  </si>
  <si>
    <t>GRE</t>
  </si>
  <si>
    <t>Geurie</t>
  </si>
  <si>
    <t>GRF</t>
  </si>
  <si>
    <t>Griffith</t>
  </si>
  <si>
    <t>GRG</t>
  </si>
  <si>
    <t>Grong Grong</t>
  </si>
  <si>
    <t>GRH</t>
  </si>
  <si>
    <t>Garah</t>
  </si>
  <si>
    <t>GRJ</t>
  </si>
  <si>
    <t>Greenwell Point</t>
  </si>
  <si>
    <t>GRM</t>
  </si>
  <si>
    <t>Garema</t>
  </si>
  <si>
    <t>GRN</t>
  </si>
  <si>
    <t>Gurranang</t>
  </si>
  <si>
    <t>GRR</t>
  </si>
  <si>
    <t>Girral</t>
  </si>
  <si>
    <t>GRS</t>
  </si>
  <si>
    <t>Gresham</t>
  </si>
  <si>
    <t>GRV</t>
  </si>
  <si>
    <t>Gravesend</t>
  </si>
  <si>
    <t>GRY</t>
  </si>
  <si>
    <t>Gerogery</t>
  </si>
  <si>
    <t>GSD</t>
  </si>
  <si>
    <t>Glen Innes Yard</t>
  </si>
  <si>
    <t>GST</t>
  </si>
  <si>
    <t>Gosford Up Yard</t>
  </si>
  <si>
    <t>GTA</t>
  </si>
  <si>
    <t>Greta</t>
  </si>
  <si>
    <t>GTH</t>
  </si>
  <si>
    <t>Greenthorpe</t>
  </si>
  <si>
    <t>GTN</t>
  </si>
  <si>
    <t>Grafton Yard</t>
  </si>
  <si>
    <t>GTR</t>
  </si>
  <si>
    <t>Grasstree</t>
  </si>
  <si>
    <t>GUA</t>
  </si>
  <si>
    <t>Gunebang</t>
  </si>
  <si>
    <t>GUB</t>
  </si>
  <si>
    <t>Gulargambone</t>
  </si>
  <si>
    <t>GUE</t>
  </si>
  <si>
    <t>Guthega Pondage</t>
  </si>
  <si>
    <t>GUG</t>
  </si>
  <si>
    <t>Gungal</t>
  </si>
  <si>
    <t>GUL</t>
  </si>
  <si>
    <t>Gular</t>
  </si>
  <si>
    <t>GUM</t>
  </si>
  <si>
    <t>Gunamatta Bay</t>
  </si>
  <si>
    <t>GUN</t>
  </si>
  <si>
    <t>Gundagai</t>
  </si>
  <si>
    <t>GUR</t>
  </si>
  <si>
    <t>Gurley</t>
  </si>
  <si>
    <t>GUT</t>
  </si>
  <si>
    <t>Guthega</t>
  </si>
  <si>
    <t>GUV</t>
  </si>
  <si>
    <t>Guthega River</t>
  </si>
  <si>
    <t>GUY</t>
  </si>
  <si>
    <t>Gunning Yard</t>
  </si>
  <si>
    <t>GVL</t>
  </si>
  <si>
    <t>Granville</t>
  </si>
  <si>
    <t>GVL01</t>
  </si>
  <si>
    <t>Granville Traction SS</t>
  </si>
  <si>
    <t>GVL02</t>
  </si>
  <si>
    <t>Granville Review Centre</t>
  </si>
  <si>
    <t>GVL03</t>
  </si>
  <si>
    <t>Granville Maintenance Services Centre</t>
  </si>
  <si>
    <t>GVX</t>
  </si>
  <si>
    <t>Granville Jct</t>
  </si>
  <si>
    <t>GVX01</t>
  </si>
  <si>
    <t>Granville Jct Traction SS</t>
  </si>
  <si>
    <t>GVY</t>
  </si>
  <si>
    <t>Gravesend Yard</t>
  </si>
  <si>
    <t>GWB</t>
  </si>
  <si>
    <t>Gwabegar</t>
  </si>
  <si>
    <t>GWL</t>
  </si>
  <si>
    <t>Grawlin Plains</t>
  </si>
  <si>
    <t>GWY</t>
  </si>
  <si>
    <t>Gwydir River</t>
  </si>
  <si>
    <t>GWY01</t>
  </si>
  <si>
    <t>Gwydir River-Tareelaroi Weir</t>
  </si>
  <si>
    <t>GYM</t>
  </si>
  <si>
    <t>Gymea</t>
  </si>
  <si>
    <t>GYM01</t>
  </si>
  <si>
    <t>Gymea Traction SS</t>
  </si>
  <si>
    <t>GYR</t>
  </si>
  <si>
    <t>Guyra</t>
  </si>
  <si>
    <t>GYY</t>
  </si>
  <si>
    <t>Guyra Yard</t>
  </si>
  <si>
    <t>HAA</t>
  </si>
  <si>
    <t>Harman</t>
  </si>
  <si>
    <t>HAC</t>
  </si>
  <si>
    <t>Hacking River</t>
  </si>
  <si>
    <t>HAM</t>
  </si>
  <si>
    <t>Hamilton</t>
  </si>
  <si>
    <t>HAM01</t>
  </si>
  <si>
    <t>Hamilton Traction SS</t>
  </si>
  <si>
    <t>HAM02</t>
  </si>
  <si>
    <t>Hamilton Network Base</t>
  </si>
  <si>
    <t>HAN</t>
  </si>
  <si>
    <t>Hannan</t>
  </si>
  <si>
    <t>HAQ</t>
  </si>
  <si>
    <t>Hampton</t>
  </si>
  <si>
    <t>HAR</t>
  </si>
  <si>
    <t>Harden</t>
  </si>
  <si>
    <t>HAV</t>
  </si>
  <si>
    <t>Havilah</t>
  </si>
  <si>
    <t>HAX</t>
  </si>
  <si>
    <t>Hamilton Jct</t>
  </si>
  <si>
    <t>HAY</t>
  </si>
  <si>
    <t>Hay</t>
  </si>
  <si>
    <t>HAY01</t>
  </si>
  <si>
    <t>Hay Works Depot</t>
  </si>
  <si>
    <t>Hazelgrove</t>
  </si>
  <si>
    <t>HBD</t>
  </si>
  <si>
    <t>Harbord</t>
  </si>
  <si>
    <t>HBJ</t>
  </si>
  <si>
    <t>Hanbury Jct</t>
  </si>
  <si>
    <t>HBM</t>
  </si>
  <si>
    <t>Harbour Master Steps</t>
  </si>
  <si>
    <t>HBT</t>
  </si>
  <si>
    <t>Homebush West</t>
  </si>
  <si>
    <t>HBT01</t>
  </si>
  <si>
    <t>Office 145-151 Arthur St,Homebush West</t>
  </si>
  <si>
    <t>HBX</t>
  </si>
  <si>
    <t>Hornsby Jct</t>
  </si>
  <si>
    <t>HBY</t>
  </si>
  <si>
    <t>Hornsby</t>
  </si>
  <si>
    <t>HBY01</t>
  </si>
  <si>
    <t>Hornsby Traction SS</t>
  </si>
  <si>
    <t>HBY02</t>
  </si>
  <si>
    <t>Hornsby Network Base</t>
  </si>
  <si>
    <t>HBY03</t>
  </si>
  <si>
    <t>Hornsby Heavy Vehicle Inspection Station</t>
  </si>
  <si>
    <t>HCH</t>
  </si>
  <si>
    <t>Hurricane Hill</t>
  </si>
  <si>
    <t>HCS</t>
  </si>
  <si>
    <t>Hornsby Car Sdg Yard</t>
  </si>
  <si>
    <t>HCS01</t>
  </si>
  <si>
    <t>Hornsby Maint Ctr (Hornsby Car Sdg Yd)</t>
  </si>
  <si>
    <t>HCT</t>
  </si>
  <si>
    <t>Heathcote</t>
  </si>
  <si>
    <t>HCT01</t>
  </si>
  <si>
    <t>Heathcote Traction SS</t>
  </si>
  <si>
    <t>HDY</t>
  </si>
  <si>
    <t>Harden Yard</t>
  </si>
  <si>
    <t>HER</t>
  </si>
  <si>
    <t>Hermidale</t>
  </si>
  <si>
    <t>HEX</t>
  </si>
  <si>
    <t>Henty Jct</t>
  </si>
  <si>
    <t>HGH</t>
  </si>
  <si>
    <t>Hadleigh</t>
  </si>
  <si>
    <t>HHN</t>
  </si>
  <si>
    <t>Hinchinbrook</t>
  </si>
  <si>
    <t>HHO</t>
  </si>
  <si>
    <t>Horsley</t>
  </si>
  <si>
    <t>HIL</t>
  </si>
  <si>
    <t>Hill Top</t>
  </si>
  <si>
    <t>HIS</t>
  </si>
  <si>
    <t>Hills Showground</t>
  </si>
  <si>
    <t>HLD</t>
  </si>
  <si>
    <t>Hilldale</t>
  </si>
  <si>
    <t>HLF</t>
  </si>
  <si>
    <t>Holts Flat</t>
  </si>
  <si>
    <t>HLK</t>
  </si>
  <si>
    <t>Horse Lake</t>
  </si>
  <si>
    <t>HLR</t>
  </si>
  <si>
    <t>Hill Road</t>
  </si>
  <si>
    <t>HLS</t>
  </si>
  <si>
    <t>Helensburgh</t>
  </si>
  <si>
    <t>HLS01</t>
  </si>
  <si>
    <t>Helensburgh Traction SH</t>
  </si>
  <si>
    <t>HLT</t>
  </si>
  <si>
    <t>Hillston</t>
  </si>
  <si>
    <t>HLW</t>
  </si>
  <si>
    <t>Holsworthy</t>
  </si>
  <si>
    <t>HLW01</t>
  </si>
  <si>
    <t>Holsworthy Traction SH</t>
  </si>
  <si>
    <t>HMB</t>
  </si>
  <si>
    <t>Homebush Bay</t>
  </si>
  <si>
    <t>HME</t>
  </si>
  <si>
    <t>Haymarket</t>
  </si>
  <si>
    <t>HME01</t>
  </si>
  <si>
    <t>Office 477 Pitt St,Haymarket</t>
  </si>
  <si>
    <t>HME0101</t>
  </si>
  <si>
    <t>Office 477 Pitt St,L1,Haymarket</t>
  </si>
  <si>
    <t>HME0102</t>
  </si>
  <si>
    <t>Office 477 Pitt St,L2,Haymarket</t>
  </si>
  <si>
    <t>HME0103</t>
  </si>
  <si>
    <t>Office 477 Pitt St,L3,Haymarket</t>
  </si>
  <si>
    <t>HME0104</t>
  </si>
  <si>
    <t>Office 477 Pitt St,L4,Haymarket</t>
  </si>
  <si>
    <t>HME0107</t>
  </si>
  <si>
    <t>Office 477 Pitt St,L7,Haymarket</t>
  </si>
  <si>
    <t>HME0108</t>
  </si>
  <si>
    <t>Office 477 Pitt St,L8,Haymarket</t>
  </si>
  <si>
    <t>HME0109</t>
  </si>
  <si>
    <t>Office 477 Pitt St,L9,Haymarket</t>
  </si>
  <si>
    <t>HME0110</t>
  </si>
  <si>
    <t>Office 477 Pitt St,L10,Haymarket</t>
  </si>
  <si>
    <t>HME0111</t>
  </si>
  <si>
    <t>Office 477 Pitt St,L11,Haymarket</t>
  </si>
  <si>
    <t>HME0112</t>
  </si>
  <si>
    <t>Office 477 Pitt St,L12,Haymarket</t>
  </si>
  <si>
    <t>HME0113</t>
  </si>
  <si>
    <t>Office 477 Pitt St,L13,Haymarket</t>
  </si>
  <si>
    <t>HME0117</t>
  </si>
  <si>
    <t>Office 477 Pitt St,L17,Haymarket</t>
  </si>
  <si>
    <t>HME0118</t>
  </si>
  <si>
    <t>Office 477 Pitt St,L18,Haymarket</t>
  </si>
  <si>
    <t>HME0119</t>
  </si>
  <si>
    <t>Office 477 Pitt St,L19,Haymarket</t>
  </si>
  <si>
    <t>HME0121</t>
  </si>
  <si>
    <t>Office 477 Pitt St,L21,Haymarket</t>
  </si>
  <si>
    <t>HME0125</t>
  </si>
  <si>
    <t>Office 477 Pitt St,L25,Haymarket</t>
  </si>
  <si>
    <t>HME0126</t>
  </si>
  <si>
    <t>Office 477 Pitt St,L26,Haymarket</t>
  </si>
  <si>
    <t>HME0127</t>
  </si>
  <si>
    <t>Office 477 Pitt St,L27,Haymarket</t>
  </si>
  <si>
    <t>HME02</t>
  </si>
  <si>
    <t>Office 470 Pitt St,Haymarket</t>
  </si>
  <si>
    <t>HME03</t>
  </si>
  <si>
    <t>Office 476 Pitt St,Haymarket</t>
  </si>
  <si>
    <t>HME04</t>
  </si>
  <si>
    <t>Office 24 Campbell St,Haymarket</t>
  </si>
  <si>
    <t>HME05</t>
  </si>
  <si>
    <t>Emergency Response Service(ERS)Haymarket</t>
  </si>
  <si>
    <t>HMS</t>
  </si>
  <si>
    <t>Holmesville</t>
  </si>
  <si>
    <t>HMY</t>
  </si>
  <si>
    <t>Hamilton Yard</t>
  </si>
  <si>
    <t>HNT</t>
  </si>
  <si>
    <t>Huntleys Point</t>
  </si>
  <si>
    <t>HNX</t>
  </si>
  <si>
    <t>Hansbury Jct</t>
  </si>
  <si>
    <t>HNY</t>
  </si>
  <si>
    <t>Henty Yard</t>
  </si>
  <si>
    <t>HOK</t>
  </si>
  <si>
    <t>Holker Street</t>
  </si>
  <si>
    <t>HOL</t>
  </si>
  <si>
    <t>Holbrook</t>
  </si>
  <si>
    <t>HOL01</t>
  </si>
  <si>
    <t>Holbrook Works Depot and Workshop</t>
  </si>
  <si>
    <t>HOM</t>
  </si>
  <si>
    <t>Homebush</t>
  </si>
  <si>
    <t>HOM01</t>
  </si>
  <si>
    <t>Homebush Control Centre</t>
  </si>
  <si>
    <t>HOP</t>
  </si>
  <si>
    <t>Hopefield</t>
  </si>
  <si>
    <t>HPJ</t>
  </si>
  <si>
    <t>Harris Park Jct</t>
  </si>
  <si>
    <t>HPK</t>
  </si>
  <si>
    <t>Harris Park</t>
  </si>
  <si>
    <t>HRF</t>
  </si>
  <si>
    <t>Harefield</t>
  </si>
  <si>
    <t>HRG</t>
  </si>
  <si>
    <t>High Range</t>
  </si>
  <si>
    <t>HRK</t>
  </si>
  <si>
    <t>Herons Creek</t>
  </si>
  <si>
    <t>HRL</t>
  </si>
  <si>
    <t>Hurlstone Park</t>
  </si>
  <si>
    <t>HRS</t>
  </si>
  <si>
    <t>Harris Street</t>
  </si>
  <si>
    <t>HRV</t>
  </si>
  <si>
    <t>Hawkesbury River</t>
  </si>
  <si>
    <t>HRV01</t>
  </si>
  <si>
    <t>Hawkesbury Traction SS</t>
  </si>
  <si>
    <t>HRV02</t>
  </si>
  <si>
    <t>Hawkesbury River-Wisemans Ferry</t>
  </si>
  <si>
    <t>HRV03</t>
  </si>
  <si>
    <t>Hawkesbury River-Bar Pt</t>
  </si>
  <si>
    <t>HRV04</t>
  </si>
  <si>
    <t>Hawkesbury River-Baymac Mar Brkln</t>
  </si>
  <si>
    <t>HRV05</t>
  </si>
  <si>
    <t>Hawkesbury River-Berowra Ck</t>
  </si>
  <si>
    <t>HRV06</t>
  </si>
  <si>
    <t>Hawkesbury River-Broken Bay</t>
  </si>
  <si>
    <t>HRV07</t>
  </si>
  <si>
    <t>Hawkesbury River-Brooklyn</t>
  </si>
  <si>
    <t>HRV08</t>
  </si>
  <si>
    <t>Hawkesbury River-Cowan Crk</t>
  </si>
  <si>
    <t>HRV09</t>
  </si>
  <si>
    <t>Hawkesbury River-Cowan Point</t>
  </si>
  <si>
    <t>HRV10</t>
  </si>
  <si>
    <t>Hawkesbury River-Dangar Is</t>
  </si>
  <si>
    <t>HRV11</t>
  </si>
  <si>
    <t>Hawkesbury River-Elanora Bluff</t>
  </si>
  <si>
    <t>HRV12</t>
  </si>
  <si>
    <t>Hawkesbury River-Juno Point</t>
  </si>
  <si>
    <t>HRV13</t>
  </si>
  <si>
    <t>Hawkesbury River-Laughtondale</t>
  </si>
  <si>
    <t>HRV14</t>
  </si>
  <si>
    <t>Hawkesbury River-Leetsvale</t>
  </si>
  <si>
    <t>HRV15</t>
  </si>
  <si>
    <t>Hawkesbury River-Lovett Bay</t>
  </si>
  <si>
    <t>HRV16</t>
  </si>
  <si>
    <t>Hawkesbury River-Mangrove Crk</t>
  </si>
  <si>
    <t>HRV17</t>
  </si>
  <si>
    <t>Hawkesbury River-Marramarra Ck</t>
  </si>
  <si>
    <t>HRV18</t>
  </si>
  <si>
    <t>Hawkesbury River-Milson Passage</t>
  </si>
  <si>
    <t>HRV19</t>
  </si>
  <si>
    <t>Hawkesbury River-Mooney Mooney Ch</t>
  </si>
  <si>
    <t>HRV20</t>
  </si>
  <si>
    <t>Hawkesbury River-Parsley Bay</t>
  </si>
  <si>
    <t>HRV21</t>
  </si>
  <si>
    <t>Hawkesbury River-Refuge Bay</t>
  </si>
  <si>
    <t>HRV22</t>
  </si>
  <si>
    <t>Hawkesbury River-Rosevale</t>
  </si>
  <si>
    <t>HRV23</t>
  </si>
  <si>
    <t>Hawkesbury River-Singletons Mill</t>
  </si>
  <si>
    <t>HRV24</t>
  </si>
  <si>
    <t>Hawkesbury River-Spectacle Is</t>
  </si>
  <si>
    <t>HRV25</t>
  </si>
  <si>
    <t>Hawkesbury River-Spencer</t>
  </si>
  <si>
    <t>HRX</t>
  </si>
  <si>
    <t>Hartley Vale Jct</t>
  </si>
  <si>
    <t>HSR</t>
  </si>
  <si>
    <t>Hastings River</t>
  </si>
  <si>
    <t>HSR01</t>
  </si>
  <si>
    <t>Hastings River-Limeburners Ck</t>
  </si>
  <si>
    <t>HST</t>
  </si>
  <si>
    <t>High Street</t>
  </si>
  <si>
    <t>HTK</t>
  </si>
  <si>
    <t>Hermits Peak</t>
  </si>
  <si>
    <t>HTL</t>
  </si>
  <si>
    <t>Huntley</t>
  </si>
  <si>
    <t>HTR</t>
  </si>
  <si>
    <t>Hunter River</t>
  </si>
  <si>
    <t>HTR01</t>
  </si>
  <si>
    <t>Hunter River-Swan Reach</t>
  </si>
  <si>
    <t>HTR02</t>
  </si>
  <si>
    <t>Hunter River-South Channel</t>
  </si>
  <si>
    <t>HTR03</t>
  </si>
  <si>
    <t>Hunter River-South Side Newcastle Hbr</t>
  </si>
  <si>
    <t>HTR04</t>
  </si>
  <si>
    <t>Hunter River-Throsby Ck Nth</t>
  </si>
  <si>
    <t>HTR05</t>
  </si>
  <si>
    <t>Hunter River-Throsby Ck Sth</t>
  </si>
  <si>
    <t>HTR06</t>
  </si>
  <si>
    <t>Hunter River-North Channel</t>
  </si>
  <si>
    <t>HTR07</t>
  </si>
  <si>
    <t>Hunter River-Stockton</t>
  </si>
  <si>
    <t>HTW</t>
  </si>
  <si>
    <t>Hoskinstown</t>
  </si>
  <si>
    <t>HTY</t>
  </si>
  <si>
    <t>Henty</t>
  </si>
  <si>
    <t>HUH</t>
  </si>
  <si>
    <t>Hunters Hill</t>
  </si>
  <si>
    <t>HUI</t>
  </si>
  <si>
    <t>Hume Weir</t>
  </si>
  <si>
    <t>HUL</t>
  </si>
  <si>
    <t>Hull Hill</t>
  </si>
  <si>
    <t>HUM</t>
  </si>
  <si>
    <t>Humula</t>
  </si>
  <si>
    <t>HUS</t>
  </si>
  <si>
    <t>Huskisson</t>
  </si>
  <si>
    <t>HUW</t>
  </si>
  <si>
    <t>Huntingwood</t>
  </si>
  <si>
    <t>HUW01</t>
  </si>
  <si>
    <t>Huntingwood Crashlab</t>
  </si>
  <si>
    <t>HUY</t>
  </si>
  <si>
    <t>Hurstville Yard</t>
  </si>
  <si>
    <t>HVC</t>
  </si>
  <si>
    <t>Hartley Vale Colliery</t>
  </si>
  <si>
    <t>HVE</t>
  </si>
  <si>
    <t>Hartley Vale</t>
  </si>
  <si>
    <t>HVE01</t>
  </si>
  <si>
    <t>Hartley Vale Traction SH</t>
  </si>
  <si>
    <t>HVE02</t>
  </si>
  <si>
    <t>Browns Gap Repeater,Gap Rd,Hartley Vale</t>
  </si>
  <si>
    <t>HVL</t>
  </si>
  <si>
    <t>Hurstville</t>
  </si>
  <si>
    <t>HVL01</t>
  </si>
  <si>
    <t>Hurstville Traction SS</t>
  </si>
  <si>
    <t>HWD</t>
  </si>
  <si>
    <t>Holmwood</t>
  </si>
  <si>
    <t>HWO</t>
  </si>
  <si>
    <t>Hawthorne</t>
  </si>
  <si>
    <t>HXM</t>
  </si>
  <si>
    <t>Hexham</t>
  </si>
  <si>
    <t>HXM01</t>
  </si>
  <si>
    <t>Office-205 New England Hwy,Hexham</t>
  </si>
  <si>
    <t>HYD</t>
  </si>
  <si>
    <t>Hornsby Down Yard</t>
  </si>
  <si>
    <t>HYS</t>
  </si>
  <si>
    <t>Honeysuckle</t>
  </si>
  <si>
    <t>HYU</t>
  </si>
  <si>
    <t>Hornsby Up Yard</t>
  </si>
  <si>
    <t>HZL</t>
  </si>
  <si>
    <t>Hazelbrook</t>
  </si>
  <si>
    <t>HZL01</t>
  </si>
  <si>
    <t>Hazelbrook Traction SH</t>
  </si>
  <si>
    <t>IFD</t>
  </si>
  <si>
    <t>Ilford</t>
  </si>
  <si>
    <t>IHB</t>
  </si>
  <si>
    <t>Inner Harbour</t>
  </si>
  <si>
    <t>IHJ</t>
  </si>
  <si>
    <t>Inner Harbour Jct</t>
  </si>
  <si>
    <t>IHY</t>
  </si>
  <si>
    <t>Inner Harbour Yard</t>
  </si>
  <si>
    <t>ILB</t>
  </si>
  <si>
    <t>Illabo</t>
  </si>
  <si>
    <t>ILC</t>
  </si>
  <si>
    <t>Illalong Creek</t>
  </si>
  <si>
    <t>ILJ</t>
  </si>
  <si>
    <t>Illawarra Jct</t>
  </si>
  <si>
    <t>ILW</t>
  </si>
  <si>
    <t>Illilliwa</t>
  </si>
  <si>
    <t>ING</t>
  </si>
  <si>
    <t>Ingleburn</t>
  </si>
  <si>
    <t>ING01</t>
  </si>
  <si>
    <t>Ingleburn Traction SS</t>
  </si>
  <si>
    <t>INL</t>
  </si>
  <si>
    <t>Inverlochy</t>
  </si>
  <si>
    <t>INN</t>
  </si>
  <si>
    <t>Innisplain</t>
  </si>
  <si>
    <t>INS</t>
  </si>
  <si>
    <t>Inverness</t>
  </si>
  <si>
    <t>INV</t>
  </si>
  <si>
    <t>Inverell</t>
  </si>
  <si>
    <t>ISJ</t>
  </si>
  <si>
    <t>Islington Jct</t>
  </si>
  <si>
    <t>IVN</t>
  </si>
  <si>
    <t>Ivanhoe</t>
  </si>
  <si>
    <t>JAC</t>
  </si>
  <si>
    <t>Jacaranda Square</t>
  </si>
  <si>
    <t>JAE</t>
  </si>
  <si>
    <t>Jervis Bay</t>
  </si>
  <si>
    <t>JAE01</t>
  </si>
  <si>
    <t>Jervis Bay-Currarong Ck</t>
  </si>
  <si>
    <t>JAE02</t>
  </si>
  <si>
    <t>Jervis Bay-Currumbene Ck</t>
  </si>
  <si>
    <t>JAE03</t>
  </si>
  <si>
    <t>Jervis Bay-Dent Rock</t>
  </si>
  <si>
    <t>JAE04</t>
  </si>
  <si>
    <t>Jervis Bay-Huskisson Reef</t>
  </si>
  <si>
    <t>JBG</t>
  </si>
  <si>
    <t>Jeerabung</t>
  </si>
  <si>
    <t>JBR</t>
  </si>
  <si>
    <t>Jaspers Brush</t>
  </si>
  <si>
    <t>JDC</t>
  </si>
  <si>
    <t>John Darling Colliery</t>
  </si>
  <si>
    <t>JEF</t>
  </si>
  <si>
    <t>Jeffrey St</t>
  </si>
  <si>
    <t>JEJ</t>
  </si>
  <si>
    <t>Jerrys Plains Jct</t>
  </si>
  <si>
    <t>JER</t>
  </si>
  <si>
    <t>Jerilderie</t>
  </si>
  <si>
    <t>JEW</t>
  </si>
  <si>
    <t>Jewells</t>
  </si>
  <si>
    <t>JKY</t>
  </si>
  <si>
    <t>Jackadery</t>
  </si>
  <si>
    <t>JNC</t>
  </si>
  <si>
    <t>Jincumbilly</t>
  </si>
  <si>
    <t>JND</t>
  </si>
  <si>
    <t>Jindalee</t>
  </si>
  <si>
    <t>JNJ</t>
  </si>
  <si>
    <t>Junee North Jct</t>
  </si>
  <si>
    <t>JNL</t>
  </si>
  <si>
    <t>Jannali</t>
  </si>
  <si>
    <t>JNL01</t>
  </si>
  <si>
    <t>Jannali Traction SH</t>
  </si>
  <si>
    <t>JOH</t>
  </si>
  <si>
    <t>John Street Square</t>
  </si>
  <si>
    <t>JOS</t>
  </si>
  <si>
    <t>John Street</t>
  </si>
  <si>
    <t>JPJ</t>
  </si>
  <si>
    <t>Joppa Jct</t>
  </si>
  <si>
    <t>JPK</t>
  </si>
  <si>
    <t>Jubilee Park</t>
  </si>
  <si>
    <t>JPN</t>
  </si>
  <si>
    <t>Jerrys Plains</t>
  </si>
  <si>
    <t>JRR</t>
  </si>
  <si>
    <t>Johns River</t>
  </si>
  <si>
    <t>JUK</t>
  </si>
  <si>
    <t>Juniors Kingsford</t>
  </si>
  <si>
    <t>JUK01</t>
  </si>
  <si>
    <t>Anzac Parade Traction SS</t>
  </si>
  <si>
    <t>JUN</t>
  </si>
  <si>
    <t>Junee</t>
  </si>
  <si>
    <t>JUY</t>
  </si>
  <si>
    <t>Junee Yard</t>
  </si>
  <si>
    <t>JWA</t>
  </si>
  <si>
    <t>Jerrawa</t>
  </si>
  <si>
    <t>JWJ</t>
  </si>
  <si>
    <t>Junee West Jct</t>
  </si>
  <si>
    <t>KAD</t>
  </si>
  <si>
    <t>Kadungle</t>
  </si>
  <si>
    <t>KAG</t>
  </si>
  <si>
    <t>Kariong</t>
  </si>
  <si>
    <t>KAH</t>
  </si>
  <si>
    <t>Kalang River</t>
  </si>
  <si>
    <t>Kamber</t>
  </si>
  <si>
    <t>KAN</t>
  </si>
  <si>
    <t>Kunama</t>
  </si>
  <si>
    <t>KAR</t>
  </si>
  <si>
    <t>Karangi</t>
  </si>
  <si>
    <t>KAS</t>
  </si>
  <si>
    <t>Kianinny Bay</t>
  </si>
  <si>
    <t>KAT</t>
  </si>
  <si>
    <t>Katoomba</t>
  </si>
  <si>
    <t>KAT01</t>
  </si>
  <si>
    <t>Katoomba Traction SS</t>
  </si>
  <si>
    <t>KAT02</t>
  </si>
  <si>
    <t>Explorers Tree Repeater,Grt Western Hwy</t>
  </si>
  <si>
    <t>KBH</t>
  </si>
  <si>
    <t>Kahibah</t>
  </si>
  <si>
    <t>KBI</t>
  </si>
  <si>
    <t>Kirribilli</t>
  </si>
  <si>
    <t>Kenebri</t>
  </si>
  <si>
    <t>KBY</t>
  </si>
  <si>
    <t>Koolbury</t>
  </si>
  <si>
    <t>KCK</t>
  </si>
  <si>
    <t>Kerrs Creek</t>
  </si>
  <si>
    <t>KCL</t>
  </si>
  <si>
    <t>Kooragang Colliery</t>
  </si>
  <si>
    <t>KCT</t>
  </si>
  <si>
    <t>Kiacatoo</t>
  </si>
  <si>
    <t>KDL</t>
  </si>
  <si>
    <t>Kendall</t>
  </si>
  <si>
    <t>KDO</t>
  </si>
  <si>
    <t>Kiandool</t>
  </si>
  <si>
    <t>KDZ</t>
  </si>
  <si>
    <t>Kendall Bay</t>
  </si>
  <si>
    <t>KEA</t>
  </si>
  <si>
    <t>Kareela</t>
  </si>
  <si>
    <t>KEJ</t>
  </si>
  <si>
    <t>Kooragang East Jct</t>
  </si>
  <si>
    <t>KEL</t>
  </si>
  <si>
    <t>Kelso</t>
  </si>
  <si>
    <t>KEM</t>
  </si>
  <si>
    <t>Kempsey</t>
  </si>
  <si>
    <t>KFD</t>
  </si>
  <si>
    <t>Kingsford</t>
  </si>
  <si>
    <t>KGA</t>
  </si>
  <si>
    <t>Kilgra</t>
  </si>
  <si>
    <t>KGG</t>
  </si>
  <si>
    <t>Kangy Angy Yard</t>
  </si>
  <si>
    <t>KGG01</t>
  </si>
  <si>
    <t>Kangy Angy Traction SS</t>
  </si>
  <si>
    <t>KGG02</t>
  </si>
  <si>
    <t>Kangy Angy Maint Ctr (Kangy Angy Yd)</t>
  </si>
  <si>
    <t>KGK</t>
  </si>
  <si>
    <t>Korogoro Creek</t>
  </si>
  <si>
    <t>KGR</t>
  </si>
  <si>
    <t>Kingsgrove</t>
  </si>
  <si>
    <t>KGR01</t>
  </si>
  <si>
    <t>Kingsgrove Traction SS</t>
  </si>
  <si>
    <t>KGX</t>
  </si>
  <si>
    <t>Kings Cross</t>
  </si>
  <si>
    <t>KHC</t>
  </si>
  <si>
    <t>Khappinghat Creek</t>
  </si>
  <si>
    <t>KHP</t>
  </si>
  <si>
    <t>Khancoban Pondage</t>
  </si>
  <si>
    <t>KIA</t>
  </si>
  <si>
    <t>Kiama</t>
  </si>
  <si>
    <t>KIC</t>
  </si>
  <si>
    <t>Kingscliff</t>
  </si>
  <si>
    <t>KIE</t>
  </si>
  <si>
    <t>Kiel Kiel</t>
  </si>
  <si>
    <t>KIG</t>
  </si>
  <si>
    <t>Kigwegil</t>
  </si>
  <si>
    <t>KIK</t>
  </si>
  <si>
    <t>Kikoira</t>
  </si>
  <si>
    <t>KIN</t>
  </si>
  <si>
    <t>Kinalung</t>
  </si>
  <si>
    <t>KIX</t>
  </si>
  <si>
    <t>Kooragang Island</t>
  </si>
  <si>
    <t>KIY</t>
  </si>
  <si>
    <t>Kooragang Island Yard</t>
  </si>
  <si>
    <t>KKF</t>
  </si>
  <si>
    <t>Karaak Flat</t>
  </si>
  <si>
    <t>KKH</t>
  </si>
  <si>
    <t>Kirkham</t>
  </si>
  <si>
    <t>KKL</t>
  </si>
  <si>
    <t>Kundle Kundle</t>
  </si>
  <si>
    <t>KKN</t>
  </si>
  <si>
    <t>Koolkhan</t>
  </si>
  <si>
    <t>KLB</t>
  </si>
  <si>
    <t>Kilbride</t>
  </si>
  <si>
    <t>KLC</t>
  </si>
  <si>
    <t>Killick Creek</t>
  </si>
  <si>
    <t>KLD</t>
  </si>
  <si>
    <t>Kolodong</t>
  </si>
  <si>
    <t>KLE</t>
  </si>
  <si>
    <t>Kaleentha</t>
  </si>
  <si>
    <t>KLG</t>
  </si>
  <si>
    <t>Kilgowla</t>
  </si>
  <si>
    <t>KLR</t>
  </si>
  <si>
    <t>Killara</t>
  </si>
  <si>
    <t>KLV</t>
  </si>
  <si>
    <t>Kellyville</t>
  </si>
  <si>
    <t>KLW</t>
  </si>
  <si>
    <t>Killawarra</t>
  </si>
  <si>
    <t>KMB</t>
  </si>
  <si>
    <t>Kimbriki</t>
  </si>
  <si>
    <t>KMG</t>
  </si>
  <si>
    <t>Kembla Grange</t>
  </si>
  <si>
    <t>KMG01</t>
  </si>
  <si>
    <t>Kembla Grange Traction SS</t>
  </si>
  <si>
    <t>KMR</t>
  </si>
  <si>
    <t>Kamarah</t>
  </si>
  <si>
    <t>KMY</t>
  </si>
  <si>
    <t>Kiama Yard</t>
  </si>
  <si>
    <t>KND</t>
  </si>
  <si>
    <t>Kandos</t>
  </si>
  <si>
    <t>KNG</t>
  </si>
  <si>
    <t>Kungala</t>
  </si>
  <si>
    <t>KNK</t>
  </si>
  <si>
    <t>Kankool</t>
  </si>
  <si>
    <t>KNM</t>
  </si>
  <si>
    <t>Kenmore</t>
  </si>
  <si>
    <t>KNN</t>
  </si>
  <si>
    <t>Kanandah</t>
  </si>
  <si>
    <t>KNP</t>
  </si>
  <si>
    <t>Knapsack</t>
  </si>
  <si>
    <t>KNT</t>
  </si>
  <si>
    <t>Kentucky South</t>
  </si>
  <si>
    <t>KNY</t>
  </si>
  <si>
    <t>Kinalung Yard</t>
  </si>
  <si>
    <t>KOG</t>
  </si>
  <si>
    <t>Kogarah</t>
  </si>
  <si>
    <t>KOM</t>
  </si>
  <si>
    <t>Komungla</t>
  </si>
  <si>
    <t>KON</t>
  </si>
  <si>
    <t>Koloona</t>
  </si>
  <si>
    <t>KOO</t>
  </si>
  <si>
    <t>Koonadan</t>
  </si>
  <si>
    <t>KOT</t>
  </si>
  <si>
    <t>Kootingal</t>
  </si>
  <si>
    <t>KPD</t>
  </si>
  <si>
    <t>Keepit Dam</t>
  </si>
  <si>
    <t>KPK</t>
  </si>
  <si>
    <t>Kapooka</t>
  </si>
  <si>
    <t>KPN</t>
  </si>
  <si>
    <t>Kellys Plains</t>
  </si>
  <si>
    <t>KPT</t>
  </si>
  <si>
    <t>Kissing Point</t>
  </si>
  <si>
    <t>KPY</t>
  </si>
  <si>
    <t>Kempsey Yard</t>
  </si>
  <si>
    <t>KRB</t>
  </si>
  <si>
    <t>Kerrabee</t>
  </si>
  <si>
    <t>KRE</t>
  </si>
  <si>
    <t>Kerewong</t>
  </si>
  <si>
    <t>KRI</t>
  </si>
  <si>
    <t>Klori</t>
  </si>
  <si>
    <t>KRU</t>
  </si>
  <si>
    <t>Karuah</t>
  </si>
  <si>
    <t>KRW</t>
  </si>
  <si>
    <t>Kirrawee</t>
  </si>
  <si>
    <t>KSY</t>
  </si>
  <si>
    <t>Kelso Yard</t>
  </si>
  <si>
    <t>KTN</t>
  </si>
  <si>
    <t>Koothney</t>
  </si>
  <si>
    <t>KTO</t>
  </si>
  <si>
    <t>Kensington</t>
  </si>
  <si>
    <t>KTR</t>
  </si>
  <si>
    <t>Kotara</t>
  </si>
  <si>
    <t>KTY</t>
  </si>
  <si>
    <t>Kentucky</t>
  </si>
  <si>
    <t>KUJ</t>
  </si>
  <si>
    <t>Kurrajong</t>
  </si>
  <si>
    <t>KUN</t>
  </si>
  <si>
    <t>Kundabung</t>
  </si>
  <si>
    <t>KUP</t>
  </si>
  <si>
    <t>Kurraba Point</t>
  </si>
  <si>
    <t>KUR</t>
  </si>
  <si>
    <t>Kurri Kurri</t>
  </si>
  <si>
    <t>KUU</t>
  </si>
  <si>
    <t>Kubura</t>
  </si>
  <si>
    <t>KVA</t>
  </si>
  <si>
    <t>Kingsvale</t>
  </si>
  <si>
    <t>KWA</t>
  </si>
  <si>
    <t>Koorawatha</t>
  </si>
  <si>
    <t>KWD</t>
  </si>
  <si>
    <t>Kingswood</t>
  </si>
  <si>
    <t>KWD01</t>
  </si>
  <si>
    <t>Kingswood Traction SH</t>
  </si>
  <si>
    <t>KWG</t>
  </si>
  <si>
    <t>Koolewong</t>
  </si>
  <si>
    <t>KWG01</t>
  </si>
  <si>
    <t>Koolewong Traction SH</t>
  </si>
  <si>
    <t>KWX</t>
  </si>
  <si>
    <t>Koorawatha Jct</t>
  </si>
  <si>
    <t>KYA</t>
  </si>
  <si>
    <t>Kyarran</t>
  </si>
  <si>
    <t>KYD</t>
  </si>
  <si>
    <t>Katoomba Yard</t>
  </si>
  <si>
    <t>KYL</t>
  </si>
  <si>
    <t>Kyogle</t>
  </si>
  <si>
    <t>KYW</t>
  </si>
  <si>
    <t>Kywong</t>
  </si>
  <si>
    <t>LAA</t>
  </si>
  <si>
    <t>Lake St Clair</t>
  </si>
  <si>
    <t>LAB</t>
  </si>
  <si>
    <t>Lane Cove River</t>
  </si>
  <si>
    <t>LAE</t>
  </si>
  <si>
    <t>Lord Howe Island</t>
  </si>
  <si>
    <t>LAF</t>
  </si>
  <si>
    <t>Lake Burrendong</t>
  </si>
  <si>
    <t>LAJ</t>
  </si>
  <si>
    <t>Lake Burrinjuck</t>
  </si>
  <si>
    <t>LAK</t>
  </si>
  <si>
    <t>Lakemba</t>
  </si>
  <si>
    <t>LAK01</t>
  </si>
  <si>
    <t>Lakemba Traction SS</t>
  </si>
  <si>
    <t>LAL</t>
  </si>
  <si>
    <t>Lake Conjola</t>
  </si>
  <si>
    <t>LAN</t>
  </si>
  <si>
    <t>Lanitza</t>
  </si>
  <si>
    <t>LAO</t>
  </si>
  <si>
    <t>Lake Eucumbene</t>
  </si>
  <si>
    <t>LAP</t>
  </si>
  <si>
    <t>Lapstone</t>
  </si>
  <si>
    <t>LAP01</t>
  </si>
  <si>
    <t>Knapsack Traction SH</t>
  </si>
  <si>
    <t>LAQ</t>
  </si>
  <si>
    <t>Lake Illawarra</t>
  </si>
  <si>
    <t>LAQ01</t>
  </si>
  <si>
    <t>Lake Illawarra-Berkeley Boat Hbr</t>
  </si>
  <si>
    <t>LAQ02</t>
  </si>
  <si>
    <t>Lake Illawarra-Warigal Rock</t>
  </si>
  <si>
    <t>LAQ03</t>
  </si>
  <si>
    <t>Lake Illawarra-Windang Channel</t>
  </si>
  <si>
    <t>LAQ04</t>
  </si>
  <si>
    <t>Lake Illawarra-Windang</t>
  </si>
  <si>
    <t>LAQ05</t>
  </si>
  <si>
    <t>Lake Illawarra-Dixies Reef</t>
  </si>
  <si>
    <t>LAQ06</t>
  </si>
  <si>
    <t>Lake Illawarra-East</t>
  </si>
  <si>
    <t>LAQ07</t>
  </si>
  <si>
    <t>Lake Illawarra-Purrah Bay</t>
  </si>
  <si>
    <t>LAQ08</t>
  </si>
  <si>
    <t>Lake Illawarra-Mullet Crk</t>
  </si>
  <si>
    <t>LAQ09</t>
  </si>
  <si>
    <t>Lake Illawarra-Koonawarra Bay</t>
  </si>
  <si>
    <t>LAS</t>
  </si>
  <si>
    <t>Lake Keepit</t>
  </si>
  <si>
    <t>LAT</t>
  </si>
  <si>
    <t>Lake Jindabyne</t>
  </si>
  <si>
    <t>LAT01</t>
  </si>
  <si>
    <t>Lake Jindabyne-Cooley Bay</t>
  </si>
  <si>
    <t>LAT02</t>
  </si>
  <si>
    <t>Lake Jindabyne-Widows Ck Inlet</t>
  </si>
  <si>
    <t>LAT03</t>
  </si>
  <si>
    <t>Lake Jindabyne-Rushes Bay</t>
  </si>
  <si>
    <t>LAV</t>
  </si>
  <si>
    <t>Langley Vale</t>
  </si>
  <si>
    <t>LAW</t>
  </si>
  <si>
    <t>Lawson</t>
  </si>
  <si>
    <t>LAW01</t>
  </si>
  <si>
    <t>Lawson Traction SS</t>
  </si>
  <si>
    <t>LAW02</t>
  </si>
  <si>
    <t>Lawson Network Base</t>
  </si>
  <si>
    <t>LAY</t>
  </si>
  <si>
    <t>Lake Mulwala</t>
  </si>
  <si>
    <t>LBE</t>
  </si>
  <si>
    <t>Lake Albert</t>
  </si>
  <si>
    <t>LBT</t>
  </si>
  <si>
    <t>Lake Bathurst</t>
  </si>
  <si>
    <t>LBY</t>
  </si>
  <si>
    <t>Lavender Bay</t>
  </si>
  <si>
    <t>LCA</t>
  </si>
  <si>
    <t>Lake Cathie</t>
  </si>
  <si>
    <t>LCB</t>
  </si>
  <si>
    <t>Lake Canobolas</t>
  </si>
  <si>
    <t>LCC</t>
  </si>
  <si>
    <t>Lake Centenary</t>
  </si>
  <si>
    <t>LCE</t>
  </si>
  <si>
    <t>Lidcombe</t>
  </si>
  <si>
    <t>LCE01</t>
  </si>
  <si>
    <t>Lidcombe Traction SS</t>
  </si>
  <si>
    <t>LCE02</t>
  </si>
  <si>
    <t>Lidcombe Traction SH</t>
  </si>
  <si>
    <t>LCG</t>
  </si>
  <si>
    <t>Lake Cargelligo</t>
  </si>
  <si>
    <t>LCL</t>
  </si>
  <si>
    <t>Lidcombe Triangle Loop Jct</t>
  </si>
  <si>
    <t>LCN</t>
  </si>
  <si>
    <t>Lucan</t>
  </si>
  <si>
    <t>LCO</t>
  </si>
  <si>
    <t>Lane Cove</t>
  </si>
  <si>
    <t>LCP</t>
  </si>
  <si>
    <t>Lake Copeton</t>
  </si>
  <si>
    <t>LCS</t>
  </si>
  <si>
    <t>Lithgow Colliery</t>
  </si>
  <si>
    <t>LCU</t>
  </si>
  <si>
    <t>Lane Cove West</t>
  </si>
  <si>
    <t>LCU01</t>
  </si>
  <si>
    <t>Lane Cove Project Office</t>
  </si>
  <si>
    <t>LCV</t>
  </si>
  <si>
    <t>Lachlan River</t>
  </si>
  <si>
    <t>LCW</t>
  </si>
  <si>
    <t>Lake Cowal</t>
  </si>
  <si>
    <t>LCX</t>
  </si>
  <si>
    <t>Lidcombe West Jct</t>
  </si>
  <si>
    <t>LDD</t>
  </si>
  <si>
    <t>Lostock Dam</t>
  </si>
  <si>
    <t>LDF</t>
  </si>
  <si>
    <t>Lindfield</t>
  </si>
  <si>
    <t>LDF01</t>
  </si>
  <si>
    <t>Lindfield Traction SS</t>
  </si>
  <si>
    <t>LDN</t>
  </si>
  <si>
    <t>Luddenham</t>
  </si>
  <si>
    <t>LDS</t>
  </si>
  <si>
    <t>Ladysmith</t>
  </si>
  <si>
    <t>LDV</t>
  </si>
  <si>
    <t>Leadville</t>
  </si>
  <si>
    <t>LDW</t>
  </si>
  <si>
    <t>Lansdowne</t>
  </si>
  <si>
    <t>LEH</t>
  </si>
  <si>
    <t>Letchworth</t>
  </si>
  <si>
    <t>LEI</t>
  </si>
  <si>
    <t>Leichhardt</t>
  </si>
  <si>
    <t>LEI01</t>
  </si>
  <si>
    <t>Office Derbyshire Road,Leichhardt</t>
  </si>
  <si>
    <t>Leppington</t>
  </si>
  <si>
    <t>LEP01</t>
  </si>
  <si>
    <t>Leppington Traction SS</t>
  </si>
  <si>
    <t>LEP02</t>
  </si>
  <si>
    <t>Camden ValleyWay Traction SH</t>
  </si>
  <si>
    <t>LER</t>
  </si>
  <si>
    <t>Lerida</t>
  </si>
  <si>
    <t>LET</t>
  </si>
  <si>
    <t>Leeton</t>
  </si>
  <si>
    <t>LEV</t>
  </si>
  <si>
    <t>Leeville</t>
  </si>
  <si>
    <t>LEW</t>
  </si>
  <si>
    <t>Lewisham</t>
  </si>
  <si>
    <t>LEW01</t>
  </si>
  <si>
    <t>Lewisham Traction SS</t>
  </si>
  <si>
    <t>LEY</t>
  </si>
  <si>
    <t>Leycester</t>
  </si>
  <si>
    <t>LFI</t>
  </si>
  <si>
    <t>Lake Finley</t>
  </si>
  <si>
    <t>LFO</t>
  </si>
  <si>
    <t>Lake Forbes</t>
  </si>
  <si>
    <t>LFT</t>
  </si>
  <si>
    <t>Loftus</t>
  </si>
  <si>
    <t>LFT01</t>
  </si>
  <si>
    <t>Loftus Traction SS</t>
  </si>
  <si>
    <t>LGH</t>
  </si>
  <si>
    <t>Leigh</t>
  </si>
  <si>
    <t>LGN</t>
  </si>
  <si>
    <t>Llangothlin Lagoon</t>
  </si>
  <si>
    <t>LGT</t>
  </si>
  <si>
    <t>Langtree</t>
  </si>
  <si>
    <t>LGY</t>
  </si>
  <si>
    <t>Lake Cargelligo Yard</t>
  </si>
  <si>
    <t>LHG</t>
  </si>
  <si>
    <t>Lightning Ridge</t>
  </si>
  <si>
    <t>LHN</t>
  </si>
  <si>
    <t>Leichhardt North</t>
  </si>
  <si>
    <t>LHT</t>
  </si>
  <si>
    <t>Loombah</t>
  </si>
  <si>
    <t>LHU</t>
  </si>
  <si>
    <t>Lake Hume</t>
  </si>
  <si>
    <t>LIF</t>
  </si>
  <si>
    <t>Lilyfield Yard</t>
  </si>
  <si>
    <t>LIF01</t>
  </si>
  <si>
    <t>Lilyfield Maint Depot (Lilyfield Yd)</t>
  </si>
  <si>
    <t>LIL</t>
  </si>
  <si>
    <t>Lilyfield</t>
  </si>
  <si>
    <t>LIL01</t>
  </si>
  <si>
    <t>Lilyfield Traction SS</t>
  </si>
  <si>
    <t>LIM</t>
  </si>
  <si>
    <t>Limbri</t>
  </si>
  <si>
    <t>LIN</t>
  </si>
  <si>
    <t>Linden</t>
  </si>
  <si>
    <t>LIN01</t>
  </si>
  <si>
    <t>Linden Traction SH</t>
  </si>
  <si>
    <t>LIS</t>
  </si>
  <si>
    <t>Long Island</t>
  </si>
  <si>
    <t>LIV</t>
  </si>
  <si>
    <t>Liverpool</t>
  </si>
  <si>
    <t>LIV01</t>
  </si>
  <si>
    <t>Liverpool Traction SH</t>
  </si>
  <si>
    <t>LIV02</t>
  </si>
  <si>
    <t>Liverpool Network Ops Superintendent</t>
  </si>
  <si>
    <t>LIX</t>
  </si>
  <si>
    <t>Lidcombe Jct</t>
  </si>
  <si>
    <t>LJE</t>
  </si>
  <si>
    <t>Lake Jerilderie</t>
  </si>
  <si>
    <t>LKH</t>
  </si>
  <si>
    <t>Lake Haven</t>
  </si>
  <si>
    <t>LKV</t>
  </si>
  <si>
    <t>Lakeview</t>
  </si>
  <si>
    <t>LLC</t>
  </si>
  <si>
    <t>Lithgow Down Yard</t>
  </si>
  <si>
    <t>LLE</t>
  </si>
  <si>
    <t>Larras Lee</t>
  </si>
  <si>
    <t>LLI</t>
  </si>
  <si>
    <t>Lake Liddell</t>
  </si>
  <si>
    <t>LLJ</t>
  </si>
  <si>
    <t>Lake Lyell</t>
  </si>
  <si>
    <t>LLL</t>
  </si>
  <si>
    <t>Liddell</t>
  </si>
  <si>
    <t>LLN</t>
  </si>
  <si>
    <t>Llangothlin</t>
  </si>
  <si>
    <t>LLV</t>
  </si>
  <si>
    <t>Lilyvale</t>
  </si>
  <si>
    <t>LLV01</t>
  </si>
  <si>
    <t>Lilyvale Traction SS</t>
  </si>
  <si>
    <t>LLY</t>
  </si>
  <si>
    <t>Lloyd</t>
  </si>
  <si>
    <t>LMB</t>
  </si>
  <si>
    <t>Lambton Colliery</t>
  </si>
  <si>
    <t>LMC</t>
  </si>
  <si>
    <t>Lake Macquarie</t>
  </si>
  <si>
    <t>LMC01</t>
  </si>
  <si>
    <t>Lake Macquarie-South Ck</t>
  </si>
  <si>
    <t>LMC02</t>
  </si>
  <si>
    <t>Lake Macquarie-Barden Bay</t>
  </si>
  <si>
    <t>LMC03</t>
  </si>
  <si>
    <t>Lake Macquarie-Dora Ck</t>
  </si>
  <si>
    <t>LMC04</t>
  </si>
  <si>
    <t>Lake Macquarie-Elizabeth Is</t>
  </si>
  <si>
    <t>LMC05</t>
  </si>
  <si>
    <t>Lake Macquarie-Galgabba Pt</t>
  </si>
  <si>
    <t>LMC06</t>
  </si>
  <si>
    <t>Lake Macquarie-Green Pt</t>
  </si>
  <si>
    <t>LMC07</t>
  </si>
  <si>
    <t>Lake Macquarie-Marmong Bay</t>
  </si>
  <si>
    <t>LMC08</t>
  </si>
  <si>
    <t>Lake Macquarie-Pelican Is</t>
  </si>
  <si>
    <t>LMC09</t>
  </si>
  <si>
    <t>Lake Macquarie-Sugar Bay</t>
  </si>
  <si>
    <t>LMC10</t>
  </si>
  <si>
    <t>Lake Macquarie-Sunken Rock</t>
  </si>
  <si>
    <t>LMC11</t>
  </si>
  <si>
    <t>Lake Macquarie-Swansea Channel</t>
  </si>
  <si>
    <t>LMC12</t>
  </si>
  <si>
    <t>Lake Macquarie-Swansea Flats</t>
  </si>
  <si>
    <t>LMC13</t>
  </si>
  <si>
    <t>Lake Macquarie-Shingle Splitters Pt</t>
  </si>
  <si>
    <t>LMC14</t>
  </si>
  <si>
    <t>Lake Macquarie-Summerland Pt</t>
  </si>
  <si>
    <t>LMC15</t>
  </si>
  <si>
    <t>Lake Macquarie-Pulbah Is</t>
  </si>
  <si>
    <t>LMW</t>
  </si>
  <si>
    <t>Lewisham West</t>
  </si>
  <si>
    <t>LMW01</t>
  </si>
  <si>
    <t>Lewisham West Traction SS</t>
  </si>
  <si>
    <t>LMY</t>
  </si>
  <si>
    <t>Lismore Yard</t>
  </si>
  <si>
    <t>LNR</t>
  </si>
  <si>
    <t>Landrigans</t>
  </si>
  <si>
    <t>LNY</t>
  </si>
  <si>
    <t>Leightonfield Yard</t>
  </si>
  <si>
    <t>LOC</t>
  </si>
  <si>
    <t>Lochinvar</t>
  </si>
  <si>
    <t>LOD</t>
  </si>
  <si>
    <t>Loadstone</t>
  </si>
  <si>
    <t>LOK</t>
  </si>
  <si>
    <t>Lockhart</t>
  </si>
  <si>
    <t>LON</t>
  </si>
  <si>
    <t>Longueville</t>
  </si>
  <si>
    <t>LPI</t>
  </si>
  <si>
    <t>Lake Pindari</t>
  </si>
  <si>
    <t>LPR</t>
  </si>
  <si>
    <t>La Perouse</t>
  </si>
  <si>
    <t>LPY</t>
  </si>
  <si>
    <t>Leppington Yard</t>
  </si>
  <si>
    <t>LRA</t>
  </si>
  <si>
    <t>Leura</t>
  </si>
  <si>
    <t>LRA01</t>
  </si>
  <si>
    <t>Leura Traction SH</t>
  </si>
  <si>
    <t>LRV</t>
  </si>
  <si>
    <t>Little River</t>
  </si>
  <si>
    <t>LSD</t>
  </si>
  <si>
    <t>Lidsdale</t>
  </si>
  <si>
    <t>LSL</t>
  </si>
  <si>
    <t>Locksley</t>
  </si>
  <si>
    <t>LSM</t>
  </si>
  <si>
    <t>Lismore</t>
  </si>
  <si>
    <t>LSR</t>
  </si>
  <si>
    <t>Lisarow</t>
  </si>
  <si>
    <t>LST</t>
  </si>
  <si>
    <t>Lysaghts</t>
  </si>
  <si>
    <t>LSY</t>
  </si>
  <si>
    <t>Lysaghts Yard</t>
  </si>
  <si>
    <t>LTA</t>
  </si>
  <si>
    <t>Lake Talbot</t>
  </si>
  <si>
    <t>LTD</t>
  </si>
  <si>
    <t>Leeton Yard</t>
  </si>
  <si>
    <t>LTH</t>
  </si>
  <si>
    <t>Lithgow</t>
  </si>
  <si>
    <t>LTN</t>
  </si>
  <si>
    <t>Leightonfield</t>
  </si>
  <si>
    <t>LTN01</t>
  </si>
  <si>
    <t>Leightonfield Traction SH</t>
  </si>
  <si>
    <t>LTY</t>
  </si>
  <si>
    <t>Lithgow Up Yard</t>
  </si>
  <si>
    <t>LUD</t>
  </si>
  <si>
    <t>Luadra</t>
  </si>
  <si>
    <t>LUE</t>
  </si>
  <si>
    <t>Lue</t>
  </si>
  <si>
    <t>LUH</t>
  </si>
  <si>
    <t>Leumeah</t>
  </si>
  <si>
    <t>LUH01</t>
  </si>
  <si>
    <t>Leumeah Traction SS</t>
  </si>
  <si>
    <t>LUN</t>
  </si>
  <si>
    <t>Lake Urana</t>
  </si>
  <si>
    <t>LUV</t>
  </si>
  <si>
    <t>Lucasville</t>
  </si>
  <si>
    <t>LVY</t>
  </si>
  <si>
    <t>Liverpool Yard</t>
  </si>
  <si>
    <t>LWG</t>
  </si>
  <si>
    <t>Lake Wyangan</t>
  </si>
  <si>
    <t>LWI</t>
  </si>
  <si>
    <t>Lake Windamere</t>
  </si>
  <si>
    <t>LWN</t>
  </si>
  <si>
    <t>Lowanna</t>
  </si>
  <si>
    <t>LWR</t>
  </si>
  <si>
    <t>Lawrence Road</t>
  </si>
  <si>
    <t>LWS</t>
  </si>
  <si>
    <t>Lowlands</t>
  </si>
  <si>
    <t>LYN</t>
  </si>
  <si>
    <t>Lyndhurst</t>
  </si>
  <si>
    <t>MAA</t>
  </si>
  <si>
    <t>Manara</t>
  </si>
  <si>
    <t>MAC</t>
  </si>
  <si>
    <t>Mt Arthur Sth Colliery</t>
  </si>
  <si>
    <t>MAH</t>
  </si>
  <si>
    <t>Merah North</t>
  </si>
  <si>
    <t>MAJ</t>
  </si>
  <si>
    <t>Mt Arthur Jct</t>
  </si>
  <si>
    <t>MAL</t>
  </si>
  <si>
    <t>Maldon</t>
  </si>
  <si>
    <t>MAN</t>
  </si>
  <si>
    <t>Mandurama</t>
  </si>
  <si>
    <t>MAO</t>
  </si>
  <si>
    <t>Maroona</t>
  </si>
  <si>
    <t>MAR</t>
  </si>
  <si>
    <t>Marulan</t>
  </si>
  <si>
    <t>MAR01</t>
  </si>
  <si>
    <t>Marulan Heavy Vehicle Safety Station</t>
  </si>
  <si>
    <t>MAU</t>
  </si>
  <si>
    <t>Maclaughlin</t>
  </si>
  <si>
    <t>MBB</t>
  </si>
  <si>
    <t>Moolarben Coal Jct</t>
  </si>
  <si>
    <t>MBD</t>
  </si>
  <si>
    <t>Moombooldool</t>
  </si>
  <si>
    <t>MBG</t>
  </si>
  <si>
    <t>Muronbung</t>
  </si>
  <si>
    <t>MBH</t>
  </si>
  <si>
    <t>Minimbah</t>
  </si>
  <si>
    <t>MBI</t>
  </si>
  <si>
    <t>Medway Quarry</t>
  </si>
  <si>
    <t>MBJ</t>
  </si>
  <si>
    <t>Mt Black Jack</t>
  </si>
  <si>
    <t>MBK</t>
  </si>
  <si>
    <t>Millbank</t>
  </si>
  <si>
    <t>MBL</t>
  </si>
  <si>
    <t>Mooball</t>
  </si>
  <si>
    <t>MBM</t>
  </si>
  <si>
    <t>Murrobo</t>
  </si>
  <si>
    <t>MBN</t>
  </si>
  <si>
    <t>Merrywinebone</t>
  </si>
  <si>
    <t>MBO</t>
  </si>
  <si>
    <t>Mt Boyce</t>
  </si>
  <si>
    <t>MBP</t>
  </si>
  <si>
    <t>Mort Bay</t>
  </si>
  <si>
    <t>MBR</t>
  </si>
  <si>
    <t>Murrumburrah</t>
  </si>
  <si>
    <t>MBY</t>
  </si>
  <si>
    <t>Mullumbimby</t>
  </si>
  <si>
    <t>MCA</t>
  </si>
  <si>
    <t>MCB</t>
  </si>
  <si>
    <t>Mickibri</t>
  </si>
  <si>
    <t>MCF</t>
  </si>
  <si>
    <t>Macleay River</t>
  </si>
  <si>
    <t>MCF01</t>
  </si>
  <si>
    <t>Macleay River-South West Rocks</t>
  </si>
  <si>
    <t>MCF02</t>
  </si>
  <si>
    <t>Macleay River-Rainbow Reach</t>
  </si>
  <si>
    <t>MCJ</t>
  </si>
  <si>
    <t>Metropolitan Colliery Jct</t>
  </si>
  <si>
    <t>MCK</t>
  </si>
  <si>
    <t>Mullion Creek</t>
  </si>
  <si>
    <t>MCL</t>
  </si>
  <si>
    <t>Metropolitan Colliery</t>
  </si>
  <si>
    <t>MCO</t>
  </si>
  <si>
    <t>Mascot</t>
  </si>
  <si>
    <t>MCO01</t>
  </si>
  <si>
    <t>Mascot Traction SH</t>
  </si>
  <si>
    <t>MCO02</t>
  </si>
  <si>
    <t>Mascot No1 Station SS</t>
  </si>
  <si>
    <t>MCO03</t>
  </si>
  <si>
    <t>Mascot No2 Station SS</t>
  </si>
  <si>
    <t>MCO04</t>
  </si>
  <si>
    <t>Mascot Equinix SY3 Data Centre</t>
  </si>
  <si>
    <t>MCO05</t>
  </si>
  <si>
    <t>Mascot Traction SS</t>
  </si>
  <si>
    <t>MCS</t>
  </si>
  <si>
    <t>Mortdale Car Sdg Yard</t>
  </si>
  <si>
    <t>MCS01</t>
  </si>
  <si>
    <t>Mortdale Maint Ctr (Mortdale Car Sdg Yd)</t>
  </si>
  <si>
    <t>MCT</t>
  </si>
  <si>
    <t>Macdonaldtown</t>
  </si>
  <si>
    <t>MCU</t>
  </si>
  <si>
    <t>Macquarie University</t>
  </si>
  <si>
    <t>MCU01</t>
  </si>
  <si>
    <t>Macquarie Uni Traction SS</t>
  </si>
  <si>
    <t>MCU02</t>
  </si>
  <si>
    <t>Macquarie Uni Stn West SS</t>
  </si>
  <si>
    <t>MCU03</t>
  </si>
  <si>
    <t>Macquarie Uni Stn East SS</t>
  </si>
  <si>
    <t>MCW</t>
  </si>
  <si>
    <t>Manly Cove West</t>
  </si>
  <si>
    <t>MCY</t>
  </si>
  <si>
    <t>Macksville Yard</t>
  </si>
  <si>
    <t>MDB</t>
  </si>
  <si>
    <t>Meadowbank</t>
  </si>
  <si>
    <t>MDC</t>
  </si>
  <si>
    <t>Macdonaldtown Car Sdg Yard</t>
  </si>
  <si>
    <t>MDD</t>
  </si>
  <si>
    <t>Manildra Yard</t>
  </si>
  <si>
    <t>MDE</t>
  </si>
  <si>
    <t>Medway</t>
  </si>
  <si>
    <t>MDF</t>
  </si>
  <si>
    <t>Middlefield</t>
  </si>
  <si>
    <t>MDG</t>
  </si>
  <si>
    <t>Mandagery</t>
  </si>
  <si>
    <t>MDH</t>
  </si>
  <si>
    <t>Morundah</t>
  </si>
  <si>
    <t>MDI</t>
  </si>
  <si>
    <t>Murrurundi</t>
  </si>
  <si>
    <t>MDJ</t>
  </si>
  <si>
    <t>Maldon Jct</t>
  </si>
  <si>
    <t>MDL</t>
  </si>
  <si>
    <t>Mardi</t>
  </si>
  <si>
    <t>MDL01</t>
  </si>
  <si>
    <t>Cent Cst Works,209 Old Maitland Rd,Mardi</t>
  </si>
  <si>
    <t>MDN</t>
  </si>
  <si>
    <t>Mundoon</t>
  </si>
  <si>
    <t>MDO</t>
  </si>
  <si>
    <t>Morandoo Yard</t>
  </si>
  <si>
    <t>MDR</t>
  </si>
  <si>
    <t>Mindaribba</t>
  </si>
  <si>
    <t>MDS</t>
  </si>
  <si>
    <t>Myall Mundi</t>
  </si>
  <si>
    <t>MDT</t>
  </si>
  <si>
    <t>Mt Druitt</t>
  </si>
  <si>
    <t>MDT01</t>
  </si>
  <si>
    <t>Mt Druitt Traction SH</t>
  </si>
  <si>
    <t>MDU</t>
  </si>
  <si>
    <t>Mt Douglas</t>
  </si>
  <si>
    <t>MDV</t>
  </si>
  <si>
    <t>Mt Duval</t>
  </si>
  <si>
    <t>MDX</t>
  </si>
  <si>
    <t>Maitland Jct</t>
  </si>
  <si>
    <t>MDY</t>
  </si>
  <si>
    <t>Maldon Yard</t>
  </si>
  <si>
    <t>MDZ</t>
  </si>
  <si>
    <t>Mudgee Yard</t>
  </si>
  <si>
    <t>MEA</t>
  </si>
  <si>
    <t>Merrygoen Yard</t>
  </si>
  <si>
    <t>MEB</t>
  </si>
  <si>
    <t>Mt Terrible</t>
  </si>
  <si>
    <t>MED</t>
  </si>
  <si>
    <t>Medlow Bath</t>
  </si>
  <si>
    <t>MED01</t>
  </si>
  <si>
    <t>Medlow Bath Traction SH</t>
  </si>
  <si>
    <t>MED02</t>
  </si>
  <si>
    <t>Medlow Bath West Traction SH</t>
  </si>
  <si>
    <t>MEE</t>
  </si>
  <si>
    <t>Meemar</t>
  </si>
  <si>
    <t>MEG</t>
  </si>
  <si>
    <t>Megan</t>
  </si>
  <si>
    <t>MEJ</t>
  </si>
  <si>
    <t>Medway Jct</t>
  </si>
  <si>
    <t>MEM</t>
  </si>
  <si>
    <t>Merimbula</t>
  </si>
  <si>
    <t>MEN</t>
  </si>
  <si>
    <t>Merebene</t>
  </si>
  <si>
    <t>MER</t>
  </si>
  <si>
    <t>Meranburn</t>
  </si>
  <si>
    <t>MET</t>
  </si>
  <si>
    <t>Metford</t>
  </si>
  <si>
    <t>MFL</t>
  </si>
  <si>
    <t>Maryfields</t>
  </si>
  <si>
    <t>MFN</t>
  </si>
  <si>
    <t>Middle Harbour</t>
  </si>
  <si>
    <t>MFN01</t>
  </si>
  <si>
    <t>Middle Harbour-The Spit</t>
  </si>
  <si>
    <t>MFN02</t>
  </si>
  <si>
    <t>Middle Harbour-Killarney Pt</t>
  </si>
  <si>
    <t>MFR</t>
  </si>
  <si>
    <t>Mcdonald River</t>
  </si>
  <si>
    <t>MFW</t>
  </si>
  <si>
    <t>Mayfield West</t>
  </si>
  <si>
    <t>MGC</t>
  </si>
  <si>
    <t>Mt Grey</t>
  </si>
  <si>
    <t>MGD</t>
  </si>
  <si>
    <t>Mullengudgery</t>
  </si>
  <si>
    <t>MGE</t>
  </si>
  <si>
    <t>Mt Galore</t>
  </si>
  <si>
    <t>MGG</t>
  </si>
  <si>
    <t>Mt George</t>
  </si>
  <si>
    <t>MGH</t>
  </si>
  <si>
    <t>Murgo</t>
  </si>
  <si>
    <t>MGI</t>
  </si>
  <si>
    <t>Mungindi</t>
  </si>
  <si>
    <t>MGL</t>
  </si>
  <si>
    <t>Menangle</t>
  </si>
  <si>
    <t>MGN</t>
  </si>
  <si>
    <t>Mangerton</t>
  </si>
  <si>
    <t>MGO</t>
  </si>
  <si>
    <t>Michelago</t>
  </si>
  <si>
    <t>MGP</t>
  </si>
  <si>
    <t>Menangle Park</t>
  </si>
  <si>
    <t>MGR</t>
  </si>
  <si>
    <t>Marrangaroo</t>
  </si>
  <si>
    <t>MGT</t>
  </si>
  <si>
    <t>Mt Ganghat</t>
  </si>
  <si>
    <t>MGX</t>
  </si>
  <si>
    <t>Merrygoen Jct</t>
  </si>
  <si>
    <t>MGY</t>
  </si>
  <si>
    <t>Mogriguy</t>
  </si>
  <si>
    <t>MHK</t>
  </si>
  <si>
    <t>Mays Hill</t>
  </si>
  <si>
    <t>MHN</t>
  </si>
  <si>
    <t>Mt Helen</t>
  </si>
  <si>
    <t>MHT</t>
  </si>
  <si>
    <t>Middle Brother</t>
  </si>
  <si>
    <t>MHV</t>
  </si>
  <si>
    <t>Manly Reservoir</t>
  </si>
  <si>
    <t>MHX</t>
  </si>
  <si>
    <t>Moree Jct</t>
  </si>
  <si>
    <t>MIA</t>
  </si>
  <si>
    <t>Mia Creek</t>
  </si>
  <si>
    <t>MIB</t>
  </si>
  <si>
    <t>Mirrabee</t>
  </si>
  <si>
    <t>MIC</t>
  </si>
  <si>
    <t>Micabil</t>
  </si>
  <si>
    <t>MID</t>
  </si>
  <si>
    <t>Maitland Yard</t>
  </si>
  <si>
    <t>MIJ</t>
  </si>
  <si>
    <t>Mingay</t>
  </si>
  <si>
    <t>MIL</t>
  </si>
  <si>
    <t>Milbrulong</t>
  </si>
  <si>
    <t>Minto</t>
  </si>
  <si>
    <t>MIN01</t>
  </si>
  <si>
    <t>Minto Traction SH</t>
  </si>
  <si>
    <t>MIN02</t>
  </si>
  <si>
    <t>Minto Traction SS</t>
  </si>
  <si>
    <t>MIO</t>
  </si>
  <si>
    <t>Moorebank Intermodal Yard</t>
  </si>
  <si>
    <t>MIP</t>
  </si>
  <si>
    <t>Millthorpe</t>
  </si>
  <si>
    <t>MIR</t>
  </si>
  <si>
    <t>Mirrool</t>
  </si>
  <si>
    <t>MIT</t>
  </si>
  <si>
    <t>Mittagong</t>
  </si>
  <si>
    <t>MIY</t>
  </si>
  <si>
    <t>Milguy</t>
  </si>
  <si>
    <t>MJI</t>
  </si>
  <si>
    <t>Minnamurra River Wollongong</t>
  </si>
  <si>
    <t>MJL</t>
  </si>
  <si>
    <t>Mannus Lake</t>
  </si>
  <si>
    <t>Mairjimmy</t>
  </si>
  <si>
    <t>MJO</t>
  </si>
  <si>
    <t>Maroubra</t>
  </si>
  <si>
    <t>MJT</t>
  </si>
  <si>
    <t>Milton</t>
  </si>
  <si>
    <t>MJU</t>
  </si>
  <si>
    <t>Mooball Creek</t>
  </si>
  <si>
    <t>MJV</t>
  </si>
  <si>
    <t>Moama West</t>
  </si>
  <si>
    <t>MKA</t>
  </si>
  <si>
    <t>Mt Loka</t>
  </si>
  <si>
    <t>MKC</t>
  </si>
  <si>
    <t>Moruya River</t>
  </si>
  <si>
    <t>MKD</t>
  </si>
  <si>
    <t>Matakana Yard</t>
  </si>
  <si>
    <t>MKF</t>
  </si>
  <si>
    <t>Myall Lake</t>
  </si>
  <si>
    <t>MKF01</t>
  </si>
  <si>
    <t>Myall Lake-Bombah Pt</t>
  </si>
  <si>
    <t>MKG</t>
  </si>
  <si>
    <t>Mt Kuring-Gai</t>
  </si>
  <si>
    <t>MKG01</t>
  </si>
  <si>
    <t>Mt Kuring-Gai Traction SH</t>
  </si>
  <si>
    <t>MKG02</t>
  </si>
  <si>
    <t>Mt Kuring-Gai Sth Traction SH</t>
  </si>
  <si>
    <t>MKH</t>
  </si>
  <si>
    <t>Myall River</t>
  </si>
  <si>
    <t>MKH01</t>
  </si>
  <si>
    <t>Myall River-Engels Reach</t>
  </si>
  <si>
    <t>MKM</t>
  </si>
  <si>
    <t>Manly Dam</t>
  </si>
  <si>
    <t>MKN</t>
  </si>
  <si>
    <t>Mt Knowles</t>
  </si>
  <si>
    <t>MKR</t>
  </si>
  <si>
    <t>Mt Kaputar</t>
  </si>
  <si>
    <t>MKS</t>
  </si>
  <si>
    <t>Macksville</t>
  </si>
  <si>
    <t>MKV</t>
  </si>
  <si>
    <t>Marrickville</t>
  </si>
  <si>
    <t>MKX</t>
  </si>
  <si>
    <t>Marrickville Jct</t>
  </si>
  <si>
    <t>MLA</t>
  </si>
  <si>
    <t>Mellelea</t>
  </si>
  <si>
    <t>MLB</t>
  </si>
  <si>
    <t>Malabar</t>
  </si>
  <si>
    <t>MLD</t>
  </si>
  <si>
    <t>Maitland</t>
  </si>
  <si>
    <t>MLE</t>
  </si>
  <si>
    <t>Mona Vale</t>
  </si>
  <si>
    <t>MLE01</t>
  </si>
  <si>
    <t>Mona Vale Bus Depot</t>
  </si>
  <si>
    <t>MLG</t>
  </si>
  <si>
    <t>Melinga</t>
  </si>
  <si>
    <t>MLI</t>
  </si>
  <si>
    <t>Mt Lion</t>
  </si>
  <si>
    <t>MLK</t>
  </si>
  <si>
    <t>Mortlake</t>
  </si>
  <si>
    <t>MLL</t>
  </si>
  <si>
    <t>Matraville</t>
  </si>
  <si>
    <t>MLP</t>
  </si>
  <si>
    <t>Millers Point</t>
  </si>
  <si>
    <t>MLR</t>
  </si>
  <si>
    <t>Melrose Park</t>
  </si>
  <si>
    <t>MLS</t>
  </si>
  <si>
    <t>Mcalister</t>
  </si>
  <si>
    <t>MLT</t>
  </si>
  <si>
    <t>Moleton</t>
  </si>
  <si>
    <t>MLV</t>
  </si>
  <si>
    <t>Milvale</t>
  </si>
  <si>
    <t>MLY</t>
  </si>
  <si>
    <t>Moss Vale Yard</t>
  </si>
  <si>
    <t>MME</t>
  </si>
  <si>
    <t>Mumerdie</t>
  </si>
  <si>
    <t>MMF</t>
  </si>
  <si>
    <t>Murrumbidgee River</t>
  </si>
  <si>
    <t>MMM</t>
  </si>
  <si>
    <t>Mumbil</t>
  </si>
  <si>
    <t>MMN</t>
  </si>
  <si>
    <t>Mortonmain</t>
  </si>
  <si>
    <t>MMO</t>
  </si>
  <si>
    <t>Mangoola</t>
  </si>
  <si>
    <t>MMP</t>
  </si>
  <si>
    <t>McMahons Point</t>
  </si>
  <si>
    <t>MMU</t>
  </si>
  <si>
    <t>Maimaru</t>
  </si>
  <si>
    <t>MMX</t>
  </si>
  <si>
    <t>Molong Jct</t>
  </si>
  <si>
    <t>MNB</t>
  </si>
  <si>
    <t>Moonbi</t>
  </si>
  <si>
    <t>MNC</t>
  </si>
  <si>
    <t>Mt Arthur Nth Colliery</t>
  </si>
  <si>
    <t>MND</t>
  </si>
  <si>
    <t>Miandetta</t>
  </si>
  <si>
    <t>MNE</t>
  </si>
  <si>
    <t>Menindee</t>
  </si>
  <si>
    <t>MNF</t>
  </si>
  <si>
    <t>Menai</t>
  </si>
  <si>
    <t>MNG</t>
  </si>
  <si>
    <t>Mangoplah</t>
  </si>
  <si>
    <t>MNJ</t>
  </si>
  <si>
    <t>Manly</t>
  </si>
  <si>
    <t>MNK</t>
  </si>
  <si>
    <t>Monkerai</t>
  </si>
  <si>
    <t>MNL</t>
  </si>
  <si>
    <t>Manilla</t>
  </si>
  <si>
    <t>MNM</t>
  </si>
  <si>
    <t>Minemoorong</t>
  </si>
  <si>
    <t>MNO</t>
  </si>
  <si>
    <t>Mendooran</t>
  </si>
  <si>
    <t>MNU</t>
  </si>
  <si>
    <t>Mingaletta</t>
  </si>
  <si>
    <t>MNV</t>
  </si>
  <si>
    <t>Mt Neville</t>
  </si>
  <si>
    <t>MNW</t>
  </si>
  <si>
    <t>Macarthur Intermodal Shipping Terminal Yard</t>
  </si>
  <si>
    <t>MNY</t>
  </si>
  <si>
    <t>Munyabla</t>
  </si>
  <si>
    <t>MOA</t>
  </si>
  <si>
    <t>Mosman</t>
  </si>
  <si>
    <t>MOD</t>
  </si>
  <si>
    <t>Mittagong Yard</t>
  </si>
  <si>
    <t>MOG</t>
  </si>
  <si>
    <t>Mogongong</t>
  </si>
  <si>
    <t>MOL</t>
  </si>
  <si>
    <t>Molong</t>
  </si>
  <si>
    <t>MOM</t>
  </si>
  <si>
    <t>Monomie</t>
  </si>
  <si>
    <t>MON</t>
  </si>
  <si>
    <t>Mt Rae</t>
  </si>
  <si>
    <t>Morpeth</t>
  </si>
  <si>
    <t>MOR</t>
  </si>
  <si>
    <t>Minore</t>
  </si>
  <si>
    <t>MOU</t>
  </si>
  <si>
    <t>Moruya</t>
  </si>
  <si>
    <t>MOU01</t>
  </si>
  <si>
    <t>Moruya Works Depot</t>
  </si>
  <si>
    <t>MPA</t>
  </si>
  <si>
    <t>Manning River</t>
  </si>
  <si>
    <t>MPG</t>
  </si>
  <si>
    <t>Merimbula Lake</t>
  </si>
  <si>
    <t>MPG01</t>
  </si>
  <si>
    <t>Merimbula Lake-Nth Of Bridge</t>
  </si>
  <si>
    <t>MPG02</t>
  </si>
  <si>
    <t>Merimbula Lake-Sth Of Bridge</t>
  </si>
  <si>
    <t>MPK</t>
  </si>
  <si>
    <t>Moore Park</t>
  </si>
  <si>
    <t>MPK01</t>
  </si>
  <si>
    <t>Moore Park Tunnel West Traction SS</t>
  </si>
  <si>
    <t>MPK02</t>
  </si>
  <si>
    <t>Moore Park Traction SS</t>
  </si>
  <si>
    <t>MPK03</t>
  </si>
  <si>
    <t>Moore Park Traction SH</t>
  </si>
  <si>
    <t>Martin Place</t>
  </si>
  <si>
    <t>MPL01</t>
  </si>
  <si>
    <t>Art Gallery Traction SS</t>
  </si>
  <si>
    <t>MPL02</t>
  </si>
  <si>
    <t>Martin Place Station SS No1</t>
  </si>
  <si>
    <t>MPL03</t>
  </si>
  <si>
    <t>Martin Place Station SS No2</t>
  </si>
  <si>
    <t>MPN</t>
  </si>
  <si>
    <t>Moppin</t>
  </si>
  <si>
    <t>MPP</t>
  </si>
  <si>
    <t>Mt Gipps</t>
  </si>
  <si>
    <t>MPR</t>
  </si>
  <si>
    <t>Manly Pier</t>
  </si>
  <si>
    <t>MPS</t>
  </si>
  <si>
    <t>Mt Pleasant</t>
  </si>
  <si>
    <t>MPT</t>
  </si>
  <si>
    <t>Milsons Point</t>
  </si>
  <si>
    <t>MPT01</t>
  </si>
  <si>
    <t xml:space="preserve">20-44 Ennis Rd,Milsons Pt </t>
  </si>
  <si>
    <t>MPT010001</t>
  </si>
  <si>
    <t>20-44 Ennis Rd,Grnd Flr,Bay01,Milsons Pt</t>
  </si>
  <si>
    <t>MPT010002</t>
  </si>
  <si>
    <t>20-44 Ennis Rd,Grnd Flr,Bay02,Milsons Pt</t>
  </si>
  <si>
    <t>MPT010003</t>
  </si>
  <si>
    <t>20-44 Ennis Rd,Grnd Flr,Bay03,Milsons Pt</t>
  </si>
  <si>
    <t>MPT010004</t>
  </si>
  <si>
    <t>20-44 Ennis Rd,Grnd Flr,Bay04,Milsons Pt</t>
  </si>
  <si>
    <t>MPT010005</t>
  </si>
  <si>
    <t>20-44 Ennis Rd,Grnd Flr,Bay05,Milsons Pt</t>
  </si>
  <si>
    <t>MPT010006</t>
  </si>
  <si>
    <t>20-44 Ennis Rd,Grnd Flr,Bay06,Milsons Pt</t>
  </si>
  <si>
    <t>MPT010007</t>
  </si>
  <si>
    <t>20-44 Ennis Rd,Grnd Flr,Bay07,Milsons Pt</t>
  </si>
  <si>
    <t>MPT010008</t>
  </si>
  <si>
    <t>20-44 Ennis Rd,Grnd Flr,Bay08,Milsons Pt</t>
  </si>
  <si>
    <t>MPT010009</t>
  </si>
  <si>
    <t>20-44 Ennis Rd,Grnd Flr,Bay09,Milsons Pt</t>
  </si>
  <si>
    <t>MPT010010</t>
  </si>
  <si>
    <t>20-44 Ennis Rd,Grnd Flr,Bay10,Milsons Pt</t>
  </si>
  <si>
    <t>MPT010011</t>
  </si>
  <si>
    <t>20-44 Ennis Rd,Grnd Flr,Bay11,Milsons Pt</t>
  </si>
  <si>
    <t>MPT010101</t>
  </si>
  <si>
    <t>20-44 Ennis Rd,L01,Bay01,Milsons Pt</t>
  </si>
  <si>
    <t>MPT010102</t>
  </si>
  <si>
    <t>20-44 Ennis Rd,L01,Bay02,Milsons Pt</t>
  </si>
  <si>
    <t>MPT010103</t>
  </si>
  <si>
    <t>20-44 Ennis Rd,L01,Bay03,Milsons Pt</t>
  </si>
  <si>
    <t>MPT010104</t>
  </si>
  <si>
    <t>20-44 Ennis Rd,L01,Bay04,Milsons Pt</t>
  </si>
  <si>
    <t>MPT010105</t>
  </si>
  <si>
    <t>20-44 Ennis Rd,L01,Bay05,Milsons Pt</t>
  </si>
  <si>
    <t>MPT010106</t>
  </si>
  <si>
    <t>20-44 Ennis Rd,L01,Bay06,Milsons Pt</t>
  </si>
  <si>
    <t>MPT010107</t>
  </si>
  <si>
    <t>20-44 Ennis Rd,L01,Bay07,Milsons Pt</t>
  </si>
  <si>
    <t>MPT010108</t>
  </si>
  <si>
    <t>20-44 Ennis Rd,L01,Bay08,Milsons Pt</t>
  </si>
  <si>
    <t>MPT010109</t>
  </si>
  <si>
    <t>20-44 Ennis Rd,L01,Bay09,Milsons Pt</t>
  </si>
  <si>
    <t>MPT010110</t>
  </si>
  <si>
    <t>20-44 Ennis Rd,L01,Bay10,Milsons Pt</t>
  </si>
  <si>
    <t>MPT010111</t>
  </si>
  <si>
    <t>20-44 Ennis Rd,L01,Bay11,Milsons Pt</t>
  </si>
  <si>
    <t>MPT010112</t>
  </si>
  <si>
    <t>20-44 Ennis Rd,L01,Bay12,Milsons Pt</t>
  </si>
  <si>
    <t>MPT010113</t>
  </si>
  <si>
    <t>20-44 Ennis Rd,L01,Bay13,Milsons Pt</t>
  </si>
  <si>
    <t>MPT02</t>
  </si>
  <si>
    <t>Syd Hrbr Bridge Maint Office (Nth Pylon)</t>
  </si>
  <si>
    <t>MPV</t>
  </si>
  <si>
    <t>Manly Vale</t>
  </si>
  <si>
    <t>MQF</t>
  </si>
  <si>
    <t>Macquarie Fields</t>
  </si>
  <si>
    <t>MQF01</t>
  </si>
  <si>
    <t>Macquarie Fields Traction SS</t>
  </si>
  <si>
    <t>MQP</t>
  </si>
  <si>
    <t>Macquarie Park</t>
  </si>
  <si>
    <t>MQP01</t>
  </si>
  <si>
    <t>Office 22 Giffnock Ave,Macquarie Park</t>
  </si>
  <si>
    <t>MQP02</t>
  </si>
  <si>
    <t>Macquarie Park Stn East SS</t>
  </si>
  <si>
    <t>MQP03</t>
  </si>
  <si>
    <t>Macquarie Park Stn West SS</t>
  </si>
  <si>
    <t>MQT</t>
  </si>
  <si>
    <t>Mt Thorley Colliery (Wambo)</t>
  </si>
  <si>
    <t>MQW</t>
  </si>
  <si>
    <t>Marulan Quarry</t>
  </si>
  <si>
    <t>MRA</t>
  </si>
  <si>
    <t>Manildra</t>
  </si>
  <si>
    <t>MRB</t>
  </si>
  <si>
    <t>Moorebank</t>
  </si>
  <si>
    <t>MRD</t>
  </si>
  <si>
    <t>Miranda</t>
  </si>
  <si>
    <t>MRE</t>
  </si>
  <si>
    <t>Moree</t>
  </si>
  <si>
    <t>MRG</t>
  </si>
  <si>
    <t>Merrygoen</t>
  </si>
  <si>
    <t>MRH</t>
  </si>
  <si>
    <t>Morrisons Hill</t>
  </si>
  <si>
    <t>MRJ</t>
  </si>
  <si>
    <t>Meeks Road Jct</t>
  </si>
  <si>
    <t>MRK</t>
  </si>
  <si>
    <t>Martins Creek</t>
  </si>
  <si>
    <t>MRL</t>
  </si>
  <si>
    <t>Murulla</t>
  </si>
  <si>
    <t>MRM</t>
  </si>
  <si>
    <t>Marambir</t>
  </si>
  <si>
    <t>MRN</t>
  </si>
  <si>
    <t>Marinna</t>
  </si>
  <si>
    <t>MRO</t>
  </si>
  <si>
    <t>Marion</t>
  </si>
  <si>
    <t>MRR</t>
  </si>
  <si>
    <t>Marrar</t>
  </si>
  <si>
    <t>MRS</t>
  </si>
  <si>
    <t>Mortuary Stn</t>
  </si>
  <si>
    <t>MRT</t>
  </si>
  <si>
    <t>Mortdale</t>
  </si>
  <si>
    <t>MRT01</t>
  </si>
  <si>
    <t>Mortdale Traction SH</t>
  </si>
  <si>
    <t>MRX</t>
  </si>
  <si>
    <t>Moorland</t>
  </si>
  <si>
    <t>MRY</t>
  </si>
  <si>
    <t>Meryula</t>
  </si>
  <si>
    <t>MRZ</t>
  </si>
  <si>
    <t>Merriwagga</t>
  </si>
  <si>
    <t>MSC</t>
  </si>
  <si>
    <t>Muswellbrook Yard</t>
  </si>
  <si>
    <t>MSL</t>
  </si>
  <si>
    <t>Mt Sugarloaf</t>
  </si>
  <si>
    <t>MSM</t>
  </si>
  <si>
    <t>Museum</t>
  </si>
  <si>
    <t>MST</t>
  </si>
  <si>
    <t>Morisset</t>
  </si>
  <si>
    <t>MST01</t>
  </si>
  <si>
    <t>Morisset Traction SS</t>
  </si>
  <si>
    <t>MST02</t>
  </si>
  <si>
    <t>Vales Point Traction SH</t>
  </si>
  <si>
    <t>MST03</t>
  </si>
  <si>
    <t>Shed-Cnr Gimberts&amp;Mandalong Rds,Morisset</t>
  </si>
  <si>
    <t>MSY</t>
  </si>
  <si>
    <t>Morisset Yard</t>
  </si>
  <si>
    <t>MTA</t>
  </si>
  <si>
    <t>Muriel Tank</t>
  </si>
  <si>
    <t>MTB</t>
  </si>
  <si>
    <t>Mt Thorley</t>
  </si>
  <si>
    <t>MTC</t>
  </si>
  <si>
    <t>Mt Colah</t>
  </si>
  <si>
    <t>MTE</t>
  </si>
  <si>
    <t>Monteagle</t>
  </si>
  <si>
    <t>MTF</t>
  </si>
  <si>
    <t>Mt Frome</t>
  </si>
  <si>
    <t>MTG</t>
  </si>
  <si>
    <t>Matong</t>
  </si>
  <si>
    <t>MTH</t>
  </si>
  <si>
    <t>Mt Horeb</t>
  </si>
  <si>
    <t>MTI</t>
  </si>
  <si>
    <t>Mt Fairy</t>
  </si>
  <si>
    <t>MTJ</t>
  </si>
  <si>
    <t>Mittagong Jct</t>
  </si>
  <si>
    <t>MTK</t>
  </si>
  <si>
    <t>Matakana</t>
  </si>
  <si>
    <t>MTL</t>
  </si>
  <si>
    <t>Maclean</t>
  </si>
  <si>
    <t>MTM</t>
  </si>
  <si>
    <t>Mt Murray</t>
  </si>
  <si>
    <t>MTN</t>
  </si>
  <si>
    <t>Mt Arthur</t>
  </si>
  <si>
    <t>MTO</t>
  </si>
  <si>
    <t>Mt White</t>
  </si>
  <si>
    <t>MTO01</t>
  </si>
  <si>
    <t>Mount White M1 Incident Response Unit</t>
  </si>
  <si>
    <t>MTO02</t>
  </si>
  <si>
    <t>Mount White Heavy Vehicle Safety Station</t>
  </si>
  <si>
    <t>MTP</t>
  </si>
  <si>
    <t>Mt Penang</t>
  </si>
  <si>
    <t>MTR</t>
  </si>
  <si>
    <t>Mt Russell</t>
  </si>
  <si>
    <t>MTT</t>
  </si>
  <si>
    <t>Mt Thorley Colliery (Warkworth)</t>
  </si>
  <si>
    <t>MTV</t>
  </si>
  <si>
    <t>Mt Victoria</t>
  </si>
  <si>
    <t>MTV01</t>
  </si>
  <si>
    <t>Mt Victoria Traction SS</t>
  </si>
  <si>
    <t>MTW</t>
  </si>
  <si>
    <t>Mt Owen Jct</t>
  </si>
  <si>
    <t>MTY</t>
  </si>
  <si>
    <t>Marthaguy</t>
  </si>
  <si>
    <t>MUA</t>
  </si>
  <si>
    <t>Munna</t>
  </si>
  <si>
    <t>MUB</t>
  </si>
  <si>
    <t>Mungie Bundie</t>
  </si>
  <si>
    <t>MUD</t>
  </si>
  <si>
    <t>Mudgee</t>
  </si>
  <si>
    <t>MUE</t>
  </si>
  <si>
    <t>Mungle</t>
  </si>
  <si>
    <t>MUG</t>
  </si>
  <si>
    <t>Mugincoble</t>
  </si>
  <si>
    <t>MUI</t>
  </si>
  <si>
    <t>Murrami</t>
  </si>
  <si>
    <t>MUL</t>
  </si>
  <si>
    <t>Mulgrave</t>
  </si>
  <si>
    <t>MUL01</t>
  </si>
  <si>
    <t>Mulgrave Traction SH</t>
  </si>
  <si>
    <t>MUM</t>
  </si>
  <si>
    <t>Murwillumbah</t>
  </si>
  <si>
    <t>MUN</t>
  </si>
  <si>
    <t>Mungeribar</t>
  </si>
  <si>
    <t>MUR</t>
  </si>
  <si>
    <t>Minnamurra</t>
  </si>
  <si>
    <t>MUS</t>
  </si>
  <si>
    <t>Muswellbrook</t>
  </si>
  <si>
    <t>MUT</t>
  </si>
  <si>
    <t>Muttama</t>
  </si>
  <si>
    <t>MUU</t>
  </si>
  <si>
    <t>Murrumbo</t>
  </si>
  <si>
    <t>MUY</t>
  </si>
  <si>
    <t>Murrurundi Yard</t>
  </si>
  <si>
    <t>MVC</t>
  </si>
  <si>
    <t>Macquarie River</t>
  </si>
  <si>
    <t>MVD</t>
  </si>
  <si>
    <t>Mt Victoria Down Yard</t>
  </si>
  <si>
    <t>MVE</t>
  </si>
  <si>
    <t>Maryvale</t>
  </si>
  <si>
    <t>MVH</t>
  </si>
  <si>
    <t>Malpas Dam</t>
  </si>
  <si>
    <t>MVI</t>
  </si>
  <si>
    <t>Malpas Reservoir</t>
  </si>
  <si>
    <t>MVJ</t>
  </si>
  <si>
    <t>Moss Vale Jct</t>
  </si>
  <si>
    <t>MVL</t>
  </si>
  <si>
    <t>Moss Vale</t>
  </si>
  <si>
    <t>MVN</t>
  </si>
  <si>
    <t>Morven</t>
  </si>
  <si>
    <t>MVY</t>
  </si>
  <si>
    <t>Mt Victoria Up Yard</t>
  </si>
  <si>
    <t>MWA</t>
  </si>
  <si>
    <t>Merriwa</t>
  </si>
  <si>
    <t>MWC</t>
  </si>
  <si>
    <t>Minchinbury</t>
  </si>
  <si>
    <t>MWL</t>
  </si>
  <si>
    <t>Murrawal</t>
  </si>
  <si>
    <t>MWO</t>
  </si>
  <si>
    <t>Miowera</t>
  </si>
  <si>
    <t>MWW</t>
  </si>
  <si>
    <t>Minnie Water</t>
  </si>
  <si>
    <t>MWX</t>
  </si>
  <si>
    <t>Muswellbrook Jct</t>
  </si>
  <si>
    <t>MWY</t>
  </si>
  <si>
    <t>Murwillumbah Yard</t>
  </si>
  <si>
    <t>MXB</t>
  </si>
  <si>
    <t>Mobbs Bay</t>
  </si>
  <si>
    <t>MXC</t>
  </si>
  <si>
    <t>Moonee Creek</t>
  </si>
  <si>
    <t>MXD</t>
  </si>
  <si>
    <t>Meeks Rd Yard</t>
  </si>
  <si>
    <t>MXI</t>
  </si>
  <si>
    <t>Miller</t>
  </si>
  <si>
    <t>MXJ</t>
  </si>
  <si>
    <t>Meeks Road North Jct</t>
  </si>
  <si>
    <t>MYA</t>
  </si>
  <si>
    <t>Myaroo</t>
  </si>
  <si>
    <t>MYB</t>
  </si>
  <si>
    <t>Myambat</t>
  </si>
  <si>
    <t>MYC</t>
  </si>
  <si>
    <t>Moree Yard</t>
  </si>
  <si>
    <t>MYD</t>
  </si>
  <si>
    <t>Maryland</t>
  </si>
  <si>
    <t>MYF</t>
  </si>
  <si>
    <t>Murrays Flats</t>
  </si>
  <si>
    <t>MYG</t>
  </si>
  <si>
    <t>Marayong</t>
  </si>
  <si>
    <t>MYG01</t>
  </si>
  <si>
    <t>Marayong Traction SH</t>
  </si>
  <si>
    <t>MYL</t>
  </si>
  <si>
    <t>Merrylands</t>
  </si>
  <si>
    <t>MYO</t>
  </si>
  <si>
    <t>Myocum</t>
  </si>
  <si>
    <t>MYR</t>
  </si>
  <si>
    <t>Myrtle Creek</t>
  </si>
  <si>
    <t>MYY</t>
  </si>
  <si>
    <t>Medway Yard</t>
  </si>
  <si>
    <t>MZB</t>
  </si>
  <si>
    <t>Mosman Bay</t>
  </si>
  <si>
    <t>MZZ</t>
  </si>
  <si>
    <t>Murray River</t>
  </si>
  <si>
    <t>MZZ01</t>
  </si>
  <si>
    <t>Murray River-Corowa</t>
  </si>
  <si>
    <t>MZZ02</t>
  </si>
  <si>
    <t>Murray River-Euston</t>
  </si>
  <si>
    <t>MZZ03</t>
  </si>
  <si>
    <t>Murray River-Mildura</t>
  </si>
  <si>
    <t>MZZ04</t>
  </si>
  <si>
    <t>Murray River-Robinvale</t>
  </si>
  <si>
    <t>MZZ05</t>
  </si>
  <si>
    <t>Murray River-Albury</t>
  </si>
  <si>
    <t>MZZ06</t>
  </si>
  <si>
    <t>Murray River-Moama</t>
  </si>
  <si>
    <t>MZZ07</t>
  </si>
  <si>
    <t>Murray River-Swan Hill</t>
  </si>
  <si>
    <t>NAE</t>
  </si>
  <si>
    <t>Narraweena</t>
  </si>
  <si>
    <t>NAH</t>
  </si>
  <si>
    <t>Narwonah</t>
  </si>
  <si>
    <t>NAI</t>
  </si>
  <si>
    <t>Nanami</t>
  </si>
  <si>
    <t>NAJ</t>
  </si>
  <si>
    <t>Neutral Bay Jct</t>
  </si>
  <si>
    <t>NAN</t>
  </si>
  <si>
    <t>Nana Glen</t>
  </si>
  <si>
    <t>NAP</t>
  </si>
  <si>
    <t>Narrabeen Lakes</t>
  </si>
  <si>
    <t>NAQ</t>
  </si>
  <si>
    <t>Nambucca River</t>
  </si>
  <si>
    <t>NAR</t>
  </si>
  <si>
    <t>Narellan</t>
  </si>
  <si>
    <t>NAS</t>
  </si>
  <si>
    <t>Nashua</t>
  </si>
  <si>
    <t>NAU</t>
  </si>
  <si>
    <t>Naughtons Gap</t>
  </si>
  <si>
    <t>NAX</t>
  </si>
  <si>
    <t>Narromine Jct</t>
  </si>
  <si>
    <t>NAY</t>
  </si>
  <si>
    <t>Narrabri Yard</t>
  </si>
  <si>
    <t>NBA</t>
  </si>
  <si>
    <t>Neeambah</t>
  </si>
  <si>
    <t>NBC</t>
  </si>
  <si>
    <t>Newcastle Beach</t>
  </si>
  <si>
    <t>NBE</t>
  </si>
  <si>
    <t>Northbridge</t>
  </si>
  <si>
    <t>NBG</t>
  </si>
  <si>
    <t>Nubingerie</t>
  </si>
  <si>
    <t>NBH</t>
  </si>
  <si>
    <t>Nambucca Heads</t>
  </si>
  <si>
    <t>NBI</t>
  </si>
  <si>
    <t>Narrabri</t>
  </si>
  <si>
    <t>NBJ</t>
  </si>
  <si>
    <t>Narrabri Jct</t>
  </si>
  <si>
    <t>NBL</t>
  </si>
  <si>
    <t>Nimmitabel</t>
  </si>
  <si>
    <t>NBM</t>
  </si>
  <si>
    <t>Nambucca</t>
  </si>
  <si>
    <t>NBN</t>
  </si>
  <si>
    <t>Noonbinna</t>
  </si>
  <si>
    <t>NBO</t>
  </si>
  <si>
    <t>North Borambil</t>
  </si>
  <si>
    <t>NBR</t>
  </si>
  <si>
    <t>Newbridge</t>
  </si>
  <si>
    <t>NBY</t>
  </si>
  <si>
    <t>Neutral Bay</t>
  </si>
  <si>
    <t>NBY01</t>
  </si>
  <si>
    <t>North Sydney Bus Depot</t>
  </si>
  <si>
    <t>NCE</t>
  </si>
  <si>
    <t>Nelson Bay</t>
  </si>
  <si>
    <t>NCE01</t>
  </si>
  <si>
    <t>Nelson Bay-Little Beach</t>
  </si>
  <si>
    <t>NCE02</t>
  </si>
  <si>
    <t>Nelson Bay-Corrie Is</t>
  </si>
  <si>
    <t>NCH</t>
  </si>
  <si>
    <t>North Coffs Hbr</t>
  </si>
  <si>
    <t>NCI</t>
  </si>
  <si>
    <t>Newcastle Harbour</t>
  </si>
  <si>
    <t>NCJ</t>
  </si>
  <si>
    <t>Narrabri Coal Jct</t>
  </si>
  <si>
    <t>NCN</t>
  </si>
  <si>
    <t>North Casino</t>
  </si>
  <si>
    <t>NCY</t>
  </si>
  <si>
    <t>Newcastle Yard</t>
  </si>
  <si>
    <t>NDC</t>
  </si>
  <si>
    <t>Newdell Colliery</t>
  </si>
  <si>
    <t>NDH</t>
  </si>
  <si>
    <t>Nundah</t>
  </si>
  <si>
    <t>NDJ</t>
  </si>
  <si>
    <t>Newdell Jct</t>
  </si>
  <si>
    <t>NDL</t>
  </si>
  <si>
    <t>Nashdale</t>
  </si>
  <si>
    <t>NDN</t>
  </si>
  <si>
    <t>Nanardine</t>
  </si>
  <si>
    <t>NDR</t>
  </si>
  <si>
    <t>Narrandera</t>
  </si>
  <si>
    <t>NDU</t>
  </si>
  <si>
    <t>Nardu</t>
  </si>
  <si>
    <t>NEA</t>
  </si>
  <si>
    <t>Nea</t>
  </si>
  <si>
    <t>NET</t>
  </si>
  <si>
    <t>Newington</t>
  </si>
  <si>
    <t>NEW</t>
  </si>
  <si>
    <t>NEW01</t>
  </si>
  <si>
    <t xml:space="preserve">Office 239 King St,Newcastle </t>
  </si>
  <si>
    <t>NEW02</t>
  </si>
  <si>
    <t>Office 117 Bull St,Newcastle</t>
  </si>
  <si>
    <t>NEW03</t>
  </si>
  <si>
    <t>Newcastle Regional Office</t>
  </si>
  <si>
    <t>NEW04</t>
  </si>
  <si>
    <t>Newcastle Wharf Road Office</t>
  </si>
  <si>
    <t>NEW05</t>
  </si>
  <si>
    <t>Newcastle Transport Program Office</t>
  </si>
  <si>
    <t>NGA</t>
  </si>
  <si>
    <t>Nemingha</t>
  </si>
  <si>
    <t>NGJ</t>
  </si>
  <si>
    <t>North Goulburn Jct</t>
  </si>
  <si>
    <t>NGL</t>
  </si>
  <si>
    <t>North Goulburn</t>
  </si>
  <si>
    <t>NGP</t>
  </si>
  <si>
    <t>Niagara Park</t>
  </si>
  <si>
    <t>NGP01</t>
  </si>
  <si>
    <t>Niagara Park Traction SH</t>
  </si>
  <si>
    <t>NHM</t>
  </si>
  <si>
    <t>Northmead</t>
  </si>
  <si>
    <t>NHN</t>
  </si>
  <si>
    <t>North Narrabeen</t>
  </si>
  <si>
    <t>NHP</t>
  </si>
  <si>
    <t>North Parramatta</t>
  </si>
  <si>
    <t>NHW</t>
  </si>
  <si>
    <t>North Nowra</t>
  </si>
  <si>
    <t>NIY</t>
  </si>
  <si>
    <t>Nowra Industrial Yard</t>
  </si>
  <si>
    <t>NJN</t>
  </si>
  <si>
    <t>Newnes Jct</t>
  </si>
  <si>
    <t>NJN01</t>
  </si>
  <si>
    <t>Newnes Jct Traction SS</t>
  </si>
  <si>
    <t>NJN02</t>
  </si>
  <si>
    <t>Edgecombe Traction SH</t>
  </si>
  <si>
    <t>NLA</t>
  </si>
  <si>
    <t>New Lambton</t>
  </si>
  <si>
    <t>NLB</t>
  </si>
  <si>
    <t>Nth Sydney Lavender Bay Car Sdg Yard</t>
  </si>
  <si>
    <t>NLR</t>
  </si>
  <si>
    <t>North Lismore</t>
  </si>
  <si>
    <t>NLX</t>
  </si>
  <si>
    <t>Neilrex</t>
  </si>
  <si>
    <t>NMA</t>
  </si>
  <si>
    <t>Narooma</t>
  </si>
  <si>
    <t>NMA01</t>
  </si>
  <si>
    <t>Narooma-Channel</t>
  </si>
  <si>
    <t>NMA02</t>
  </si>
  <si>
    <t xml:space="preserve">Narooma-Shell Pt </t>
  </si>
  <si>
    <t>NMD</t>
  </si>
  <si>
    <t>Narromine Yard</t>
  </si>
  <si>
    <t>NMH</t>
  </si>
  <si>
    <t>Normanhurst</t>
  </si>
  <si>
    <t>NMN</t>
  </si>
  <si>
    <t>Narromine</t>
  </si>
  <si>
    <t>NMO</t>
  </si>
  <si>
    <t>Nammoona</t>
  </si>
  <si>
    <t>NMW</t>
  </si>
  <si>
    <t>Narromine West</t>
  </si>
  <si>
    <t>NMY</t>
  </si>
  <si>
    <t>Nowra Manildra Yard</t>
  </si>
  <si>
    <t>NNB</t>
  </si>
  <si>
    <t>Neible</t>
  </si>
  <si>
    <t>NNG</t>
  </si>
  <si>
    <t>Nelungaloo</t>
  </si>
  <si>
    <t>NNJ</t>
  </si>
  <si>
    <t>Narrabri North Jct</t>
  </si>
  <si>
    <t>NNY</t>
  </si>
  <si>
    <t>Narrandera Yard</t>
  </si>
  <si>
    <t>NOL</t>
  </si>
  <si>
    <t>Norwill Street</t>
  </si>
  <si>
    <t>NON</t>
  </si>
  <si>
    <t>Nannong</t>
  </si>
  <si>
    <t>NOO</t>
  </si>
  <si>
    <t>Northwood</t>
  </si>
  <si>
    <t>NOW</t>
  </si>
  <si>
    <t>Nowra</t>
  </si>
  <si>
    <t>NPC</t>
  </si>
  <si>
    <t>Newports Creek</t>
  </si>
  <si>
    <t>NPE</t>
  </si>
  <si>
    <t>Nepean River</t>
  </si>
  <si>
    <t>NPE01</t>
  </si>
  <si>
    <t>Nepean River-Regentville Bridge</t>
  </si>
  <si>
    <t>NPK</t>
  </si>
  <si>
    <t>New Park</t>
  </si>
  <si>
    <t>NPR</t>
  </si>
  <si>
    <t>Napier</t>
  </si>
  <si>
    <t>NRA</t>
  </si>
  <si>
    <t>Narara</t>
  </si>
  <si>
    <t>NRB</t>
  </si>
  <si>
    <t>Narrabeen</t>
  </si>
  <si>
    <t>NRC</t>
  </si>
  <si>
    <t>North Rocks</t>
  </si>
  <si>
    <t>NRD</t>
  </si>
  <si>
    <t>Naradhan</t>
  </si>
  <si>
    <t>NRG</t>
  </si>
  <si>
    <t>Nargong</t>
  </si>
  <si>
    <t>NRH</t>
  </si>
  <si>
    <t>Narriah</t>
  </si>
  <si>
    <t>NRO</t>
  </si>
  <si>
    <t>Nooroo</t>
  </si>
  <si>
    <t>NRQ</t>
  </si>
  <si>
    <t>North Ryde</t>
  </si>
  <si>
    <t>NRQ01</t>
  </si>
  <si>
    <t>Delhi Road Traction SS</t>
  </si>
  <si>
    <t>NRQ02</t>
  </si>
  <si>
    <t>Delhi Road Station East SS</t>
  </si>
  <si>
    <t>NRQ03</t>
  </si>
  <si>
    <t>Delhi Road Station West SS</t>
  </si>
  <si>
    <t>NRQ04</t>
  </si>
  <si>
    <t>Lady Game Drive Service SS</t>
  </si>
  <si>
    <t>NRQ05</t>
  </si>
  <si>
    <t>Lady Game Drive Traction SS</t>
  </si>
  <si>
    <t>NRQ06</t>
  </si>
  <si>
    <t>Lady Game Drive Service Facility</t>
  </si>
  <si>
    <t>NRW</t>
  </si>
  <si>
    <t>Narwee</t>
  </si>
  <si>
    <t>NRW01</t>
  </si>
  <si>
    <t>Narwee Traction SS</t>
  </si>
  <si>
    <t>NRX</t>
  </si>
  <si>
    <t>Narrandera Jct</t>
  </si>
  <si>
    <t>NSC</t>
  </si>
  <si>
    <t>Newstan Colliery</t>
  </si>
  <si>
    <t>NSJ</t>
  </si>
  <si>
    <t>North Strathfield Jct</t>
  </si>
  <si>
    <t>NSN</t>
  </si>
  <si>
    <t>Narrabri South Jct</t>
  </si>
  <si>
    <t>NST</t>
  </si>
  <si>
    <t>North Strathfield</t>
  </si>
  <si>
    <t>NSY</t>
  </si>
  <si>
    <t>NSY01</t>
  </si>
  <si>
    <t>North Sydney SS No1</t>
  </si>
  <si>
    <t>NSY02</t>
  </si>
  <si>
    <t>North Sydney SS No2</t>
  </si>
  <si>
    <t>NSZ</t>
  </si>
  <si>
    <t>North Strathfield Yard</t>
  </si>
  <si>
    <t>NTH</t>
  </si>
  <si>
    <t>Neath</t>
  </si>
  <si>
    <t>NTM</t>
  </si>
  <si>
    <t>North Richmond</t>
  </si>
  <si>
    <t>NTN</t>
  </si>
  <si>
    <t>Newtown</t>
  </si>
  <si>
    <t>NTN01</t>
  </si>
  <si>
    <t>Newtown Traction SS</t>
  </si>
  <si>
    <t>NTR</t>
  </si>
  <si>
    <t>Nevertire</t>
  </si>
  <si>
    <t>NTS</t>
  </si>
  <si>
    <t>North Star</t>
  </si>
  <si>
    <t>NTW</t>
  </si>
  <si>
    <t>Neath Colliery</t>
  </si>
  <si>
    <t>NUB</t>
  </si>
  <si>
    <t>Nubba</t>
  </si>
  <si>
    <t>NUL</t>
  </si>
  <si>
    <t>Nulabor</t>
  </si>
  <si>
    <t>NUR</t>
  </si>
  <si>
    <t>Nurri</t>
  </si>
  <si>
    <t>NVX</t>
  </si>
  <si>
    <t>Nevertire Jct</t>
  </si>
  <si>
    <t>NWD</t>
  </si>
  <si>
    <t>Norwood</t>
  </si>
  <si>
    <t>NWG</t>
  </si>
  <si>
    <t>North Wollongong</t>
  </si>
  <si>
    <t>NWG01</t>
  </si>
  <si>
    <t>North Wollongong Traction SH</t>
  </si>
  <si>
    <t>NWI</t>
  </si>
  <si>
    <t>Newcastle Interchange</t>
  </si>
  <si>
    <t>NWJ</t>
  </si>
  <si>
    <t>Newstan Jct</t>
  </si>
  <si>
    <t>NWK</t>
  </si>
  <si>
    <t>Newee Creek</t>
  </si>
  <si>
    <t>NWR</t>
  </si>
  <si>
    <t>Neeworra</t>
  </si>
  <si>
    <t>NWS</t>
  </si>
  <si>
    <t>Narrabri West</t>
  </si>
  <si>
    <t>NWT</t>
  </si>
  <si>
    <t>Newcastle West</t>
  </si>
  <si>
    <t>NWW</t>
  </si>
  <si>
    <t>Network Wide-Multiple Locations</t>
  </si>
  <si>
    <t>NWY</t>
  </si>
  <si>
    <t>Narrabri West Yard</t>
  </si>
  <si>
    <t>NWZ</t>
  </si>
  <si>
    <t>Norwest</t>
  </si>
  <si>
    <t>NYA</t>
  </si>
  <si>
    <t>North Yathong</t>
  </si>
  <si>
    <t>NYD</t>
  </si>
  <si>
    <t>Nyngan Yard</t>
  </si>
  <si>
    <t>NYN</t>
  </si>
  <si>
    <t>Nyngan</t>
  </si>
  <si>
    <t>NYR</t>
  </si>
  <si>
    <t>Nyrang Creek</t>
  </si>
  <si>
    <t>NYS</t>
  </si>
  <si>
    <t>North Yass</t>
  </si>
  <si>
    <t>NYX</t>
  </si>
  <si>
    <t>Nyngan Jct</t>
  </si>
  <si>
    <t>NYY</t>
  </si>
  <si>
    <t>Nyrang Creek Yard</t>
  </si>
  <si>
    <t>OAJ</t>
  </si>
  <si>
    <t>Orange Jct</t>
  </si>
  <si>
    <t>OAK</t>
  </si>
  <si>
    <t>Oak Flats</t>
  </si>
  <si>
    <t>OAT</t>
  </si>
  <si>
    <t>Oatley</t>
  </si>
  <si>
    <t>OBD</t>
  </si>
  <si>
    <t>Oberon Dam</t>
  </si>
  <si>
    <t>OBR</t>
  </si>
  <si>
    <t>Oberon</t>
  </si>
  <si>
    <t>OCN</t>
  </si>
  <si>
    <t>Old Casino</t>
  </si>
  <si>
    <t>OCR</t>
  </si>
  <si>
    <t>Old Cremorne</t>
  </si>
  <si>
    <t>OEF</t>
  </si>
  <si>
    <t>Orange East Fork</t>
  </si>
  <si>
    <t>OEJ</t>
  </si>
  <si>
    <t>Orange East Fork Jct</t>
  </si>
  <si>
    <t>OHE</t>
  </si>
  <si>
    <t>Orchard Hills</t>
  </si>
  <si>
    <t>OHE01</t>
  </si>
  <si>
    <t>Claremont Meadows Services Facility</t>
  </si>
  <si>
    <t>OHY</t>
  </si>
  <si>
    <t>Orchard Hills Stabling Yard</t>
  </si>
  <si>
    <t>OHY01</t>
  </si>
  <si>
    <t>Orchard Hills Stabling Yard Trains Facility</t>
  </si>
  <si>
    <t>OKH</t>
  </si>
  <si>
    <t>Oakhampton</t>
  </si>
  <si>
    <t>OKK</t>
  </si>
  <si>
    <t>Oaky Park</t>
  </si>
  <si>
    <t>OKK01</t>
  </si>
  <si>
    <t>Oakey Park Traction SS</t>
  </si>
  <si>
    <t>OKS</t>
  </si>
  <si>
    <t>Oaklands</t>
  </si>
  <si>
    <t>OLB</t>
  </si>
  <si>
    <t>Old Burren</t>
  </si>
  <si>
    <t>OLD</t>
  </si>
  <si>
    <t>Old Junee</t>
  </si>
  <si>
    <t>OLM</t>
  </si>
  <si>
    <t>Olympic Boulevard</t>
  </si>
  <si>
    <t>OLP</t>
  </si>
  <si>
    <t>Olympic Park</t>
  </si>
  <si>
    <t>OMG</t>
  </si>
  <si>
    <t>Omega</t>
  </si>
  <si>
    <t>OOL</t>
  </si>
  <si>
    <t>Oolong</t>
  </si>
  <si>
    <t>OPX</t>
  </si>
  <si>
    <t>Olympic Park Jct</t>
  </si>
  <si>
    <t>ORA</t>
  </si>
  <si>
    <t>Orange</t>
  </si>
  <si>
    <t>ORC</t>
  </si>
  <si>
    <t>Oricar</t>
  </si>
  <si>
    <t>ORE</t>
  </si>
  <si>
    <t>Orelda</t>
  </si>
  <si>
    <t>ORP</t>
  </si>
  <si>
    <t>Orton Park</t>
  </si>
  <si>
    <t>ORS</t>
  </si>
  <si>
    <t>Oreston</t>
  </si>
  <si>
    <t>ORY</t>
  </si>
  <si>
    <t>Orange Yard</t>
  </si>
  <si>
    <t>ORZ</t>
  </si>
  <si>
    <t>Orange East</t>
  </si>
  <si>
    <t>OSJ</t>
  </si>
  <si>
    <t>Orange Sth Fork Jct</t>
  </si>
  <si>
    <t>OTF</t>
  </si>
  <si>
    <t>Otford</t>
  </si>
  <si>
    <t>OTF01</t>
  </si>
  <si>
    <t>Otford Traction SH</t>
  </si>
  <si>
    <t>OTH</t>
  </si>
  <si>
    <t>Ootha</t>
  </si>
  <si>
    <t>OUR</t>
  </si>
  <si>
    <t>Ourimbah</t>
  </si>
  <si>
    <t>OUR01</t>
  </si>
  <si>
    <t>Ourimbah Traction SS</t>
  </si>
  <si>
    <t>OVW</t>
  </si>
  <si>
    <t>Ocean View</t>
  </si>
  <si>
    <t>OWJ</t>
  </si>
  <si>
    <t>Orange West Fork Jct</t>
  </si>
  <si>
    <t>PAA</t>
  </si>
  <si>
    <t>Parramatta River</t>
  </si>
  <si>
    <t>PAA01</t>
  </si>
  <si>
    <t>Parramatta River-Charles St</t>
  </si>
  <si>
    <t>PAA02</t>
  </si>
  <si>
    <t>Parramatta River-Ermington</t>
  </si>
  <si>
    <t>PAA03</t>
  </si>
  <si>
    <t>Parramatta River-From Silverwater</t>
  </si>
  <si>
    <t>PAA04</t>
  </si>
  <si>
    <t>Parramatta River-Gladesville Bridge</t>
  </si>
  <si>
    <t>PAA05</t>
  </si>
  <si>
    <t>Parramatta River-Homebush</t>
  </si>
  <si>
    <t>PAA06</t>
  </si>
  <si>
    <t>Parramatta River-John Street</t>
  </si>
  <si>
    <t>PAA07</t>
  </si>
  <si>
    <t>Parramatta River-West Of Manns Pt</t>
  </si>
  <si>
    <t>PAD</t>
  </si>
  <si>
    <t>Padstow</t>
  </si>
  <si>
    <t>PAM</t>
  </si>
  <si>
    <t>Pamandi</t>
  </si>
  <si>
    <t>PAN</t>
  </si>
  <si>
    <t>Panania</t>
  </si>
  <si>
    <t>PAQ</t>
  </si>
  <si>
    <t>Prince Alfred Square</t>
  </si>
  <si>
    <t>PAX</t>
  </si>
  <si>
    <t>Parkes Jct</t>
  </si>
  <si>
    <t>PAY</t>
  </si>
  <si>
    <t>Paynters</t>
  </si>
  <si>
    <t>PBJ</t>
  </si>
  <si>
    <t>Port Botany</t>
  </si>
  <si>
    <t>PBJ01</t>
  </si>
  <si>
    <t>Port Botany Cargo Centre</t>
  </si>
  <si>
    <t>PBY</t>
  </si>
  <si>
    <t>Pyrmont Bay</t>
  </si>
  <si>
    <t>PCE</t>
  </si>
  <si>
    <t>Point Clare</t>
  </si>
  <si>
    <t>PCE01</t>
  </si>
  <si>
    <t>Point Clare Traction SH</t>
  </si>
  <si>
    <t>PCL</t>
  </si>
  <si>
    <t>Pinecliffe</t>
  </si>
  <si>
    <t>PDH</t>
  </si>
  <si>
    <t>Pendle Hill</t>
  </si>
  <si>
    <t>PDL</t>
  </si>
  <si>
    <t>Padulla</t>
  </si>
  <si>
    <t>PDM</t>
  </si>
  <si>
    <t>Paddy's Markets</t>
  </si>
  <si>
    <t>PEK</t>
  </si>
  <si>
    <t>Peakhurst</t>
  </si>
  <si>
    <t>PEM</t>
  </si>
  <si>
    <t>Pembrooke</t>
  </si>
  <si>
    <t>PEN</t>
  </si>
  <si>
    <t>Penrith</t>
  </si>
  <si>
    <t>PEN01</t>
  </si>
  <si>
    <t>Penrith Traction SS</t>
  </si>
  <si>
    <t>PEN02</t>
  </si>
  <si>
    <t>Penrith Traction SH</t>
  </si>
  <si>
    <t>PER</t>
  </si>
  <si>
    <t>Perthville</t>
  </si>
  <si>
    <t>PET</t>
  </si>
  <si>
    <t>Petersham</t>
  </si>
  <si>
    <t>PET01</t>
  </si>
  <si>
    <t>Petersham Training College</t>
  </si>
  <si>
    <t>PEY</t>
  </si>
  <si>
    <t>Petersham Yard</t>
  </si>
  <si>
    <t>PGR</t>
  </si>
  <si>
    <t>Pages River</t>
  </si>
  <si>
    <t>PHE</t>
  </si>
  <si>
    <t>Port Hacking</t>
  </si>
  <si>
    <t>PHE01</t>
  </si>
  <si>
    <t>Port Hacking-Jibbon Beach</t>
  </si>
  <si>
    <t>PHE02</t>
  </si>
  <si>
    <t>Port Hacking-Burraneer Pt</t>
  </si>
  <si>
    <t>PHE03</t>
  </si>
  <si>
    <t>Port Hacking-Sth West Arm</t>
  </si>
  <si>
    <t>PHE04</t>
  </si>
  <si>
    <t>Port Hacking-Fishermans Bay</t>
  </si>
  <si>
    <t>PIA</t>
  </si>
  <si>
    <t>Piambra</t>
  </si>
  <si>
    <t>PIB</t>
  </si>
  <si>
    <t>Port of Eden</t>
  </si>
  <si>
    <t>PIC</t>
  </si>
  <si>
    <t>Picton</t>
  </si>
  <si>
    <t>PIP</t>
  </si>
  <si>
    <t>Pipers Flat</t>
  </si>
  <si>
    <t>PIS</t>
  </si>
  <si>
    <t>Port Stephens</t>
  </si>
  <si>
    <t>PIS01</t>
  </si>
  <si>
    <t>Port Stephens-Baromee Pt</t>
  </si>
  <si>
    <t>PIS02</t>
  </si>
  <si>
    <t>Port Stephens-Broughton Is</t>
  </si>
  <si>
    <t>PIS03</t>
  </si>
  <si>
    <t>Port Stephens-Bull Is</t>
  </si>
  <si>
    <t>PIS04</t>
  </si>
  <si>
    <t>Port Stephens-Carrington Pt</t>
  </si>
  <si>
    <t>PIS05</t>
  </si>
  <si>
    <t>Port Stephens-Fame Cove</t>
  </si>
  <si>
    <t>PIS06</t>
  </si>
  <si>
    <t>Port Stephens-Fenningtons Is</t>
  </si>
  <si>
    <t>PIS07</t>
  </si>
  <si>
    <t>Port Stephens-Kangaroo Is</t>
  </si>
  <si>
    <t>PIS08</t>
  </si>
  <si>
    <t>Port Stephens-Lemon Tree Passage</t>
  </si>
  <si>
    <t>PIS09</t>
  </si>
  <si>
    <t>Port Stephens-Little Broughton Is</t>
  </si>
  <si>
    <t>PIS10</t>
  </si>
  <si>
    <t>Port Stephens-Middle Ground</t>
  </si>
  <si>
    <t>PIS11</t>
  </si>
  <si>
    <t>Port Stephens-North Arm Cove</t>
  </si>
  <si>
    <t>PIS12</t>
  </si>
  <si>
    <t>Port Stephens-One Tree Is</t>
  </si>
  <si>
    <t>PIS13</t>
  </si>
  <si>
    <t>Port Stephens-Oyster Cove</t>
  </si>
  <si>
    <t>PIS14</t>
  </si>
  <si>
    <t>Port Stephens-Pindimar Pt</t>
  </si>
  <si>
    <t>PIS15</t>
  </si>
  <si>
    <t>Port Stephens-Snapper Is</t>
  </si>
  <si>
    <t>PIS16</t>
  </si>
  <si>
    <t>Port Stephens-Winda Woppa</t>
  </si>
  <si>
    <t>PIS17</t>
  </si>
  <si>
    <t>Port Stephens-Wirrung Is</t>
  </si>
  <si>
    <t>PIT</t>
  </si>
  <si>
    <t>Pitt Street</t>
  </si>
  <si>
    <t>PIT01</t>
  </si>
  <si>
    <t>Pitt Street Traction SS</t>
  </si>
  <si>
    <t>PIW</t>
  </si>
  <si>
    <t>Pittwater</t>
  </si>
  <si>
    <t>PIW01</t>
  </si>
  <si>
    <t>Pittwater-Bayview</t>
  </si>
  <si>
    <t>PIW02</t>
  </si>
  <si>
    <t>Pittwater-Newport</t>
  </si>
  <si>
    <t>PIW03</t>
  </si>
  <si>
    <t>Pittwater-Church Pt</t>
  </si>
  <si>
    <t>PIW04</t>
  </si>
  <si>
    <t>Pittwater-East</t>
  </si>
  <si>
    <t>PIW05</t>
  </si>
  <si>
    <t>Pittwater-Long Nose Pt</t>
  </si>
  <si>
    <t>PIW06</t>
  </si>
  <si>
    <t>Pittwater-Towlers Bay</t>
  </si>
  <si>
    <t>PIW07</t>
  </si>
  <si>
    <t>Pittwater-West</t>
  </si>
  <si>
    <t>PIW08</t>
  </si>
  <si>
    <t>Pittwater-Refuge Bay</t>
  </si>
  <si>
    <t>PIX</t>
  </si>
  <si>
    <t>Picton Jct</t>
  </si>
  <si>
    <t>PIY</t>
  </si>
  <si>
    <t>Picton Yard</t>
  </si>
  <si>
    <t>PJL</t>
  </si>
  <si>
    <t>Pejar Lake</t>
  </si>
  <si>
    <t>PJN</t>
  </si>
  <si>
    <t>Port Jackson</t>
  </si>
  <si>
    <t>PJN01</t>
  </si>
  <si>
    <t>Port Jackson-Bantry Bay</t>
  </si>
  <si>
    <t>PJN02</t>
  </si>
  <si>
    <t>Port Jackson-Bottle &amp; Glass Pt</t>
  </si>
  <si>
    <t>PJN03</t>
  </si>
  <si>
    <t>Port Jackson-Bradleys Head</t>
  </si>
  <si>
    <t>PJN04</t>
  </si>
  <si>
    <t>Port Jackson-Chinamans Beach</t>
  </si>
  <si>
    <t>PJN05</t>
  </si>
  <si>
    <t>Port Jackson-Darling Hbr</t>
  </si>
  <si>
    <t>PJN06</t>
  </si>
  <si>
    <t>Port Jackson-Darling Pt</t>
  </si>
  <si>
    <t>PJN07</t>
  </si>
  <si>
    <t>Port Jackson-Dobroyd Head</t>
  </si>
  <si>
    <t>PJN08</t>
  </si>
  <si>
    <t>Port Jackson-East of Kirribilli Pt</t>
  </si>
  <si>
    <t>PJN09</t>
  </si>
  <si>
    <t>Port Jackson-Fern Bay</t>
  </si>
  <si>
    <t>PJN10</t>
  </si>
  <si>
    <t>Port Jackson-Fisher Bay</t>
  </si>
  <si>
    <t>PJN11</t>
  </si>
  <si>
    <t>Port Jackson-Goat Island</t>
  </si>
  <si>
    <t>PJN12</t>
  </si>
  <si>
    <t>Port Jackson-Harbour Bridge Area</t>
  </si>
  <si>
    <t>PJN13</t>
  </si>
  <si>
    <t>Port Jackson-Hen &amp; Chicken Bay</t>
  </si>
  <si>
    <t>PJN14</t>
  </si>
  <si>
    <t>Port Jackson-Henley</t>
  </si>
  <si>
    <t>PJN15</t>
  </si>
  <si>
    <t>Port Jackson-Mortlake</t>
  </si>
  <si>
    <t>PJN16</t>
  </si>
  <si>
    <t>Port Jackson-North Hbr</t>
  </si>
  <si>
    <t>PJN17</t>
  </si>
  <si>
    <t>Port Jackson-Rushcutters Bay</t>
  </si>
  <si>
    <t>PJN18</t>
  </si>
  <si>
    <t>Port Jackson-Salt Pan Creek Long By</t>
  </si>
  <si>
    <t>PJN19</t>
  </si>
  <si>
    <t>Port Jackson-Shark Island</t>
  </si>
  <si>
    <t>PJN20</t>
  </si>
  <si>
    <t>Port Jackson-Shark Island West</t>
  </si>
  <si>
    <t>PJN21</t>
  </si>
  <si>
    <t>Port Jackson-South Head</t>
  </si>
  <si>
    <t>PJN22</t>
  </si>
  <si>
    <t>Port Jackson-Spring Cove</t>
  </si>
  <si>
    <t>PJN23</t>
  </si>
  <si>
    <t>Port Jackson-Sydney Hbr</t>
  </si>
  <si>
    <t>PJN24</t>
  </si>
  <si>
    <t>Port Jackson-West of Darling Hbr</t>
  </si>
  <si>
    <t>PJN25</t>
  </si>
  <si>
    <t>Port Jackson-Manly Cove</t>
  </si>
  <si>
    <t>PKB</t>
  </si>
  <si>
    <t>Port Kembla</t>
  </si>
  <si>
    <t>PKB01</t>
  </si>
  <si>
    <t>Port Kembla Maritime Regional Office</t>
  </si>
  <si>
    <t>PKB02</t>
  </si>
  <si>
    <t>Port Kembla-Inner Harbour</t>
  </si>
  <si>
    <t>PKB03</t>
  </si>
  <si>
    <t>Port Kembla-Outer Harbour</t>
  </si>
  <si>
    <t>PKH</t>
  </si>
  <si>
    <t>Peak Hill</t>
  </si>
  <si>
    <t>PKN</t>
  </si>
  <si>
    <t>Port Kembla North</t>
  </si>
  <si>
    <t>PKN01</t>
  </si>
  <si>
    <t>Port Kembla Nth Traction SS</t>
  </si>
  <si>
    <t>PKS</t>
  </si>
  <si>
    <t>PKS01</t>
  </si>
  <si>
    <t>Office 7-9 Matthews St,Parkes</t>
  </si>
  <si>
    <t>PKS02</t>
  </si>
  <si>
    <t>Parkes (Western) Regional Office</t>
  </si>
  <si>
    <t>PKY</t>
  </si>
  <si>
    <t>Parkes Yard</t>
  </si>
  <si>
    <t>PKZ</t>
  </si>
  <si>
    <t>Port Kembla Yard</t>
  </si>
  <si>
    <t>PLH</t>
  </si>
  <si>
    <t>Pleasant Hills</t>
  </si>
  <si>
    <t>PLI</t>
  </si>
  <si>
    <t>Pilliaga</t>
  </si>
  <si>
    <t>PLP</t>
  </si>
  <si>
    <t>Pleasure Point</t>
  </si>
  <si>
    <t>PLP01</t>
  </si>
  <si>
    <t>Pleasure Point Traction SS</t>
  </si>
  <si>
    <t>PLT</t>
  </si>
  <si>
    <t>Pelton Colliery</t>
  </si>
  <si>
    <t>PLU</t>
  </si>
  <si>
    <t>Plumpton</t>
  </si>
  <si>
    <t>Pambula</t>
  </si>
  <si>
    <t>PML</t>
  </si>
  <si>
    <t>Pambula Lake</t>
  </si>
  <si>
    <t>PMR</t>
  </si>
  <si>
    <t>Pyrmont Yard</t>
  </si>
  <si>
    <t>PMR01</t>
  </si>
  <si>
    <t>Pyrmont Maint Depot (Pyrmont Yd)</t>
  </si>
  <si>
    <t>PMS</t>
  </si>
  <si>
    <t>Parramatta Square</t>
  </si>
  <si>
    <t>PMS01</t>
  </si>
  <si>
    <t>Barrack Lane Traction SS</t>
  </si>
  <si>
    <t>PMX</t>
  </si>
  <si>
    <t>Parammatta Jct</t>
  </si>
  <si>
    <t>PNF</t>
  </si>
  <si>
    <t>Penrith Down Yard</t>
  </si>
  <si>
    <t>PNG</t>
  </si>
  <si>
    <t>Pangela</t>
  </si>
  <si>
    <t>PNS</t>
  </si>
  <si>
    <t>Penshurst</t>
  </si>
  <si>
    <t>PNT</t>
  </si>
  <si>
    <t>Pennant Hills</t>
  </si>
  <si>
    <t>PNU</t>
  </si>
  <si>
    <t>Penrith Up Yard</t>
  </si>
  <si>
    <t>POK</t>
  </si>
  <si>
    <t>Pokataroo</t>
  </si>
  <si>
    <t>POL</t>
  </si>
  <si>
    <t>Polona</t>
  </si>
  <si>
    <t>POO</t>
  </si>
  <si>
    <t>Pooraka</t>
  </si>
  <si>
    <t>POT</t>
  </si>
  <si>
    <t>Pothana</t>
  </si>
  <si>
    <t>POY</t>
  </si>
  <si>
    <t>Port of Yamba</t>
  </si>
  <si>
    <t>PQQ</t>
  </si>
  <si>
    <t>Port Macquarie</t>
  </si>
  <si>
    <t>PQQ01</t>
  </si>
  <si>
    <t>Office 21-23 Central Rd,Port Macquarie</t>
  </si>
  <si>
    <t>PRE</t>
  </si>
  <si>
    <t>Premer</t>
  </si>
  <si>
    <t>PRO</t>
  </si>
  <si>
    <t>Prospect</t>
  </si>
  <si>
    <t>PRS</t>
  </si>
  <si>
    <t>Penrose</t>
  </si>
  <si>
    <t>PRT</t>
  </si>
  <si>
    <t>Portland</t>
  </si>
  <si>
    <t>PRU</t>
  </si>
  <si>
    <t>Prunevale</t>
  </si>
  <si>
    <t>PRV</t>
  </si>
  <si>
    <t>Prairiewood</t>
  </si>
  <si>
    <t>PSR</t>
  </si>
  <si>
    <t>Paterson River</t>
  </si>
  <si>
    <t>PSR01</t>
  </si>
  <si>
    <t>Paterson River-Morpeth</t>
  </si>
  <si>
    <t>PTA</t>
  </si>
  <si>
    <t>PTA01</t>
  </si>
  <si>
    <t>Office 16-18 Wentworth St,Parramatta</t>
  </si>
  <si>
    <t>PTA0101</t>
  </si>
  <si>
    <t>Office 16-18 Wentworth St,L1,Parramatta</t>
  </si>
  <si>
    <t>PTA0106</t>
  </si>
  <si>
    <t>Office 16-18 Wentworth St,L6,Parramatta</t>
  </si>
  <si>
    <t>PTA02</t>
  </si>
  <si>
    <t>Office 99 Phillip St,Parramatta</t>
  </si>
  <si>
    <t>PTA0200</t>
  </si>
  <si>
    <t>Office 99 Phillip St,Grnd Flr,Parramatta</t>
  </si>
  <si>
    <t>PTA0202</t>
  </si>
  <si>
    <t>Office 99 Phillip St,L2,Parramatta</t>
  </si>
  <si>
    <t>PTA0202A</t>
  </si>
  <si>
    <t>Office 99 Phillip St,L2,PodA,Parramatta</t>
  </si>
  <si>
    <t>PTA0202C</t>
  </si>
  <si>
    <t>Office 99 Phillip St,L2,PodC,Parramatta</t>
  </si>
  <si>
    <t>PTA0202D</t>
  </si>
  <si>
    <t>Office 99 Phillip St,L2,PodD,Parramatta</t>
  </si>
  <si>
    <t>PTA0203</t>
  </si>
  <si>
    <t>Office 99 Phillip St,L3,Parramatta</t>
  </si>
  <si>
    <t>PTA0203B</t>
  </si>
  <si>
    <t>Office 99 Phillip St,L3,PodB,Parramatta</t>
  </si>
  <si>
    <t>PTA0203C</t>
  </si>
  <si>
    <t>Office 99 Phillip St,L3,PodC,Parramatta</t>
  </si>
  <si>
    <t>PTA0204</t>
  </si>
  <si>
    <t>Office 99 Phillip St,L4,Parramatta</t>
  </si>
  <si>
    <t>PTA0204A</t>
  </si>
  <si>
    <t>Office 99 Phillip St,L4,PodA,Parramatta</t>
  </si>
  <si>
    <t>PTA0204B</t>
  </si>
  <si>
    <t>Office 99 Phillip St,L4,PodB,Parramatta</t>
  </si>
  <si>
    <t>PTA0205</t>
  </si>
  <si>
    <t>Office 99 Phillip St,L5,Parramatta</t>
  </si>
  <si>
    <t>PTA0205A</t>
  </si>
  <si>
    <t>Office 99 Phillip St,L5,PodA,Parramatta</t>
  </si>
  <si>
    <t>PTA0205B</t>
  </si>
  <si>
    <t>Office 99 Phillip St,L5,PodB,Parramatta</t>
  </si>
  <si>
    <t>PTA0205C</t>
  </si>
  <si>
    <t>Office 99 Phillip St,L5,PodC,Parramatta</t>
  </si>
  <si>
    <t>PTA0205D</t>
  </si>
  <si>
    <t>Office 99 Phillip St,L5,PodD,Parramatta</t>
  </si>
  <si>
    <t>PTA0206</t>
  </si>
  <si>
    <t>Office 99 Phillip St,L6,Parramatta</t>
  </si>
  <si>
    <t>PTA03</t>
  </si>
  <si>
    <t>Parramatta Station SS</t>
  </si>
  <si>
    <t>PTA04</t>
  </si>
  <si>
    <t>Office 110 George St,Parramatta</t>
  </si>
  <si>
    <t>PTA0403</t>
  </si>
  <si>
    <t>Office 110 George St,L3,Parramatta</t>
  </si>
  <si>
    <t>PTA0403F</t>
  </si>
  <si>
    <t>Office 110 George St,L3,PodF,Parramatta</t>
  </si>
  <si>
    <t>PTA0404A</t>
  </si>
  <si>
    <t>Office 110 George St,L4,PodA,Parramatta</t>
  </si>
  <si>
    <t>PTA0405</t>
  </si>
  <si>
    <t>Office 110 George St,L5,Parramatta</t>
  </si>
  <si>
    <t>PTA0405E</t>
  </si>
  <si>
    <t>Office 110 George St,L5,PodE,Parramatta</t>
  </si>
  <si>
    <t>PTA0405F</t>
  </si>
  <si>
    <t>Office 110 George St,L5,PodF,Parramatta</t>
  </si>
  <si>
    <t>PTA0405G</t>
  </si>
  <si>
    <t>Office 110 George St,L5,PodG,Parramatta</t>
  </si>
  <si>
    <t>PTA0405H</t>
  </si>
  <si>
    <t>Office 110 George St,L5,PodH,Parramatta</t>
  </si>
  <si>
    <t>PTA05</t>
  </si>
  <si>
    <t>Office 27-31 Argyle St,Parramatta</t>
  </si>
  <si>
    <t>PTA06</t>
  </si>
  <si>
    <t>Office 130 George St,Parramatta</t>
  </si>
  <si>
    <t>PTK</t>
  </si>
  <si>
    <t>Port Kembla North Nth Yard</t>
  </si>
  <si>
    <t>PTN</t>
  </si>
  <si>
    <t>Paddington</t>
  </si>
  <si>
    <t>PTR</t>
  </si>
  <si>
    <t>PTT</t>
  </si>
  <si>
    <t>Pettitts</t>
  </si>
  <si>
    <t>PTY</t>
  </si>
  <si>
    <t>Port Kembla North Sth Yard</t>
  </si>
  <si>
    <t>PUC</t>
  </si>
  <si>
    <t>Pucawan</t>
  </si>
  <si>
    <t>PUG</t>
  </si>
  <si>
    <t>Puggoon</t>
  </si>
  <si>
    <t>PUL</t>
  </si>
  <si>
    <t>Pullabooka</t>
  </si>
  <si>
    <t>PUN</t>
  </si>
  <si>
    <t>Punchbowl</t>
  </si>
  <si>
    <t>PUN01</t>
  </si>
  <si>
    <t>Punchbowl Traction SH</t>
  </si>
  <si>
    <t>PUN02</t>
  </si>
  <si>
    <t>Punchbowl Traction SS</t>
  </si>
  <si>
    <t>PUT</t>
  </si>
  <si>
    <t>Pulletop</t>
  </si>
  <si>
    <t>PVL</t>
  </si>
  <si>
    <t>Parkville</t>
  </si>
  <si>
    <t>PWD</t>
  </si>
  <si>
    <t>Pagewood</t>
  </si>
  <si>
    <t>PWF</t>
  </si>
  <si>
    <t>Point Wolstoncraft</t>
  </si>
  <si>
    <t>PWY</t>
  </si>
  <si>
    <t>Port Waratah Yard</t>
  </si>
  <si>
    <t>PYM</t>
  </si>
  <si>
    <t>Pymble</t>
  </si>
  <si>
    <t>PYR</t>
  </si>
  <si>
    <t>Pyrmont</t>
  </si>
  <si>
    <t>PYR01</t>
  </si>
  <si>
    <t>Pyrmont Project Management Office</t>
  </si>
  <si>
    <t>QAW</t>
  </si>
  <si>
    <t>Queens Wharf</t>
  </si>
  <si>
    <t>QBY</t>
  </si>
  <si>
    <t>Queanbeyan Yard</t>
  </si>
  <si>
    <t>QCF</t>
  </si>
  <si>
    <t>Queenscliff</t>
  </si>
  <si>
    <t>QDI</t>
  </si>
  <si>
    <t>Quirindi</t>
  </si>
  <si>
    <t>QDL</t>
  </si>
  <si>
    <t>Quandialla</t>
  </si>
  <si>
    <t>QDY</t>
  </si>
  <si>
    <t>Quandary</t>
  </si>
  <si>
    <t>QKH</t>
  </si>
  <si>
    <t>Quakers Hill</t>
  </si>
  <si>
    <t>QMR</t>
  </si>
  <si>
    <t>Qld Border (McIntyre River)</t>
  </si>
  <si>
    <t>QNB</t>
  </si>
  <si>
    <t>Queanbeyan</t>
  </si>
  <si>
    <t>QUB</t>
  </si>
  <si>
    <t>Quarantine Bay</t>
  </si>
  <si>
    <t>QUI</t>
  </si>
  <si>
    <t>Quipolly</t>
  </si>
  <si>
    <t>QUN</t>
  </si>
  <si>
    <t>Quanda</t>
  </si>
  <si>
    <t>Quondong</t>
  </si>
  <si>
    <t>QUW</t>
  </si>
  <si>
    <t>QUX</t>
  </si>
  <si>
    <t>Queanbeyan Jct</t>
  </si>
  <si>
    <t>QUY</t>
  </si>
  <si>
    <t>Quirindi Yard</t>
  </si>
  <si>
    <t>QVB</t>
  </si>
  <si>
    <t>RAG</t>
  </si>
  <si>
    <t>Raglan</t>
  </si>
  <si>
    <t>RAJ</t>
  </si>
  <si>
    <t>Ravensworth Jct</t>
  </si>
  <si>
    <t>RAL</t>
  </si>
  <si>
    <t>Ralvona</t>
  </si>
  <si>
    <t>RAN</t>
  </si>
  <si>
    <t>Rankins Springs</t>
  </si>
  <si>
    <t>RAV</t>
  </si>
  <si>
    <t>Ravensworth</t>
  </si>
  <si>
    <t>RBC</t>
  </si>
  <si>
    <t>Run Boundary Creek</t>
  </si>
  <si>
    <t>RBY</t>
  </si>
  <si>
    <t>Rose Bay</t>
  </si>
  <si>
    <t>RCT</t>
  </si>
  <si>
    <t>Ravensworth Colliery</t>
  </si>
  <si>
    <t>RDL</t>
  </si>
  <si>
    <t>Rydal</t>
  </si>
  <si>
    <t>RDS</t>
  </si>
  <si>
    <t>Rhodes</t>
  </si>
  <si>
    <t>RDS01</t>
  </si>
  <si>
    <t>Rhodes Traction SH</t>
  </si>
  <si>
    <t>RED</t>
  </si>
  <si>
    <t>Redfern</t>
  </si>
  <si>
    <t>RED01</t>
  </si>
  <si>
    <t>Redfern SS No1</t>
  </si>
  <si>
    <t>RED02</t>
  </si>
  <si>
    <t>Sydney Signal Box SS No1</t>
  </si>
  <si>
    <t>RED03</t>
  </si>
  <si>
    <t>Sydney Signal Box SS No2</t>
  </si>
  <si>
    <t>RED05</t>
  </si>
  <si>
    <t>Sydney Signal Box</t>
  </si>
  <si>
    <t>REH</t>
  </si>
  <si>
    <t>Red Hill</t>
  </si>
  <si>
    <t>Repton</t>
  </si>
  <si>
    <t>REX</t>
  </si>
  <si>
    <t>Redfern Jct</t>
  </si>
  <si>
    <t>RFT</t>
  </si>
  <si>
    <t>Reefton</t>
  </si>
  <si>
    <t>RGS</t>
  </si>
  <si>
    <t>Regent Street</t>
  </si>
  <si>
    <t>RHD</t>
  </si>
  <si>
    <t>Redhead</t>
  </si>
  <si>
    <t>RHW</t>
  </si>
  <si>
    <t>Rhodes Wharf</t>
  </si>
  <si>
    <t>RHX</t>
  </si>
  <si>
    <t>Rosehill Jct</t>
  </si>
  <si>
    <t>RHY</t>
  </si>
  <si>
    <t>Rooty Hill Yard (Holcim)</t>
  </si>
  <si>
    <t>RIC</t>
  </si>
  <si>
    <t>RIH</t>
  </si>
  <si>
    <t>Richmond River</t>
  </si>
  <si>
    <t>RIH01</t>
  </si>
  <si>
    <t>Richmond River-Ballina Estuary</t>
  </si>
  <si>
    <t>Riverside</t>
  </si>
  <si>
    <t>RIV</t>
  </si>
  <si>
    <t>Riverstone</t>
  </si>
  <si>
    <t>RIV01</t>
  </si>
  <si>
    <t>Riverstone Traction SH</t>
  </si>
  <si>
    <t>RIY</t>
  </si>
  <si>
    <t>Richmond Yard</t>
  </si>
  <si>
    <t>RKA</t>
  </si>
  <si>
    <t>Ronkana</t>
  </si>
  <si>
    <t>RKF</t>
  </si>
  <si>
    <t>Rock Flat</t>
  </si>
  <si>
    <t>RKL</t>
  </si>
  <si>
    <t>Rocklea</t>
  </si>
  <si>
    <t>RKP</t>
  </si>
  <si>
    <t>Rocky Ponds</t>
  </si>
  <si>
    <t>RKW</t>
  </si>
  <si>
    <t>Rookwood</t>
  </si>
  <si>
    <t>RLH</t>
  </si>
  <si>
    <t>Raleigh</t>
  </si>
  <si>
    <t>RLN</t>
  </si>
  <si>
    <t>Roslyn</t>
  </si>
  <si>
    <t>RMB</t>
  </si>
  <si>
    <t>Rumbee</t>
  </si>
  <si>
    <t>RMR</t>
  </si>
  <si>
    <t>Rydalmere</t>
  </si>
  <si>
    <t>RND</t>
  </si>
  <si>
    <t>Rand</t>
  </si>
  <si>
    <t>RNY</t>
  </si>
  <si>
    <t>Rankins Springs Yard</t>
  </si>
  <si>
    <t>Rozelle Bay</t>
  </si>
  <si>
    <t>ROK</t>
  </si>
  <si>
    <t>Rockdale</t>
  </si>
  <si>
    <t>ROK01</t>
  </si>
  <si>
    <t>Rockdale Traction SS</t>
  </si>
  <si>
    <t>ROK02</t>
  </si>
  <si>
    <t>Office 422 West Botany St,Rockdale</t>
  </si>
  <si>
    <t>ROK0201</t>
  </si>
  <si>
    <t>Office 422 West Botany St,L1,Rockdale</t>
  </si>
  <si>
    <t>ROU</t>
  </si>
  <si>
    <t>Rouse Hill</t>
  </si>
  <si>
    <t>ROU01</t>
  </si>
  <si>
    <t>Rouse Hill Traction SS</t>
  </si>
  <si>
    <t>ROW</t>
  </si>
  <si>
    <t>Rowena</t>
  </si>
  <si>
    <t>ROX</t>
  </si>
  <si>
    <t>Roxburgh</t>
  </si>
  <si>
    <t>ROY</t>
  </si>
  <si>
    <t>Royalla</t>
  </si>
  <si>
    <t>ROZ</t>
  </si>
  <si>
    <t>Rozelle</t>
  </si>
  <si>
    <t>ROZ01</t>
  </si>
  <si>
    <t>Rozelle Switching Station</t>
  </si>
  <si>
    <t>ROZ02</t>
  </si>
  <si>
    <t>Office 33 James Craig Rd,Rozelle</t>
  </si>
  <si>
    <t>ROZ0200</t>
  </si>
  <si>
    <t>Office 33 James Craig Rd,Grnd Fl,Rozelle</t>
  </si>
  <si>
    <t>ROZ0201</t>
  </si>
  <si>
    <t>Office 33 James Craig Rd,L1,Rozelle</t>
  </si>
  <si>
    <t>ROZ03</t>
  </si>
  <si>
    <t>Rozelle Driver Aid Project Office</t>
  </si>
  <si>
    <t>RPC</t>
  </si>
  <si>
    <t>Ropes Creek</t>
  </si>
  <si>
    <t>RPK</t>
  </si>
  <si>
    <t>Regents Park</t>
  </si>
  <si>
    <t>RPV</t>
  </si>
  <si>
    <t>Rappville</t>
  </si>
  <si>
    <t>RRC</t>
  </si>
  <si>
    <t>Royal Randwick</t>
  </si>
  <si>
    <t>RSA</t>
  </si>
  <si>
    <t>Ramsgate</t>
  </si>
  <si>
    <t>RSG</t>
  </si>
  <si>
    <t>Rossglen</t>
  </si>
  <si>
    <t>RSH</t>
  </si>
  <si>
    <t>Rosehill</t>
  </si>
  <si>
    <t>RSV</t>
  </si>
  <si>
    <t>Roseville</t>
  </si>
  <si>
    <t>RSW</t>
  </si>
  <si>
    <t>Rosewood</t>
  </si>
  <si>
    <t>RSY</t>
  </si>
  <si>
    <t>Rosebery</t>
  </si>
  <si>
    <t>RTE</t>
  </si>
  <si>
    <t>Raymond Terrace</t>
  </si>
  <si>
    <t>RTH</t>
  </si>
  <si>
    <t>Rutherford</t>
  </si>
  <si>
    <t>RTO</t>
  </si>
  <si>
    <t>Roto</t>
  </si>
  <si>
    <t>RTS</t>
  </si>
  <si>
    <t>RTX</t>
  </si>
  <si>
    <t>Roto Jct</t>
  </si>
  <si>
    <t>RTY</t>
  </si>
  <si>
    <t>Rooty Hill</t>
  </si>
  <si>
    <t>RTY01</t>
  </si>
  <si>
    <t>Rooty Hill Traction SS</t>
  </si>
  <si>
    <t>RUB</t>
  </si>
  <si>
    <t>Rushcutters Bay</t>
  </si>
  <si>
    <t>RUS</t>
  </si>
  <si>
    <t>Running Stream</t>
  </si>
  <si>
    <t>RUV</t>
  </si>
  <si>
    <t>Russell Vale</t>
  </si>
  <si>
    <t>RUV01</t>
  </si>
  <si>
    <t>Lab 21 York Pl,Russell Vale</t>
  </si>
  <si>
    <t>RVD</t>
  </si>
  <si>
    <t>River Road</t>
  </si>
  <si>
    <t>RVM</t>
  </si>
  <si>
    <t>Rangers Valley Dam</t>
  </si>
  <si>
    <t>RVN</t>
  </si>
  <si>
    <t>Ravenan</t>
  </si>
  <si>
    <t>RVS</t>
  </si>
  <si>
    <t>Revesby</t>
  </si>
  <si>
    <t>RVS01</t>
  </si>
  <si>
    <t>Revesby Traction SS</t>
  </si>
  <si>
    <t>RVW</t>
  </si>
  <si>
    <t>Rockview</t>
  </si>
  <si>
    <t>RWD</t>
  </si>
  <si>
    <t>Riverwood</t>
  </si>
  <si>
    <t>RWK</t>
  </si>
  <si>
    <t>Randwick</t>
  </si>
  <si>
    <t>RWK01</t>
  </si>
  <si>
    <t>Randwick Traction SS</t>
  </si>
  <si>
    <t>RWK02</t>
  </si>
  <si>
    <t>Randwick Bus Depot</t>
  </si>
  <si>
    <t>RWY</t>
  </si>
  <si>
    <t>Randwick Yard</t>
  </si>
  <si>
    <t>RWY01</t>
  </si>
  <si>
    <t>Randwick Maint Depot (Randwick Yd)</t>
  </si>
  <si>
    <t>RWY02</t>
  </si>
  <si>
    <t>Randwick Depot Traction SS</t>
  </si>
  <si>
    <t>RYD</t>
  </si>
  <si>
    <t>Ryde</t>
  </si>
  <si>
    <t>RYD01</t>
  </si>
  <si>
    <t>Ryde Bus Depot</t>
  </si>
  <si>
    <t>RYL</t>
  </si>
  <si>
    <t>Rylstone</t>
  </si>
  <si>
    <t>RYN</t>
  </si>
  <si>
    <t>Ryan</t>
  </si>
  <si>
    <t>RZB</t>
  </si>
  <si>
    <t>Razorback</t>
  </si>
  <si>
    <t>RZY</t>
  </si>
  <si>
    <t>Rozelle Yard</t>
  </si>
  <si>
    <t>SAC</t>
  </si>
  <si>
    <t>Sackville</t>
  </si>
  <si>
    <t>SAI</t>
  </si>
  <si>
    <t>Snails Bay</t>
  </si>
  <si>
    <t>SAN</t>
  </si>
  <si>
    <t>Sandgate</t>
  </si>
  <si>
    <t>SAO</t>
  </si>
  <si>
    <t>Saratoga</t>
  </si>
  <si>
    <t>SAT</t>
  </si>
  <si>
    <t>Ranelagh</t>
  </si>
  <si>
    <t>Sandon River</t>
  </si>
  <si>
    <t>SBX</t>
  </si>
  <si>
    <t>Stockinbingal Jct</t>
  </si>
  <si>
    <t>SCA</t>
  </si>
  <si>
    <t>South Casino</t>
  </si>
  <si>
    <t>SCB</t>
  </si>
  <si>
    <t>Sydney CBD North (Hunter Street)</t>
  </si>
  <si>
    <t>SCH</t>
  </si>
  <si>
    <t>Scholey Street Jct</t>
  </si>
  <si>
    <t>SCK</t>
  </si>
  <si>
    <t>Store Creek</t>
  </si>
  <si>
    <t>SCL</t>
  </si>
  <si>
    <t>St Clements</t>
  </si>
  <si>
    <t>SCN</t>
  </si>
  <si>
    <t>Scone</t>
  </si>
  <si>
    <t>SCO</t>
  </si>
  <si>
    <t>Schofields</t>
  </si>
  <si>
    <t>SCO01</t>
  </si>
  <si>
    <t>Schofields Traction SS</t>
  </si>
  <si>
    <t>SCR</t>
  </si>
  <si>
    <t>Scarborough</t>
  </si>
  <si>
    <t>SDN</t>
  </si>
  <si>
    <t>South Dynon Yard</t>
  </si>
  <si>
    <t>SDT</t>
  </si>
  <si>
    <t>Domestic Airport</t>
  </si>
  <si>
    <t>SDT01</t>
  </si>
  <si>
    <t>Domestic No1 Station SS</t>
  </si>
  <si>
    <t>SDT02</t>
  </si>
  <si>
    <t>Domestic No2 Station SS</t>
  </si>
  <si>
    <t>SDY</t>
  </si>
  <si>
    <t>SDY01</t>
  </si>
  <si>
    <t>Martin Place Ministers Office</t>
  </si>
  <si>
    <t>SDY02</t>
  </si>
  <si>
    <t>Office 8-12 Castlereagh St,Sydney</t>
  </si>
  <si>
    <t>SDY0207</t>
  </si>
  <si>
    <t>Office 8-12 Castlereagh St,L7,Sydney</t>
  </si>
  <si>
    <t>SDY03</t>
  </si>
  <si>
    <t>Office 201 Elizabeth St,Sydney</t>
  </si>
  <si>
    <t>SDY0317</t>
  </si>
  <si>
    <t>Office 201 Elizabeth St,L17,Sydney</t>
  </si>
  <si>
    <t>SDY0322</t>
  </si>
  <si>
    <t>Office 201 Elizabeth St,L22,Sydney</t>
  </si>
  <si>
    <t>SDY04</t>
  </si>
  <si>
    <t>Office 323 Castlereagh St,Sydney</t>
  </si>
  <si>
    <t>SDY0422</t>
  </si>
  <si>
    <t>Office 323 Castlereagh St,L22,Sydney</t>
  </si>
  <si>
    <t>SDY0423</t>
  </si>
  <si>
    <t>Office 323 Castlereagh St,L23,Sydney</t>
  </si>
  <si>
    <t>SDY05</t>
  </si>
  <si>
    <t>Goulburn St RR,Cnr Elizabeth&amp;Campbell St</t>
  </si>
  <si>
    <t>SDY06</t>
  </si>
  <si>
    <t>SGT Project-Land and Property Office</t>
  </si>
  <si>
    <t>SEC</t>
  </si>
  <si>
    <t>Shell Cove</t>
  </si>
  <si>
    <t>SEJ</t>
  </si>
  <si>
    <t>Sefton Park East Jct</t>
  </si>
  <si>
    <t>SFG</t>
  </si>
  <si>
    <t>South Granville</t>
  </si>
  <si>
    <t>SFH</t>
  </si>
  <si>
    <t>Seaforth</t>
  </si>
  <si>
    <t>SFH01</t>
  </si>
  <si>
    <t>Spit Bridge Control Tower</t>
  </si>
  <si>
    <t>SFJ</t>
  </si>
  <si>
    <t>Sefton Park North Jct</t>
  </si>
  <si>
    <t>SFL</t>
  </si>
  <si>
    <t>Stanfield</t>
  </si>
  <si>
    <t>SFT</t>
  </si>
  <si>
    <t>Sefton</t>
  </si>
  <si>
    <t>SFT01</t>
  </si>
  <si>
    <t>Sefton Traction SS</t>
  </si>
  <si>
    <t>SGD</t>
  </si>
  <si>
    <t>Springdale</t>
  </si>
  <si>
    <t>SGI</t>
  </si>
  <si>
    <t>South Gundagai</t>
  </si>
  <si>
    <t>SGL</t>
  </si>
  <si>
    <t>Singleton</t>
  </si>
  <si>
    <t>SGY</t>
  </si>
  <si>
    <t>Singleton Yard</t>
  </si>
  <si>
    <t>SHA</t>
  </si>
  <si>
    <t>Shalvey</t>
  </si>
  <si>
    <t>SHB</t>
  </si>
  <si>
    <t>Sydney Harbour Bridge</t>
  </si>
  <si>
    <t>SHH</t>
  </si>
  <si>
    <t>Sheahan</t>
  </si>
  <si>
    <t>SHI</t>
  </si>
  <si>
    <t>Sherwood</t>
  </si>
  <si>
    <t>SHJ</t>
  </si>
  <si>
    <t>Shellharbour Jct</t>
  </si>
  <si>
    <t>SHL</t>
  </si>
  <si>
    <t>Shellharbour</t>
  </si>
  <si>
    <t>SHL01</t>
  </si>
  <si>
    <t>Shellharbour-Breakwall</t>
  </si>
  <si>
    <t>SHN</t>
  </si>
  <si>
    <t>Shannon Brook</t>
  </si>
  <si>
    <t>SHP</t>
  </si>
  <si>
    <t>Stanhope</t>
  </si>
  <si>
    <t>SHQ</t>
  </si>
  <si>
    <t>Dunmore (Shellharbour) Quarry</t>
  </si>
  <si>
    <t>Shoalhaven River</t>
  </si>
  <si>
    <t>SHR01</t>
  </si>
  <si>
    <t>Shoalhaven River-Berrys Canal</t>
  </si>
  <si>
    <t>SHR02</t>
  </si>
  <si>
    <t>Shoalhaven River-Broughton Ck</t>
  </si>
  <si>
    <t>SHR03</t>
  </si>
  <si>
    <t>Shoalhaven River-Greys Beach</t>
  </si>
  <si>
    <t>SHR04</t>
  </si>
  <si>
    <t>Shoalhaven River-Comerong Is</t>
  </si>
  <si>
    <t>SHR05</t>
  </si>
  <si>
    <t>Shoalhaven River-Duck Pond</t>
  </si>
  <si>
    <t>SHR06</t>
  </si>
  <si>
    <t>Shoalhaven River-Long Reach</t>
  </si>
  <si>
    <t>SHR07</t>
  </si>
  <si>
    <t>Shoalhaven River-Pig Is</t>
  </si>
  <si>
    <t>SHR08</t>
  </si>
  <si>
    <t>Shoalhaven River-Grants Rock</t>
  </si>
  <si>
    <t>SHR09</t>
  </si>
  <si>
    <t>Shoalhaven River-Nowra Reef</t>
  </si>
  <si>
    <t>SHV</t>
  </si>
  <si>
    <t>Shoalhaven Heads</t>
  </si>
  <si>
    <t>SHW</t>
  </si>
  <si>
    <t>Shaws</t>
  </si>
  <si>
    <t>SIT</t>
  </si>
  <si>
    <t>International Airport</t>
  </si>
  <si>
    <t>SIT01</t>
  </si>
  <si>
    <t>International No1 Station SS</t>
  </si>
  <si>
    <t>SIT02</t>
  </si>
  <si>
    <t>International No2 Station SS</t>
  </si>
  <si>
    <t>SJD</t>
  </si>
  <si>
    <t>Sulphide Jct Yard</t>
  </si>
  <si>
    <t>SKY</t>
  </si>
  <si>
    <t>Stockinbingal Yard</t>
  </si>
  <si>
    <t>SLB</t>
  </si>
  <si>
    <t>Salisbury</t>
  </si>
  <si>
    <t>SLD</t>
  </si>
  <si>
    <t>SLG</t>
  </si>
  <si>
    <t>Southleigh</t>
  </si>
  <si>
    <t>SLJ</t>
  </si>
  <si>
    <t>Sandy Hollow Jct</t>
  </si>
  <si>
    <t>SLO</t>
  </si>
  <si>
    <t>Sprouls Lagoon</t>
  </si>
  <si>
    <t>SLR</t>
  </si>
  <si>
    <t>St Heliers</t>
  </si>
  <si>
    <t>SLS</t>
  </si>
  <si>
    <t>South Lismore</t>
  </si>
  <si>
    <t>SLV</t>
  </si>
  <si>
    <t>Silverwater</t>
  </si>
  <si>
    <t>SLV01</t>
  </si>
  <si>
    <t>Data Ctr 8-14 Egerton St,Silverwater</t>
  </si>
  <si>
    <t>SLV02</t>
  </si>
  <si>
    <t>Silverwater Vehicle Inspection Unit</t>
  </si>
  <si>
    <t>SLV03</t>
  </si>
  <si>
    <t>Silverwater Project Office (EDI Downer)</t>
  </si>
  <si>
    <t>SLV04</t>
  </si>
  <si>
    <t>Silverwater Services Facility</t>
  </si>
  <si>
    <t>SLX</t>
  </si>
  <si>
    <t>Sutherland Jct</t>
  </si>
  <si>
    <t>Summer Hill</t>
  </si>
  <si>
    <t>St Michaels</t>
  </si>
  <si>
    <t>SMK</t>
  </si>
  <si>
    <t>Smiths Lake</t>
  </si>
  <si>
    <t>SMN</t>
  </si>
  <si>
    <t>South Mosman</t>
  </si>
  <si>
    <t>SMR</t>
  </si>
  <si>
    <t>Stanmore</t>
  </si>
  <si>
    <t>SMT</t>
  </si>
  <si>
    <t>Summit Tank</t>
  </si>
  <si>
    <t>SMV</t>
  </si>
  <si>
    <t>Smithfield</t>
  </si>
  <si>
    <t>SMX</t>
  </si>
  <si>
    <t>St Mary Jct</t>
  </si>
  <si>
    <t>Sandown Boulevard</t>
  </si>
  <si>
    <t>SND</t>
  </si>
  <si>
    <t>Sandown</t>
  </si>
  <si>
    <t>SNK</t>
  </si>
  <si>
    <t>St Clair</t>
  </si>
  <si>
    <t>SNY</t>
  </si>
  <si>
    <t>Sunnyside</t>
  </si>
  <si>
    <t>SOG</t>
  </si>
  <si>
    <t>South Grafton</t>
  </si>
  <si>
    <t>SOG01</t>
  </si>
  <si>
    <t>South Grafton Works Depot and Laboratory</t>
  </si>
  <si>
    <t>SOL</t>
  </si>
  <si>
    <t>Sandy Hollow</t>
  </si>
  <si>
    <t>SON</t>
  </si>
  <si>
    <t>Southgate</t>
  </si>
  <si>
    <t>SOR</t>
  </si>
  <si>
    <t>Southern Region</t>
  </si>
  <si>
    <t>SOW</t>
  </si>
  <si>
    <t>South Nowra</t>
  </si>
  <si>
    <t>SPC</t>
  </si>
  <si>
    <t>Spring Creek</t>
  </si>
  <si>
    <t>SPD</t>
  </si>
  <si>
    <t>Split Rock Dam</t>
  </si>
  <si>
    <t>SPF</t>
  </si>
  <si>
    <t>Springfield</t>
  </si>
  <si>
    <t>SPH</t>
  </si>
  <si>
    <t>Spring Hill</t>
  </si>
  <si>
    <t>SPI</t>
  </si>
  <si>
    <t>Spicers Creek</t>
  </si>
  <si>
    <t>SPJ</t>
  </si>
  <si>
    <t>Sefton Park Jct</t>
  </si>
  <si>
    <t>Springridge</t>
  </si>
  <si>
    <t>SPS</t>
  </si>
  <si>
    <t>Swan Ponds</t>
  </si>
  <si>
    <t>SPT</t>
  </si>
  <si>
    <t>Speers Point</t>
  </si>
  <si>
    <t>SPW</t>
  </si>
  <si>
    <t>Springwood</t>
  </si>
  <si>
    <t>SPW01</t>
  </si>
  <si>
    <t>Springwood Traction SH</t>
  </si>
  <si>
    <t>SRD</t>
  </si>
  <si>
    <t>Stroud Road</t>
  </si>
  <si>
    <t>SSD</t>
  </si>
  <si>
    <t>South Sydney</t>
  </si>
  <si>
    <t>SSF</t>
  </si>
  <si>
    <t>Sandy Flat</t>
  </si>
  <si>
    <t>SSI</t>
  </si>
  <si>
    <t>Sans Souci</t>
  </si>
  <si>
    <t>SSJ</t>
  </si>
  <si>
    <t>Sefton Park South Jct</t>
  </si>
  <si>
    <t>SSL</t>
  </si>
  <si>
    <t>Strathfield South</t>
  </si>
  <si>
    <t>Somerset</t>
  </si>
  <si>
    <t>STC</t>
  </si>
  <si>
    <t>Stratford Colliery</t>
  </si>
  <si>
    <t>STE</t>
  </si>
  <si>
    <t>St Helena</t>
  </si>
  <si>
    <t>STF</t>
  </si>
  <si>
    <t>Stratford Jct</t>
  </si>
  <si>
    <t>STH</t>
  </si>
  <si>
    <t>Sutherland</t>
  </si>
  <si>
    <t>STH01</t>
  </si>
  <si>
    <t>Sutherland Traction SS</t>
  </si>
  <si>
    <t>STH02</t>
  </si>
  <si>
    <t>Sutherland Network Satellite</t>
  </si>
  <si>
    <t>STJ</t>
  </si>
  <si>
    <t>St James</t>
  </si>
  <si>
    <t>STJ01</t>
  </si>
  <si>
    <t>St James Traction SH</t>
  </si>
  <si>
    <t>STK</t>
  </si>
  <si>
    <t>Stockinbingal</t>
  </si>
  <si>
    <t>STL</t>
  </si>
  <si>
    <t>St Leonards</t>
  </si>
  <si>
    <t>STL01</t>
  </si>
  <si>
    <t>St Leonards Traction SS</t>
  </si>
  <si>
    <t>STM</t>
  </si>
  <si>
    <t>St Marys</t>
  </si>
  <si>
    <t>STM01</t>
  </si>
  <si>
    <t>St Marys Traction SS</t>
  </si>
  <si>
    <t>STN</t>
  </si>
  <si>
    <t>Stonehenge</t>
  </si>
  <si>
    <t>STP</t>
  </si>
  <si>
    <t>St Peters</t>
  </si>
  <si>
    <t>STP01</t>
  </si>
  <si>
    <t>Sydenham Network Base</t>
  </si>
  <si>
    <t>STR</t>
  </si>
  <si>
    <t>Strathfield</t>
  </si>
  <si>
    <t>STR01</t>
  </si>
  <si>
    <t>Strathfield Traction SS</t>
  </si>
  <si>
    <t>STR02</t>
  </si>
  <si>
    <t>Strathfield Signal Bx SS No1</t>
  </si>
  <si>
    <t>STR03</t>
  </si>
  <si>
    <t>Strathfield Signal Bx SS No2</t>
  </si>
  <si>
    <t>STU</t>
  </si>
  <si>
    <t>Stuart Town</t>
  </si>
  <si>
    <t>STV</t>
  </si>
  <si>
    <t>St Ives</t>
  </si>
  <si>
    <t>STX</t>
  </si>
  <si>
    <t>Strathfield Jct</t>
  </si>
  <si>
    <t>STZ</t>
  </si>
  <si>
    <t>South Hurstville</t>
  </si>
  <si>
    <t>SUC</t>
  </si>
  <si>
    <t>Sulcor</t>
  </si>
  <si>
    <t>SUL</t>
  </si>
  <si>
    <t>Sulphide Jct</t>
  </si>
  <si>
    <t>SUL01</t>
  </si>
  <si>
    <t>Sulphide Jct SS</t>
  </si>
  <si>
    <t>SUX</t>
  </si>
  <si>
    <t>Sussex Inlet</t>
  </si>
  <si>
    <t>SUX01</t>
  </si>
  <si>
    <t>Sussex Inlet-Chris Creek</t>
  </si>
  <si>
    <t>SUX02</t>
  </si>
  <si>
    <t>Sussex Inlet-Christians Minde</t>
  </si>
  <si>
    <t>SUX03</t>
  </si>
  <si>
    <t>Sussex Inlet-Garden Island</t>
  </si>
  <si>
    <t>SUX04</t>
  </si>
  <si>
    <t>Sussex Inlet-Kangaroo Pt</t>
  </si>
  <si>
    <t>SUX05</t>
  </si>
  <si>
    <t>Sussex Inlet-Little Manly</t>
  </si>
  <si>
    <t>SUX06</t>
  </si>
  <si>
    <t>Sussex Inlet-Macleans Pt</t>
  </si>
  <si>
    <t>SUX07</t>
  </si>
  <si>
    <t>Sussex Inlet-Sanctuary Pt</t>
  </si>
  <si>
    <t>SUY</t>
  </si>
  <si>
    <t>Sutherland Yard</t>
  </si>
  <si>
    <t>SVH</t>
  </si>
  <si>
    <t>Seven Hills</t>
  </si>
  <si>
    <t>SVH01</t>
  </si>
  <si>
    <t>Seven Hills Traction SS</t>
  </si>
  <si>
    <t>SWG</t>
  </si>
  <si>
    <t>South Wyalong</t>
  </si>
  <si>
    <t>SWI</t>
  </si>
  <si>
    <t>South Windsor</t>
  </si>
  <si>
    <t>SWJ</t>
  </si>
  <si>
    <t>Sandgate West Jct</t>
  </si>
  <si>
    <t>SWK</t>
  </si>
  <si>
    <t>South West Rocks Creek</t>
  </si>
  <si>
    <t>SWL</t>
  </si>
  <si>
    <t>Sodwalls</t>
  </si>
  <si>
    <t>SWN</t>
  </si>
  <si>
    <t>Swansea Channel</t>
  </si>
  <si>
    <t>SWN01</t>
  </si>
  <si>
    <t>Swansea Channel-Coal  Seam</t>
  </si>
  <si>
    <t>SWN02</t>
  </si>
  <si>
    <t>Swansea Channel-James Marina</t>
  </si>
  <si>
    <t>SWN03</t>
  </si>
  <si>
    <t>Swansea Channel-Marks Pt</t>
  </si>
  <si>
    <t>SWN04</t>
  </si>
  <si>
    <t>Swansea Channel-Moon Island</t>
  </si>
  <si>
    <t>SWN05</t>
  </si>
  <si>
    <t>Swansea Channel-Swan Bay</t>
  </si>
  <si>
    <t>SWO</t>
  </si>
  <si>
    <t>South Wollongong</t>
  </si>
  <si>
    <t>SWP</t>
  </si>
  <si>
    <t>Stanwell Park</t>
  </si>
  <si>
    <t>SWP01</t>
  </si>
  <si>
    <t>Stanwell Park Traction SS</t>
  </si>
  <si>
    <t>SWQ</t>
  </si>
  <si>
    <t>Stockton</t>
  </si>
  <si>
    <t>South West Rocks</t>
  </si>
  <si>
    <t>SWT</t>
  </si>
  <si>
    <t>Sawtell</t>
  </si>
  <si>
    <t>SWW</t>
  </si>
  <si>
    <t>Swan Lake</t>
  </si>
  <si>
    <t>SWY</t>
  </si>
  <si>
    <t>Sandown Yard</t>
  </si>
  <si>
    <t>SXJ</t>
  </si>
  <si>
    <t>Saxonvale Jct</t>
  </si>
  <si>
    <t>SYD</t>
  </si>
  <si>
    <t>Sydenham</t>
  </si>
  <si>
    <t>SYD01</t>
  </si>
  <si>
    <t>Meeks Road Traction SS</t>
  </si>
  <si>
    <t>SYD02</t>
  </si>
  <si>
    <t>Sydenham Signal Complex</t>
  </si>
  <si>
    <t>SYD03</t>
  </si>
  <si>
    <t>Sydenham SMT South Facility</t>
  </si>
  <si>
    <t>SYD04</t>
  </si>
  <si>
    <t>Southern Dive Traction SS</t>
  </si>
  <si>
    <t>SYH</t>
  </si>
  <si>
    <t>Surry Hills</t>
  </si>
  <si>
    <t>SYH01</t>
  </si>
  <si>
    <t>Joint Intelligence Group(JIG)Surry Hills</t>
  </si>
  <si>
    <t>SYJ</t>
  </si>
  <si>
    <t>Sydenham North Jct</t>
  </si>
  <si>
    <t>SYL</t>
  </si>
  <si>
    <t>Sayers Lake</t>
  </si>
  <si>
    <t>SYN</t>
  </si>
  <si>
    <t>Sunny Corner</t>
  </si>
  <si>
    <t>SYP</t>
  </si>
  <si>
    <t>Sydenham XPT Yard</t>
  </si>
  <si>
    <t>SYP01</t>
  </si>
  <si>
    <t>XPT Maint Ctr (Sydenham XPT Yd)</t>
  </si>
  <si>
    <t>SYP02</t>
  </si>
  <si>
    <t>Regional Rail Maint Ctr (Sydenham Yd)</t>
  </si>
  <si>
    <t>SYV</t>
  </si>
  <si>
    <t>Sydney Cove</t>
  </si>
  <si>
    <t>SYX</t>
  </si>
  <si>
    <t>Sydenham Jct</t>
  </si>
  <si>
    <t>SYY</t>
  </si>
  <si>
    <t>Sydney Yard</t>
  </si>
  <si>
    <t>SYY01</t>
  </si>
  <si>
    <t>Sydney Yard SS No1</t>
  </si>
  <si>
    <t>SYY02</t>
  </si>
  <si>
    <t>Sydney Yard SS No2</t>
  </si>
  <si>
    <t>TAA</t>
  </si>
  <si>
    <t>Taralga</t>
  </si>
  <si>
    <t>TAD</t>
  </si>
  <si>
    <t>Tarana Yard</t>
  </si>
  <si>
    <t>TAH</t>
  </si>
  <si>
    <t>Tahmoor</t>
  </si>
  <si>
    <t>TAL</t>
  </si>
  <si>
    <t>Tallong</t>
  </si>
  <si>
    <t>TAM</t>
  </si>
  <si>
    <t>Tamworth</t>
  </si>
  <si>
    <t>Tamban</t>
  </si>
  <si>
    <t>TAP</t>
  </si>
  <si>
    <t>Taren Point</t>
  </si>
  <si>
    <t>TAR</t>
  </si>
  <si>
    <t>Tarana</t>
  </si>
  <si>
    <t>TAS</t>
  </si>
  <si>
    <t>Tascott</t>
  </si>
  <si>
    <t>TAV</t>
  </si>
  <si>
    <t>Taverners Hill</t>
  </si>
  <si>
    <t>TAW</t>
  </si>
  <si>
    <t>Tallawang</t>
  </si>
  <si>
    <t>TAY</t>
  </si>
  <si>
    <t>Taree Yard</t>
  </si>
  <si>
    <t>TAZ</t>
  </si>
  <si>
    <t>Tathra</t>
  </si>
  <si>
    <t>TBB</t>
  </si>
  <si>
    <t>Tubbul Road</t>
  </si>
  <si>
    <t>TBG</t>
  </si>
  <si>
    <t>Tumblong</t>
  </si>
  <si>
    <t>TBL</t>
  </si>
  <si>
    <t>Tamboolba</t>
  </si>
  <si>
    <t>TBN</t>
  </si>
  <si>
    <t>Tharbogang</t>
  </si>
  <si>
    <t>TBR</t>
  </si>
  <si>
    <t>Talbragar</t>
  </si>
  <si>
    <t>TBT</t>
  </si>
  <si>
    <t>Tabbita</t>
  </si>
  <si>
    <t>TBV</t>
  </si>
  <si>
    <t>Talbingo Reservoir</t>
  </si>
  <si>
    <t>TBY</t>
  </si>
  <si>
    <t xml:space="preserve">The Bays </t>
  </si>
  <si>
    <t>TBZ</t>
  </si>
  <si>
    <t>Tabourie Lake</t>
  </si>
  <si>
    <t>TCA</t>
  </si>
  <si>
    <t>Tarcutta</t>
  </si>
  <si>
    <t>TCH</t>
  </si>
  <si>
    <t>Tichborne</t>
  </si>
  <si>
    <t>TCJ</t>
  </si>
  <si>
    <t>Tahmoor Colliery Jct</t>
  </si>
  <si>
    <t>TCL</t>
  </si>
  <si>
    <t>Tocumwal</t>
  </si>
  <si>
    <t>TCS</t>
  </si>
  <si>
    <t>Teralba Colliery</t>
  </si>
  <si>
    <t>TCX</t>
  </si>
  <si>
    <t>The Rock Jct</t>
  </si>
  <si>
    <t>TCY</t>
  </si>
  <si>
    <t>Tuncurry</t>
  </si>
  <si>
    <t>TDL</t>
  </si>
  <si>
    <t>Trundle</t>
  </si>
  <si>
    <t>TEA</t>
  </si>
  <si>
    <t>Tea Gardens</t>
  </si>
  <si>
    <t>TEI</t>
  </si>
  <si>
    <t>Terrey Hills</t>
  </si>
  <si>
    <t>TEJ</t>
  </si>
  <si>
    <t>Teralba Colliery Jct</t>
  </si>
  <si>
    <t>TEL</t>
  </si>
  <si>
    <t>Telopea</t>
  </si>
  <si>
    <t>TEL01</t>
  </si>
  <si>
    <t>Telopea Traction SS</t>
  </si>
  <si>
    <t>TEM</t>
  </si>
  <si>
    <t>Temora</t>
  </si>
  <si>
    <t>TEN</t>
  </si>
  <si>
    <t>Tenterfield</t>
  </si>
  <si>
    <t>TER</t>
  </si>
  <si>
    <t>Teralba</t>
  </si>
  <si>
    <t>TEV</t>
  </si>
  <si>
    <t>Teven</t>
  </si>
  <si>
    <t>TEX</t>
  </si>
  <si>
    <t>Telarah Jct</t>
  </si>
  <si>
    <t>TEY</t>
  </si>
  <si>
    <t>Telarah Yard</t>
  </si>
  <si>
    <t>TFS</t>
  </si>
  <si>
    <t>The Forest</t>
  </si>
  <si>
    <t>TGB</t>
  </si>
  <si>
    <t>Toongabbie</t>
  </si>
  <si>
    <t>TGB01</t>
  </si>
  <si>
    <t>Toongabbie Traction SS</t>
  </si>
  <si>
    <t>TGE</t>
  </si>
  <si>
    <t>Trangie</t>
  </si>
  <si>
    <t>TGG</t>
  </si>
  <si>
    <t>The Gorge</t>
  </si>
  <si>
    <t>TGH</t>
  </si>
  <si>
    <t>Tighes Hill</t>
  </si>
  <si>
    <t>TGN</t>
  </si>
  <si>
    <t>Tuggeranong</t>
  </si>
  <si>
    <t>TGO</t>
  </si>
  <si>
    <t>Tarago</t>
  </si>
  <si>
    <t>TGR</t>
  </si>
  <si>
    <t>Togar</t>
  </si>
  <si>
    <t>TGX</t>
  </si>
  <si>
    <t>The Gap Jct</t>
  </si>
  <si>
    <t>TGY</t>
  </si>
  <si>
    <t>Tarago Yard</t>
  </si>
  <si>
    <t>THC</t>
  </si>
  <si>
    <t>Tahmoor Colliery</t>
  </si>
  <si>
    <t>THD</t>
  </si>
  <si>
    <t>Terrigal Haven</t>
  </si>
  <si>
    <t>THI</t>
  </si>
  <si>
    <t>Thirroul</t>
  </si>
  <si>
    <t>THL</t>
  </si>
  <si>
    <t>Town Hall</t>
  </si>
  <si>
    <t>THM</t>
  </si>
  <si>
    <t>Thirlmere</t>
  </si>
  <si>
    <t>THN</t>
  </si>
  <si>
    <t>Thorndale</t>
  </si>
  <si>
    <t>THR</t>
  </si>
  <si>
    <t>Thornleigh</t>
  </si>
  <si>
    <t>THR01</t>
  </si>
  <si>
    <t>Thornleigh Traction SH</t>
  </si>
  <si>
    <t>THY</t>
  </si>
  <si>
    <t>Thirroul Yard</t>
  </si>
  <si>
    <t>TII</t>
  </si>
  <si>
    <t>Tuggerah Lake</t>
  </si>
  <si>
    <t>TII01</t>
  </si>
  <si>
    <t>Tuggerah Lake-Budgewoi Channel</t>
  </si>
  <si>
    <t>TII02</t>
  </si>
  <si>
    <t>Tuggerah Lake-Canton Beach</t>
  </si>
  <si>
    <t>TII03</t>
  </si>
  <si>
    <t>Tuggerah Lake-Gorokan</t>
  </si>
  <si>
    <t>TII04</t>
  </si>
  <si>
    <t>Tuggerah Lake-Mandalong Pt</t>
  </si>
  <si>
    <t>TII05</t>
  </si>
  <si>
    <t>Tuggerah Lake-Nthn Channel</t>
  </si>
  <si>
    <t>TII06</t>
  </si>
  <si>
    <t>Tuggerah Lake-Ourimbah Ck</t>
  </si>
  <si>
    <t>TII07</t>
  </si>
  <si>
    <t>Tuggerah Lake-Saltwater</t>
  </si>
  <si>
    <t>TII08</t>
  </si>
  <si>
    <t>Tuggerah Lake-The Entrance</t>
  </si>
  <si>
    <t>TII09</t>
  </si>
  <si>
    <t>Tuggerah Lake-Tumbi Ck</t>
  </si>
  <si>
    <t>TII10</t>
  </si>
  <si>
    <t>Tuggerah Lake-Pelican Is</t>
  </si>
  <si>
    <t>TIN</t>
  </si>
  <si>
    <t>Tintinhull</t>
  </si>
  <si>
    <t>TIR</t>
  </si>
  <si>
    <t>Tirranna</t>
  </si>
  <si>
    <t>TIW</t>
  </si>
  <si>
    <t>Turilawa</t>
  </si>
  <si>
    <t>TIY</t>
  </si>
  <si>
    <t>Trangie Yard</t>
  </si>
  <si>
    <t>TJA</t>
  </si>
  <si>
    <t>Toolijooa</t>
  </si>
  <si>
    <t>TJR</t>
  </si>
  <si>
    <t>Trajere</t>
  </si>
  <si>
    <t>TJY</t>
  </si>
  <si>
    <t>Timjelly</t>
  </si>
  <si>
    <t>TKL</t>
  </si>
  <si>
    <t>Tuross Lake</t>
  </si>
  <si>
    <t>TKT</t>
  </si>
  <si>
    <t>Tikitere</t>
  </si>
  <si>
    <t>TLA</t>
  </si>
  <si>
    <t>Tallawong</t>
  </si>
  <si>
    <t>TLB</t>
  </si>
  <si>
    <t>Tullibigeal</t>
  </si>
  <si>
    <t>TLH</t>
  </si>
  <si>
    <t>Telarah</t>
  </si>
  <si>
    <t>TLM</t>
  </si>
  <si>
    <t>Tallimba</t>
  </si>
  <si>
    <t>TLP</t>
  </si>
  <si>
    <t>Telegraph Point</t>
  </si>
  <si>
    <t>TLS</t>
  </si>
  <si>
    <t>Tallawong Stabling Yard</t>
  </si>
  <si>
    <t>TLS01</t>
  </si>
  <si>
    <t>Tallawong SMT North Train Facility</t>
  </si>
  <si>
    <t>TLS02</t>
  </si>
  <si>
    <t>Tallawong Bulk Supply SS</t>
  </si>
  <si>
    <t>TLS03</t>
  </si>
  <si>
    <t>Tallawong SMT Traction SS</t>
  </si>
  <si>
    <t>TLS04</t>
  </si>
  <si>
    <t>Tallawong SMT Admin/Control Centre</t>
  </si>
  <si>
    <t>TLW</t>
  </si>
  <si>
    <t>Tomingley West</t>
  </si>
  <si>
    <t>TMB</t>
  </si>
  <si>
    <t>Tumbarumba</t>
  </si>
  <si>
    <t>TML</t>
  </si>
  <si>
    <t>Tumulla</t>
  </si>
  <si>
    <t>TMM</t>
  </si>
  <si>
    <t>Three Mile Dam</t>
  </si>
  <si>
    <t>TMP</t>
  </si>
  <si>
    <t>Tempe</t>
  </si>
  <si>
    <t>TMR</t>
  </si>
  <si>
    <t>Tamarang</t>
  </si>
  <si>
    <t>TMT</t>
  </si>
  <si>
    <t>Timber Top</t>
  </si>
  <si>
    <t>TMU</t>
  </si>
  <si>
    <t>Tumut Pond Reservoir</t>
  </si>
  <si>
    <t>TMV</t>
  </si>
  <si>
    <t>Toonumbar Dam</t>
  </si>
  <si>
    <t>TMW</t>
  </si>
  <si>
    <t>Tramway Avenue</t>
  </si>
  <si>
    <t>TMX</t>
  </si>
  <si>
    <t>Tamworth Jct</t>
  </si>
  <si>
    <t>TMY</t>
  </si>
  <si>
    <t>Temora Yard</t>
  </si>
  <si>
    <t>TMZ</t>
  </si>
  <si>
    <t>Tooma Dam</t>
  </si>
  <si>
    <t>TNG</t>
  </si>
  <si>
    <t>Toongi</t>
  </si>
  <si>
    <t>TNU</t>
  </si>
  <si>
    <t>Terranora Inlet</t>
  </si>
  <si>
    <t>TNU01</t>
  </si>
  <si>
    <t>Terranora Inlet-Nth Channel</t>
  </si>
  <si>
    <t>TNU02</t>
  </si>
  <si>
    <t>Terranora Inlet-Opp Bridge</t>
  </si>
  <si>
    <t>TNV</t>
  </si>
  <si>
    <t>Tantangara Reservoir</t>
  </si>
  <si>
    <t>Tomaga River</t>
  </si>
  <si>
    <t>Thornton</t>
  </si>
  <si>
    <t>TOP</t>
  </si>
  <si>
    <t>Table Top</t>
  </si>
  <si>
    <t>TOT</t>
  </si>
  <si>
    <t>Tottenham</t>
  </si>
  <si>
    <t>TOW</t>
  </si>
  <si>
    <t>Towrang</t>
  </si>
  <si>
    <t>TOX</t>
  </si>
  <si>
    <t>Temora Jct</t>
  </si>
  <si>
    <t>TPL</t>
  </si>
  <si>
    <t>Temple Court</t>
  </si>
  <si>
    <t>TRA</t>
  </si>
  <si>
    <t>Tooraweenah</t>
  </si>
  <si>
    <t>TRB</t>
  </si>
  <si>
    <t>Trangie South</t>
  </si>
  <si>
    <t>TRD</t>
  </si>
  <si>
    <t>Trida</t>
  </si>
  <si>
    <t>TRE</t>
  </si>
  <si>
    <t>Taree</t>
  </si>
  <si>
    <t>TRI</t>
  </si>
  <si>
    <t>Tarpoly</t>
  </si>
  <si>
    <t>TRJ</t>
  </si>
  <si>
    <t>Troy Jct</t>
  </si>
  <si>
    <t>TRK</t>
  </si>
  <si>
    <t>The Rock</t>
  </si>
  <si>
    <t>TRL</t>
  </si>
  <si>
    <t>Turrella</t>
  </si>
  <si>
    <t>TRM</t>
  </si>
  <si>
    <t>Trumble Avenue</t>
  </si>
  <si>
    <t>TRN</t>
  </si>
  <si>
    <t>Tarrion</t>
  </si>
  <si>
    <t>TRO</t>
  </si>
  <si>
    <t>Tarro</t>
  </si>
  <si>
    <t>TRS</t>
  </si>
  <si>
    <t>The Risk</t>
  </si>
  <si>
    <t>TRX</t>
  </si>
  <si>
    <t>Tarana Jct</t>
  </si>
  <si>
    <t>TRY</t>
  </si>
  <si>
    <t>The Rock Yard</t>
  </si>
  <si>
    <t>TRZ</t>
  </si>
  <si>
    <t>Trial Bay</t>
  </si>
  <si>
    <t>TSA</t>
  </si>
  <si>
    <t>The Star</t>
  </si>
  <si>
    <t>TTL</t>
  </si>
  <si>
    <t>Tootool</t>
  </si>
  <si>
    <t>TTO</t>
  </si>
  <si>
    <t>Toronto</t>
  </si>
  <si>
    <t>TTS</t>
  </si>
  <si>
    <t>The Troffs</t>
  </si>
  <si>
    <t>TTY</t>
  </si>
  <si>
    <t>Tottenham Yard</t>
  </si>
  <si>
    <t>TUG</t>
  </si>
  <si>
    <t>Tuggerah</t>
  </si>
  <si>
    <t>TUG01</t>
  </si>
  <si>
    <t>Tuggerah Traction SH</t>
  </si>
  <si>
    <t>TUK</t>
  </si>
  <si>
    <t>Tugrabakh</t>
  </si>
  <si>
    <t>TUL</t>
  </si>
  <si>
    <t>Tullamore</t>
  </si>
  <si>
    <t>TUM</t>
  </si>
  <si>
    <t>Tumut</t>
  </si>
  <si>
    <t>TUR</t>
  </si>
  <si>
    <t>Turramurra</t>
  </si>
  <si>
    <t>TUR01</t>
  </si>
  <si>
    <t>Turramurra Traction SS</t>
  </si>
  <si>
    <t>TUS</t>
  </si>
  <si>
    <t>Tuncester</t>
  </si>
  <si>
    <t>TUY</t>
  </si>
  <si>
    <t>Tullamore Yard</t>
  </si>
  <si>
    <t>TWA</t>
  </si>
  <si>
    <t>Twofold Bay</t>
  </si>
  <si>
    <t>TWE</t>
  </si>
  <si>
    <t>Tweed Heads</t>
  </si>
  <si>
    <t>TWG</t>
  </si>
  <si>
    <t>Trewilga</t>
  </si>
  <si>
    <t>TWH</t>
  </si>
  <si>
    <t>Tweed River</t>
  </si>
  <si>
    <t>TWH01</t>
  </si>
  <si>
    <t>Tweed River-Fingal Head Boat Hbr</t>
  </si>
  <si>
    <t>TWH02</t>
  </si>
  <si>
    <t>Tweed River-Terranora Creek</t>
  </si>
  <si>
    <t>TWH03</t>
  </si>
  <si>
    <t>Tweed River-Barneys Pt Bridge</t>
  </si>
  <si>
    <t>TWH04</t>
  </si>
  <si>
    <t>Tweed River-Condong</t>
  </si>
  <si>
    <t>TWL</t>
  </si>
  <si>
    <t>Towealgra</t>
  </si>
  <si>
    <t>TWN</t>
  </si>
  <si>
    <t>Turrawan</t>
  </si>
  <si>
    <t>TWR</t>
  </si>
  <si>
    <t>Towradgi</t>
  </si>
  <si>
    <t>TWY</t>
  </si>
  <si>
    <t>Tamworth Yard</t>
  </si>
  <si>
    <t>TYC</t>
  </si>
  <si>
    <t>Tycannah</t>
  </si>
  <si>
    <t>TYK</t>
  </si>
  <si>
    <t>Tycannah Creek</t>
  </si>
  <si>
    <t>TYR</t>
  </si>
  <si>
    <t>Tyagarah</t>
  </si>
  <si>
    <t>TZO</t>
  </si>
  <si>
    <t>Taronga Zoo</t>
  </si>
  <si>
    <t>UAR</t>
  </si>
  <si>
    <t>Uardry</t>
  </si>
  <si>
    <t>UBC</t>
  </si>
  <si>
    <t>Umbango Creek</t>
  </si>
  <si>
    <t>UGG</t>
  </si>
  <si>
    <t>Uranagong</t>
  </si>
  <si>
    <t>UGR</t>
  </si>
  <si>
    <t>Upper Georges River</t>
  </si>
  <si>
    <t>UGX</t>
  </si>
  <si>
    <t>Ungarie Jct</t>
  </si>
  <si>
    <t>ULA</t>
  </si>
  <si>
    <t>Ulinda</t>
  </si>
  <si>
    <t>ULD</t>
  </si>
  <si>
    <t>Ulladulla</t>
  </si>
  <si>
    <t>ULG</t>
  </si>
  <si>
    <t>Ulong</t>
  </si>
  <si>
    <t>ULM</t>
  </si>
  <si>
    <t>Ulamambri</t>
  </si>
  <si>
    <t>ULN</t>
  </si>
  <si>
    <t>Ulan</t>
  </si>
  <si>
    <t>ULS</t>
  </si>
  <si>
    <t>Ultimo</t>
  </si>
  <si>
    <t>UMA</t>
  </si>
  <si>
    <t>Ulmarra</t>
  </si>
  <si>
    <t>UNA</t>
  </si>
  <si>
    <t>Urana</t>
  </si>
  <si>
    <t>UND</t>
  </si>
  <si>
    <t>Unanderra</t>
  </si>
  <si>
    <t>UND01</t>
  </si>
  <si>
    <t>Data Ctr,Lathe Pl,Unanderra</t>
  </si>
  <si>
    <t>UND02</t>
  </si>
  <si>
    <t>Unanderra Heavy Vehicle Inspection Stn</t>
  </si>
  <si>
    <t>UNG</t>
  </si>
  <si>
    <t>Ungarie</t>
  </si>
  <si>
    <t>UNH</t>
  </si>
  <si>
    <t>UNSW High Street</t>
  </si>
  <si>
    <t>UNJ</t>
  </si>
  <si>
    <t>Unanderra North Jct</t>
  </si>
  <si>
    <t>UNX</t>
  </si>
  <si>
    <t>Unanderra Jct</t>
  </si>
  <si>
    <t>UNZ</t>
  </si>
  <si>
    <t>UNSW ANZAC Parade</t>
  </si>
  <si>
    <t>UPB</t>
  </si>
  <si>
    <t>Upper Burringbah</t>
  </si>
  <si>
    <t>UPM</t>
  </si>
  <si>
    <t>Upper Manilla</t>
  </si>
  <si>
    <t>URA</t>
  </si>
  <si>
    <t>Urunga</t>
  </si>
  <si>
    <t>URG</t>
  </si>
  <si>
    <t>Urangeline East</t>
  </si>
  <si>
    <t>URL</t>
  </si>
  <si>
    <t>Uralla</t>
  </si>
  <si>
    <t>URQ</t>
  </si>
  <si>
    <t>Uranquinty</t>
  </si>
  <si>
    <t>URX</t>
  </si>
  <si>
    <t>Uranquinty Jct</t>
  </si>
  <si>
    <t>URY</t>
  </si>
  <si>
    <t>Uranquinty Yard</t>
  </si>
  <si>
    <t>USS</t>
  </si>
  <si>
    <t>Undercliffe</t>
  </si>
  <si>
    <t>VAL</t>
  </si>
  <si>
    <t>Valla</t>
  </si>
  <si>
    <t>VAU</t>
  </si>
  <si>
    <t>Vaucluse</t>
  </si>
  <si>
    <t>VCU</t>
  </si>
  <si>
    <t>Vales Point Colliery</t>
  </si>
  <si>
    <t>VHL</t>
  </si>
  <si>
    <t>Valley Heights Yard</t>
  </si>
  <si>
    <t>VHT</t>
  </si>
  <si>
    <t>Valley Heights</t>
  </si>
  <si>
    <t>Victoria Cross</t>
  </si>
  <si>
    <t>VIC01</t>
  </si>
  <si>
    <t>Victoria Cross Traction SS</t>
  </si>
  <si>
    <t>VLW</t>
  </si>
  <si>
    <t>Villawood</t>
  </si>
  <si>
    <t>VNY</t>
  </si>
  <si>
    <t>Vineyard</t>
  </si>
  <si>
    <t>VNY01</t>
  </si>
  <si>
    <t>Vineyard Traction SS</t>
  </si>
  <si>
    <t>VPB</t>
  </si>
  <si>
    <t>Vales Point</t>
  </si>
  <si>
    <t>VPJ</t>
  </si>
  <si>
    <t>Vales Point Jct</t>
  </si>
  <si>
    <t>VST</t>
  </si>
  <si>
    <t>Victoria Street</t>
  </si>
  <si>
    <t>VUL</t>
  </si>
  <si>
    <t>Vulcan</t>
  </si>
  <si>
    <t>WAC</t>
  </si>
  <si>
    <t>Warnercliffe</t>
  </si>
  <si>
    <t>WAD</t>
  </si>
  <si>
    <t>Wirradgurie</t>
  </si>
  <si>
    <t>WAE</t>
  </si>
  <si>
    <t>Warrungen</t>
  </si>
  <si>
    <t>WAG</t>
  </si>
  <si>
    <t>Wargin</t>
  </si>
  <si>
    <t>WAH</t>
  </si>
  <si>
    <t>Wahroonga</t>
  </si>
  <si>
    <t>WAH01</t>
  </si>
  <si>
    <t>Wahroonga M1 Incident Response Unit</t>
  </si>
  <si>
    <t>WAI</t>
  </si>
  <si>
    <t>Waitara</t>
  </si>
  <si>
    <t>WAK</t>
  </si>
  <si>
    <t>Watermark</t>
  </si>
  <si>
    <t>WAL</t>
  </si>
  <si>
    <t>Wyalong</t>
  </si>
  <si>
    <t>WAM</t>
  </si>
  <si>
    <t>Wambidgee</t>
  </si>
  <si>
    <t>WAR</t>
  </si>
  <si>
    <t>Warragai Creek</t>
  </si>
  <si>
    <t>WAS</t>
  </si>
  <si>
    <t>Warren South</t>
  </si>
  <si>
    <t>WAU</t>
  </si>
  <si>
    <t>Waugoola</t>
  </si>
  <si>
    <t>WAV</t>
  </si>
  <si>
    <t>Waverton</t>
  </si>
  <si>
    <t>WAV01</t>
  </si>
  <si>
    <t>Waverton Traction SS</t>
  </si>
  <si>
    <t>WAW</t>
  </si>
  <si>
    <t>Wait A While</t>
  </si>
  <si>
    <t>WAY</t>
  </si>
  <si>
    <t>Wirrinya Yard</t>
  </si>
  <si>
    <t>WBA</t>
  </si>
  <si>
    <t>Wombiana</t>
  </si>
  <si>
    <t>WBE</t>
  </si>
  <si>
    <t>Wimborne</t>
  </si>
  <si>
    <t>WBK</t>
  </si>
  <si>
    <t>Woolbrook</t>
  </si>
  <si>
    <t>WBL</t>
  </si>
  <si>
    <t>Wambool</t>
  </si>
  <si>
    <t>WBM</t>
  </si>
  <si>
    <t>Wumbulgal</t>
  </si>
  <si>
    <t>WBN</t>
  </si>
  <si>
    <t>Wallendbeen</t>
  </si>
  <si>
    <t>WBR</t>
  </si>
  <si>
    <t>Wombarra</t>
  </si>
  <si>
    <t>WBR01</t>
  </si>
  <si>
    <t>Wombarra Traction SH</t>
  </si>
  <si>
    <t>WBS</t>
  </si>
  <si>
    <t>Webbs</t>
  </si>
  <si>
    <t>WBX</t>
  </si>
  <si>
    <t>Warburn</t>
  </si>
  <si>
    <t>WBY</t>
  </si>
  <si>
    <t>White Bay</t>
  </si>
  <si>
    <t>WBY01</t>
  </si>
  <si>
    <t>White Bay Traction SS</t>
  </si>
  <si>
    <t>WCI</t>
  </si>
  <si>
    <t>Wolli Creek</t>
  </si>
  <si>
    <t>WCI01</t>
  </si>
  <si>
    <t>Wolli Creek Traction SH</t>
  </si>
  <si>
    <t>WCI02</t>
  </si>
  <si>
    <t>Undercliffe Traction SS</t>
  </si>
  <si>
    <t>WCI03</t>
  </si>
  <si>
    <t>Wolli Creek Station SS</t>
  </si>
  <si>
    <t>WCJ</t>
  </si>
  <si>
    <t>Wolli Creek Jct</t>
  </si>
  <si>
    <t>WCJ01</t>
  </si>
  <si>
    <t>Wolli Creek Jct Traction SS</t>
  </si>
  <si>
    <t>WCK</t>
  </si>
  <si>
    <t>Werris Creek</t>
  </si>
  <si>
    <t>WCN</t>
  </si>
  <si>
    <t>Westmead Childrens Hospital</t>
  </si>
  <si>
    <t>WCX</t>
  </si>
  <si>
    <t>Wallerawang Jct</t>
  </si>
  <si>
    <t>WCY</t>
  </si>
  <si>
    <t>Werris Creek Yard</t>
  </si>
  <si>
    <t>WDA</t>
  </si>
  <si>
    <t>Warialda</t>
  </si>
  <si>
    <t>WDB</t>
  </si>
  <si>
    <t>Wondabyne</t>
  </si>
  <si>
    <t>WDB01</t>
  </si>
  <si>
    <t>Wondabyne Traction SH</t>
  </si>
  <si>
    <t>WDE</t>
  </si>
  <si>
    <t>Windella</t>
  </si>
  <si>
    <t>WDF</t>
  </si>
  <si>
    <t>Woodford</t>
  </si>
  <si>
    <t>WDN</t>
  </si>
  <si>
    <t>Woodlawn</t>
  </si>
  <si>
    <t>WDR</t>
  </si>
  <si>
    <t>Wards River</t>
  </si>
  <si>
    <t>WDU</t>
  </si>
  <si>
    <t>Woodburn</t>
  </si>
  <si>
    <t>WDW</t>
  </si>
  <si>
    <t>Windowie</t>
  </si>
  <si>
    <t>WDX</t>
  </si>
  <si>
    <t>West Wyalong Jct</t>
  </si>
  <si>
    <t>WDY</t>
  </si>
  <si>
    <t>Wollongong Down Yard</t>
  </si>
  <si>
    <t>WEA</t>
  </si>
  <si>
    <t>Weethalle</t>
  </si>
  <si>
    <t>WED</t>
  </si>
  <si>
    <t>Weedallion</t>
  </si>
  <si>
    <t>WEF</t>
  </si>
  <si>
    <t>Werrington Downs</t>
  </si>
  <si>
    <t>WEG</t>
  </si>
  <si>
    <t>Wirega</t>
  </si>
  <si>
    <t>WEH</t>
  </si>
  <si>
    <t>Wentworth Point</t>
  </si>
  <si>
    <t>WEI</t>
  </si>
  <si>
    <t>Weismantels</t>
  </si>
  <si>
    <t>WEJ</t>
  </si>
  <si>
    <t>Weja</t>
  </si>
  <si>
    <t>WEM</t>
  </si>
  <si>
    <t>Weeamera</t>
  </si>
  <si>
    <t>WEP</t>
  </si>
  <si>
    <t>Wentworth Park</t>
  </si>
  <si>
    <t>WER</t>
  </si>
  <si>
    <t>Wargambegal</t>
  </si>
  <si>
    <t>WET</t>
  </si>
  <si>
    <t>Westby</t>
  </si>
  <si>
    <t>WFA</t>
  </si>
  <si>
    <t>Waterfall Down Yard</t>
  </si>
  <si>
    <t>WFL</t>
  </si>
  <si>
    <t>Waterfall</t>
  </si>
  <si>
    <t>WFL01</t>
  </si>
  <si>
    <t>Waterfall Traction SH</t>
  </si>
  <si>
    <t>WFL02</t>
  </si>
  <si>
    <t>Cawley Traction SS</t>
  </si>
  <si>
    <t>WFO</t>
  </si>
  <si>
    <t>Wharf Road</t>
  </si>
  <si>
    <t>WFS</t>
  </si>
  <si>
    <t>Wentworth Falls</t>
  </si>
  <si>
    <t>WFS01</t>
  </si>
  <si>
    <t>Wentworth Falls Traction SH</t>
  </si>
  <si>
    <t>WFW</t>
  </si>
  <si>
    <t>Waterfall Up Yard</t>
  </si>
  <si>
    <t>WFX</t>
  </si>
  <si>
    <t>Wagga Wagga Jct</t>
  </si>
  <si>
    <t>WGA</t>
  </si>
  <si>
    <t>Wagga Wagga</t>
  </si>
  <si>
    <t>WGA01</t>
  </si>
  <si>
    <t>Office 1 Simmons St,Wagga Wagga</t>
  </si>
  <si>
    <t>WGA02</t>
  </si>
  <si>
    <t>Lab 4 Cheshire St,Wagga Wagga</t>
  </si>
  <si>
    <t>WGA03</t>
  </si>
  <si>
    <t>Wagga Wagga RMS (Sth West) Region Office</t>
  </si>
  <si>
    <t>WGC</t>
  </si>
  <si>
    <t>Wallerawang Colliery</t>
  </si>
  <si>
    <t>WGD</t>
  </si>
  <si>
    <t>West Gosford</t>
  </si>
  <si>
    <t>WGD01</t>
  </si>
  <si>
    <t>Office 6-7 Dell Rd,West Gosford</t>
  </si>
  <si>
    <t>WGG</t>
  </si>
  <si>
    <t>Wagga Wagga Yard</t>
  </si>
  <si>
    <t>WGH</t>
  </si>
  <si>
    <t>Willoughby</t>
  </si>
  <si>
    <t>WGH01</t>
  </si>
  <si>
    <t>Willoughby Bus Depot</t>
  </si>
  <si>
    <t>WGI</t>
  </si>
  <si>
    <t>Wongoni</t>
  </si>
  <si>
    <t>WGJ</t>
  </si>
  <si>
    <t>Weenga</t>
  </si>
  <si>
    <t>WGK</t>
  </si>
  <si>
    <t>Wallaga Lake</t>
  </si>
  <si>
    <t>WGL</t>
  </si>
  <si>
    <t>Widgelli</t>
  </si>
  <si>
    <t>WGM</t>
  </si>
  <si>
    <t>Wingham</t>
  </si>
  <si>
    <t>WGN</t>
  </si>
  <si>
    <t>Wingen</t>
  </si>
  <si>
    <t>WGO</t>
  </si>
  <si>
    <t>Wingello</t>
  </si>
  <si>
    <t>WGP</t>
  </si>
  <si>
    <t>Wallagoot Lake</t>
  </si>
  <si>
    <t>WGW</t>
  </si>
  <si>
    <t>Wongawilli Colliery</t>
  </si>
  <si>
    <t>WGX</t>
  </si>
  <si>
    <t>Wangi Wangi</t>
  </si>
  <si>
    <t>WHB</t>
  </si>
  <si>
    <t>Whitebridge</t>
  </si>
  <si>
    <t>WHC</t>
  </si>
  <si>
    <t>Whitehaven Colliery</t>
  </si>
  <si>
    <t>WHM</t>
  </si>
  <si>
    <t>Whittingham</t>
  </si>
  <si>
    <t>WHP</t>
  </si>
  <si>
    <t>Whiporie</t>
  </si>
  <si>
    <t>WHX</t>
  </si>
  <si>
    <t>Woody Head</t>
  </si>
  <si>
    <t>WHZ</t>
  </si>
  <si>
    <t>Walsh Bay</t>
  </si>
  <si>
    <t>WHZ01</t>
  </si>
  <si>
    <t>Walsh Bay-Lot 11 Hickson Rd</t>
  </si>
  <si>
    <t>WHZ02</t>
  </si>
  <si>
    <t>Walsh Bay-Lot 3 Hickson Rd</t>
  </si>
  <si>
    <t>WHZ03</t>
  </si>
  <si>
    <t>Walsh Bay-Pier 1 Hickson Rd</t>
  </si>
  <si>
    <t>WHZ04</t>
  </si>
  <si>
    <t>Walsh Bay-Piers 4/5, Hickson Rd</t>
  </si>
  <si>
    <t>WIA</t>
  </si>
  <si>
    <t>Wiangaree</t>
  </si>
  <si>
    <t>WID</t>
  </si>
  <si>
    <t>Widgiewa</t>
  </si>
  <si>
    <t>WIE</t>
  </si>
  <si>
    <t>Willbriggie</t>
  </si>
  <si>
    <t>WIG</t>
  </si>
  <si>
    <t>Warrigal</t>
  </si>
  <si>
    <t>WIK</t>
  </si>
  <si>
    <t>Wickham Yard</t>
  </si>
  <si>
    <t>WIK01</t>
  </si>
  <si>
    <t>Wickham Maint Depot (Wickham Yd)</t>
  </si>
  <si>
    <t>WIK02</t>
  </si>
  <si>
    <t>NLR Operations Control Centre</t>
  </si>
  <si>
    <t>WIK03</t>
  </si>
  <si>
    <t>Newcastle Interchange Traction SS</t>
  </si>
  <si>
    <t>WIL</t>
  </si>
  <si>
    <t>Wilton</t>
  </si>
  <si>
    <t>WIM</t>
  </si>
  <si>
    <t>Wimbledon</t>
  </si>
  <si>
    <t>WIN</t>
  </si>
  <si>
    <t>Windsor</t>
  </si>
  <si>
    <t>WIP</t>
  </si>
  <si>
    <t>Willie Ploma</t>
  </si>
  <si>
    <t>WIR</t>
  </si>
  <si>
    <t>Wirragulla</t>
  </si>
  <si>
    <t>WIT</t>
  </si>
  <si>
    <t>Whitton</t>
  </si>
  <si>
    <t>WIV</t>
  </si>
  <si>
    <t>Wallis Lake</t>
  </si>
  <si>
    <t>WIX</t>
  </si>
  <si>
    <t>Wagonga Inlet</t>
  </si>
  <si>
    <t>WIY</t>
  </si>
  <si>
    <t>Wirrinya Wheat</t>
  </si>
  <si>
    <t>WJA</t>
  </si>
  <si>
    <t>Wagonga River</t>
  </si>
  <si>
    <t>WJH</t>
  </si>
  <si>
    <t>Wollongong Harbour</t>
  </si>
  <si>
    <t>WJN</t>
  </si>
  <si>
    <t>Woodville Jct</t>
  </si>
  <si>
    <t>WJY</t>
  </si>
  <si>
    <t>Woodville Yard</t>
  </si>
  <si>
    <t>WKE</t>
  </si>
  <si>
    <t>West Kempsey</t>
  </si>
  <si>
    <t>WKF</t>
  </si>
  <si>
    <t>Warwick Farm</t>
  </si>
  <si>
    <t>WKF01</t>
  </si>
  <si>
    <t>Warwick Farm Traction SS</t>
  </si>
  <si>
    <t>Wickham</t>
  </si>
  <si>
    <t>WKV</t>
  </si>
  <si>
    <t>Wakool River</t>
  </si>
  <si>
    <t>WLA</t>
  </si>
  <si>
    <t>Walla Walla</t>
  </si>
  <si>
    <t>WLB</t>
  </si>
  <si>
    <t>Wallarobba</t>
  </si>
  <si>
    <t>WLE</t>
  </si>
  <si>
    <t>Westville</t>
  </si>
  <si>
    <t>WLG</t>
  </si>
  <si>
    <t>Wallangarra</t>
  </si>
  <si>
    <t>WLH</t>
  </si>
  <si>
    <t>Woollahra</t>
  </si>
  <si>
    <t>WLL</t>
  </si>
  <si>
    <t>Wollar</t>
  </si>
  <si>
    <t>WLM</t>
  </si>
  <si>
    <t>Walmer</t>
  </si>
  <si>
    <t>WLN</t>
  </si>
  <si>
    <t>Wollun</t>
  </si>
  <si>
    <t>WLO</t>
  </si>
  <si>
    <t>Waterloo</t>
  </si>
  <si>
    <t>WLO01</t>
  </si>
  <si>
    <t>Waterloo Traction SS</t>
  </si>
  <si>
    <t>WLR</t>
  </si>
  <si>
    <t>Walcha Road</t>
  </si>
  <si>
    <t>WLS</t>
  </si>
  <si>
    <t>Wollstonecraft</t>
  </si>
  <si>
    <t>WLT</t>
  </si>
  <si>
    <t>Walgett</t>
  </si>
  <si>
    <t>WLW</t>
  </si>
  <si>
    <t>Woolooware</t>
  </si>
  <si>
    <t>WLX</t>
  </si>
  <si>
    <t>Wooroowoolgan</t>
  </si>
  <si>
    <t>WLY</t>
  </si>
  <si>
    <t>Wiley Park</t>
  </si>
  <si>
    <t>WLZ</t>
  </si>
  <si>
    <t>Wallamba River</t>
  </si>
  <si>
    <t>WMD</t>
  </si>
  <si>
    <t>Westmead</t>
  </si>
  <si>
    <t>WMD01</t>
  </si>
  <si>
    <t>Westmead Traction SS</t>
  </si>
  <si>
    <t>WMD02</t>
  </si>
  <si>
    <t>WMH</t>
  </si>
  <si>
    <t>Westmead Hospital</t>
  </si>
  <si>
    <t>WMK</t>
  </si>
  <si>
    <t>Wollumboola Lake</t>
  </si>
  <si>
    <t>WML</t>
  </si>
  <si>
    <t>Weemelah</t>
  </si>
  <si>
    <t>WMM</t>
  </si>
  <si>
    <t>Waratah Mills</t>
  </si>
  <si>
    <t>WMN</t>
  </si>
  <si>
    <t>Weeraman</t>
  </si>
  <si>
    <t>WMS</t>
  </si>
  <si>
    <t>Williamsdale</t>
  </si>
  <si>
    <t>WMV</t>
  </si>
  <si>
    <t>Williams River</t>
  </si>
  <si>
    <t>WMY</t>
  </si>
  <si>
    <t>West Tamworth Yard</t>
  </si>
  <si>
    <t>WNA</t>
  </si>
  <si>
    <t>Wyanga</t>
  </si>
  <si>
    <t>WND</t>
  </si>
  <si>
    <t>Wellington Yard</t>
  </si>
  <si>
    <t>WNE</t>
  </si>
  <si>
    <t>Wallsend</t>
  </si>
  <si>
    <t>WNG</t>
  </si>
  <si>
    <t>Wallerawang</t>
  </si>
  <si>
    <t>WNG01</t>
  </si>
  <si>
    <t>Wallerawang System SS</t>
  </si>
  <si>
    <t>WNR</t>
  </si>
  <si>
    <t>Wansey Road</t>
  </si>
  <si>
    <t>WNR01</t>
  </si>
  <si>
    <t>Alison Road Traction SS</t>
  </si>
  <si>
    <t>WNU</t>
  </si>
  <si>
    <t>Winnunga</t>
  </si>
  <si>
    <t>WNX</t>
  </si>
  <si>
    <t>Wynyard Jct</t>
  </si>
  <si>
    <t>WNY</t>
  </si>
  <si>
    <t>Warren Yard</t>
  </si>
  <si>
    <t>WOC</t>
  </si>
  <si>
    <t>Woronora River</t>
  </si>
  <si>
    <t>WOG</t>
  </si>
  <si>
    <t>Warrangong</t>
  </si>
  <si>
    <t>WOJ</t>
  </si>
  <si>
    <t>Woolgoolga</t>
  </si>
  <si>
    <t>WOL</t>
  </si>
  <si>
    <t>Wollongong</t>
  </si>
  <si>
    <t>WOL01</t>
  </si>
  <si>
    <t>Wollongong RMS (Southern) Region Office</t>
  </si>
  <si>
    <t>WOL0104</t>
  </si>
  <si>
    <t>Office 90 Crown St,L4,Wollongong</t>
  </si>
  <si>
    <t>WOL0105</t>
  </si>
  <si>
    <t>Office 90 Crown St,L5,Wollongong</t>
  </si>
  <si>
    <t>WOL0106</t>
  </si>
  <si>
    <t>Office 90 Crown St,L6,Wollongong</t>
  </si>
  <si>
    <t>WOL02</t>
  </si>
  <si>
    <t>Wollongong Control Centre/Computer Room</t>
  </si>
  <si>
    <t>WOL03</t>
  </si>
  <si>
    <t>Wollongong Maintenance (Major Works) Dpt</t>
  </si>
  <si>
    <t>WOL04</t>
  </si>
  <si>
    <t>Wollongong NSW Trains Admin Building</t>
  </si>
  <si>
    <t>WOL05</t>
  </si>
  <si>
    <t>Wollongong TfNSW Regional Office</t>
  </si>
  <si>
    <t>WOM</t>
  </si>
  <si>
    <t>Woolloomooloo</t>
  </si>
  <si>
    <t>WON</t>
  </si>
  <si>
    <t>Wongarbon</t>
  </si>
  <si>
    <t>WOO</t>
  </si>
  <si>
    <t>Woonona</t>
  </si>
  <si>
    <t>WOP</t>
  </si>
  <si>
    <t>Wonboyn River</t>
  </si>
  <si>
    <t>WOT</t>
  </si>
  <si>
    <t>Woolenget</t>
  </si>
  <si>
    <t>WOU</t>
  </si>
  <si>
    <t>Wolumla</t>
  </si>
  <si>
    <t>WOW</t>
  </si>
  <si>
    <t>Woolgoolga Lake</t>
  </si>
  <si>
    <t>WOY</t>
  </si>
  <si>
    <t>Woy Woy</t>
  </si>
  <si>
    <t>WOY01</t>
  </si>
  <si>
    <t>Woy Woy Traction SS</t>
  </si>
  <si>
    <t>WPH</t>
  </si>
  <si>
    <t>Woodpark</t>
  </si>
  <si>
    <t>WPL</t>
  </si>
  <si>
    <t>West Pennant Hills</t>
  </si>
  <si>
    <t>WPL01</t>
  </si>
  <si>
    <t>West Pennant Hills NthConnex Proj Office</t>
  </si>
  <si>
    <t>WPM</t>
  </si>
  <si>
    <t>Warringah Mall</t>
  </si>
  <si>
    <t>WPP</t>
  </si>
  <si>
    <t>Wappinguy</t>
  </si>
  <si>
    <t>WPY</t>
  </si>
  <si>
    <t>Wauchope Yard</t>
  </si>
  <si>
    <t>WQC</t>
  </si>
  <si>
    <t>Woodcroft</t>
  </si>
  <si>
    <t>WRA</t>
  </si>
  <si>
    <t>Wahratta</t>
  </si>
  <si>
    <t>WRB</t>
  </si>
  <si>
    <t>Wereboldera</t>
  </si>
  <si>
    <t>WRC</t>
  </si>
  <si>
    <t>Warrell Creek</t>
  </si>
  <si>
    <t>WRD</t>
  </si>
  <si>
    <t>West Ryde</t>
  </si>
  <si>
    <t>WRD01</t>
  </si>
  <si>
    <t>West Ryde Traction SS</t>
  </si>
  <si>
    <t>WRE</t>
  </si>
  <si>
    <t>Warnervale</t>
  </si>
  <si>
    <t>WRE01</t>
  </si>
  <si>
    <t>Warnervale Traction SH</t>
  </si>
  <si>
    <t>WRE02</t>
  </si>
  <si>
    <t>Wallarah Creek Traction SS</t>
  </si>
  <si>
    <t>WRG</t>
  </si>
  <si>
    <t>Werrington</t>
  </si>
  <si>
    <t>WRI</t>
  </si>
  <si>
    <t>Werai</t>
  </si>
  <si>
    <t>WRK</t>
  </si>
  <si>
    <t>Warabrook</t>
  </si>
  <si>
    <t>WRL</t>
  </si>
  <si>
    <t>Warrobil</t>
  </si>
  <si>
    <t>WRM</t>
  </si>
  <si>
    <t>Warrimoo</t>
  </si>
  <si>
    <t>WRM01</t>
  </si>
  <si>
    <t>Warrimoo Traction SH</t>
  </si>
  <si>
    <t>WRN</t>
  </si>
  <si>
    <t>Warren</t>
  </si>
  <si>
    <t>WRR</t>
  </si>
  <si>
    <t>Warral</t>
  </si>
  <si>
    <t>WRU</t>
  </si>
  <si>
    <t>Warrigundi</t>
  </si>
  <si>
    <t>WRW</t>
  </si>
  <si>
    <t>Warrawee</t>
  </si>
  <si>
    <t>WRW01</t>
  </si>
  <si>
    <t>Warrawee Traction SS</t>
  </si>
  <si>
    <t>WRY</t>
  </si>
  <si>
    <t>Wirrinya</t>
  </si>
  <si>
    <t>WSD</t>
  </si>
  <si>
    <t>Westdale</t>
  </si>
  <si>
    <t>WSH</t>
  </si>
  <si>
    <t>Walsh Point</t>
  </si>
  <si>
    <t>WSK</t>
  </si>
  <si>
    <t>Woodstock</t>
  </si>
  <si>
    <t>WSL</t>
  </si>
  <si>
    <t>Woodhouselee</t>
  </si>
  <si>
    <t>WSM</t>
  </si>
  <si>
    <t>West Maitland</t>
  </si>
  <si>
    <t>WSN</t>
  </si>
  <si>
    <t>Weston</t>
  </si>
  <si>
    <t>WSS</t>
  </si>
  <si>
    <t>Wells Street</t>
  </si>
  <si>
    <t>WST</t>
  </si>
  <si>
    <t>Winston Hills</t>
  </si>
  <si>
    <t>WSW</t>
  </si>
  <si>
    <t>West Wallsend</t>
  </si>
  <si>
    <t>WSX</t>
  </si>
  <si>
    <t>Werris Creek Jct</t>
  </si>
  <si>
    <t>WSY</t>
  </si>
  <si>
    <t>Walsh Point Yard</t>
  </si>
  <si>
    <t>WTA</t>
  </si>
  <si>
    <t>West Tamworth</t>
  </si>
  <si>
    <t>WTE</t>
  </si>
  <si>
    <t>Willow Tree</t>
  </si>
  <si>
    <t>WTH</t>
  </si>
  <si>
    <t>Waratah</t>
  </si>
  <si>
    <t>WTJ</t>
  </si>
  <si>
    <t>Waterloo Creek</t>
  </si>
  <si>
    <t>WTK</t>
  </si>
  <si>
    <t>Wilga</t>
  </si>
  <si>
    <t>WTL</t>
  </si>
  <si>
    <t>Weetaliba</t>
  </si>
  <si>
    <t>WTM</t>
  </si>
  <si>
    <t>Wattamondara</t>
  </si>
  <si>
    <t>WTN</t>
  </si>
  <si>
    <t>Wellington</t>
  </si>
  <si>
    <t>WTP</t>
  </si>
  <si>
    <t>Wetherill Park</t>
  </si>
  <si>
    <t>WTP01</t>
  </si>
  <si>
    <t>Wetherill Park Heavy Vehicle Inspect Stn</t>
  </si>
  <si>
    <t>WTY</t>
  </si>
  <si>
    <t>Watsons Bay</t>
  </si>
  <si>
    <t>WUB</t>
  </si>
  <si>
    <t>Wubbera</t>
  </si>
  <si>
    <t>WUC</t>
  </si>
  <si>
    <t>Wauchope</t>
  </si>
  <si>
    <t>WUJ</t>
  </si>
  <si>
    <t>Wambo Colliery Jct</t>
  </si>
  <si>
    <t>WUL</t>
  </si>
  <si>
    <t>Wambo</t>
  </si>
  <si>
    <t>WUR</t>
  </si>
  <si>
    <t>Wunnamurra</t>
  </si>
  <si>
    <t>WUY</t>
  </si>
  <si>
    <t>Wollongong Up Yard</t>
  </si>
  <si>
    <t>WVL</t>
  </si>
  <si>
    <t>Wentworthville</t>
  </si>
  <si>
    <t>WVW</t>
  </si>
  <si>
    <t>Woodview</t>
  </si>
  <si>
    <t>WWA</t>
  </si>
  <si>
    <t>Wee Waa</t>
  </si>
  <si>
    <t>WWH</t>
  </si>
  <si>
    <t>Wee Elwah</t>
  </si>
  <si>
    <t>WWJ</t>
  </si>
  <si>
    <t>Wongawilli Colliery Jct</t>
  </si>
  <si>
    <t>WWU</t>
  </si>
  <si>
    <t>Wooli Wooli River</t>
  </si>
  <si>
    <t>WWV</t>
  </si>
  <si>
    <t>Waverley</t>
  </si>
  <si>
    <t>WWW</t>
  </si>
  <si>
    <t>Woolwich</t>
  </si>
  <si>
    <t>WWY</t>
  </si>
  <si>
    <t>West Wyalong</t>
  </si>
  <si>
    <t>WYE</t>
  </si>
  <si>
    <t>Wyee</t>
  </si>
  <si>
    <t>WYE01</t>
  </si>
  <si>
    <t>Wyee Traction SS</t>
  </si>
  <si>
    <t>WYE02</t>
  </si>
  <si>
    <t>Spring Creek Traction SH</t>
  </si>
  <si>
    <t>WYG</t>
  </si>
  <si>
    <t>Wyong</t>
  </si>
  <si>
    <t>WYG01</t>
  </si>
  <si>
    <t>Wyong Traction SS</t>
  </si>
  <si>
    <t>WYL</t>
  </si>
  <si>
    <t>Wybalena</t>
  </si>
  <si>
    <t>WYN</t>
  </si>
  <si>
    <t>Wynyard</t>
  </si>
  <si>
    <t>WYN01</t>
  </si>
  <si>
    <t>Argyle Traction SS</t>
  </si>
  <si>
    <t>WYN02</t>
  </si>
  <si>
    <t>Wynyard Station SS No1</t>
  </si>
  <si>
    <t>WYN03</t>
  </si>
  <si>
    <t>Wynyard Station SS No2</t>
  </si>
  <si>
    <t>WYN04</t>
  </si>
  <si>
    <t>Transport House SS</t>
  </si>
  <si>
    <t>WYO</t>
  </si>
  <si>
    <t>Wyoming</t>
  </si>
  <si>
    <t>WYO01</t>
  </si>
  <si>
    <t>Wyoming Traction SH</t>
  </si>
  <si>
    <t>WYU</t>
  </si>
  <si>
    <t>Wyangala Dam</t>
  </si>
  <si>
    <t>WYV</t>
  </si>
  <si>
    <t>Wonboyn</t>
  </si>
  <si>
    <t>YAB</t>
  </si>
  <si>
    <t>Yagobie</t>
  </si>
  <si>
    <t>YAF</t>
  </si>
  <si>
    <t>Yarraford</t>
  </si>
  <si>
    <t>YAG</t>
  </si>
  <si>
    <t>Yagoona</t>
  </si>
  <si>
    <t>YAG01</t>
  </si>
  <si>
    <t>Yagoona Traction SS</t>
  </si>
  <si>
    <t>YAI</t>
  </si>
  <si>
    <t>Yarrabandai</t>
  </si>
  <si>
    <t>YAN</t>
  </si>
  <si>
    <t>Yanco</t>
  </si>
  <si>
    <t>YAR</t>
  </si>
  <si>
    <t>Yarrahappini</t>
  </si>
  <si>
    <t>YAS</t>
  </si>
  <si>
    <t>Yass Town</t>
  </si>
  <si>
    <t>YAW</t>
  </si>
  <si>
    <t>Yarrawa</t>
  </si>
  <si>
    <t>YBY</t>
  </si>
  <si>
    <t>Yarrabandai Yard</t>
  </si>
  <si>
    <t>YCK</t>
  </si>
  <si>
    <t>Yerong Creek</t>
  </si>
  <si>
    <t>YCX</t>
  </si>
  <si>
    <t>Yanco Jct</t>
  </si>
  <si>
    <t>YCY</t>
  </si>
  <si>
    <t>Yerong Creek Yard</t>
  </si>
  <si>
    <t>YDY</t>
  </si>
  <si>
    <t>Yenda Yard</t>
  </si>
  <si>
    <t>YEH</t>
  </si>
  <si>
    <t>Yetholme</t>
  </si>
  <si>
    <t>YEL</t>
  </si>
  <si>
    <t>Yelgun</t>
  </si>
  <si>
    <t>YEN</t>
  </si>
  <si>
    <t>Yenda</t>
  </si>
  <si>
    <t>YEO</t>
  </si>
  <si>
    <t>Yeo Yeo</t>
  </si>
  <si>
    <t>YET</t>
  </si>
  <si>
    <t>Yethera</t>
  </si>
  <si>
    <t>YGA</t>
  </si>
  <si>
    <t>Yongurra</t>
  </si>
  <si>
    <t>YGN</t>
  </si>
  <si>
    <t>Youngareen</t>
  </si>
  <si>
    <t>YID</t>
  </si>
  <si>
    <t>Yiddah</t>
  </si>
  <si>
    <t>YJN</t>
  </si>
  <si>
    <t>Yass Jct</t>
  </si>
  <si>
    <t>YLH</t>
  </si>
  <si>
    <t>Yallah</t>
  </si>
  <si>
    <t>YLK</t>
  </si>
  <si>
    <t>Merrylands Jct</t>
  </si>
  <si>
    <t>YLM</t>
  </si>
  <si>
    <t>Yuluma</t>
  </si>
  <si>
    <t>YMA</t>
  </si>
  <si>
    <t>Yamba</t>
  </si>
  <si>
    <t>YMA01</t>
  </si>
  <si>
    <t>Yamba-Collis Wall</t>
  </si>
  <si>
    <t>YMA02</t>
  </si>
  <si>
    <t>Yamba-Dart Is</t>
  </si>
  <si>
    <t>YMA03</t>
  </si>
  <si>
    <t>Yamba-Hickey Is</t>
  </si>
  <si>
    <t>YMA04</t>
  </si>
  <si>
    <t>Yamba-Middle Wall</t>
  </si>
  <si>
    <t>YMA05</t>
  </si>
  <si>
    <t>Yamba-Pelican Is</t>
  </si>
  <si>
    <t>YMB</t>
  </si>
  <si>
    <t>Yumbunga</t>
  </si>
  <si>
    <t>YNA</t>
  </si>
  <si>
    <t>Yanga Lake</t>
  </si>
  <si>
    <t>YND</t>
  </si>
  <si>
    <t>Yanderra</t>
  </si>
  <si>
    <t>YNG</t>
  </si>
  <si>
    <t>Young</t>
  </si>
  <si>
    <t>YNJ</t>
  </si>
  <si>
    <t>Yennora Yard Jct</t>
  </si>
  <si>
    <t>YNN</t>
  </si>
  <si>
    <t>Yennora</t>
  </si>
  <si>
    <t>YNN01</t>
  </si>
  <si>
    <t>Yennora Traction SS</t>
  </si>
  <si>
    <t>YNN02</t>
  </si>
  <si>
    <t>Yennora Works Centre</t>
  </si>
  <si>
    <t>YNR</t>
  </si>
  <si>
    <t>Yannergee</t>
  </si>
  <si>
    <t>YNY</t>
  </si>
  <si>
    <t>Yennora Yard</t>
  </si>
  <si>
    <t>YOG</t>
  </si>
  <si>
    <t>Yoogali</t>
  </si>
  <si>
    <t>YOY</t>
  </si>
  <si>
    <t>Yanco Yard</t>
  </si>
  <si>
    <t>YPD</t>
  </si>
  <si>
    <t>Yeerongpilly Yard</t>
  </si>
  <si>
    <t>YRA</t>
  </si>
  <si>
    <t>Yarra</t>
  </si>
  <si>
    <t>YRB</t>
  </si>
  <si>
    <t>Yerrinbool</t>
  </si>
  <si>
    <t>YRI</t>
  </si>
  <si>
    <t>Yarrie Lake</t>
  </si>
  <si>
    <t>YRN</t>
  </si>
  <si>
    <t>Yearinan</t>
  </si>
  <si>
    <t>YUL</t>
  </si>
  <si>
    <t>Yullundry</t>
  </si>
  <si>
    <t>YVL</t>
  </si>
  <si>
    <t>Yeoval</t>
  </si>
  <si>
    <t>YYD</t>
  </si>
  <si>
    <t>Young Yard</t>
  </si>
  <si>
    <t>ZET</t>
  </si>
  <si>
    <t>Zetland</t>
  </si>
  <si>
    <t>ZZG</t>
  </si>
  <si>
    <t>Zig Zag</t>
  </si>
  <si>
    <t>ZZG01</t>
  </si>
  <si>
    <t>Zig Zag Traction SH</t>
  </si>
  <si>
    <t>TRAF_AVAIL</t>
  </si>
  <si>
    <t>Temporary Lane Closure &lt;24 Hrs</t>
  </si>
  <si>
    <t>Temporary Lane Closure &lt;One Week</t>
  </si>
  <si>
    <t>Prolonged Lane Closure</t>
  </si>
  <si>
    <t>Temporary Road Closure &lt;24 Hrs</t>
  </si>
  <si>
    <t>Temporary Road Closure &lt;One Week</t>
  </si>
  <si>
    <t>Prolonged Road Closure</t>
  </si>
  <si>
    <t>Unaffected</t>
  </si>
  <si>
    <t>UNT_MSRMNT</t>
  </si>
  <si>
    <t>br</t>
  </si>
  <si>
    <t>bridges</t>
  </si>
  <si>
    <t>dr</t>
  </si>
  <si>
    <t>drains</t>
  </si>
  <si>
    <t>ea</t>
  </si>
  <si>
    <t>each</t>
  </si>
  <si>
    <t>el</t>
  </si>
  <si>
    <t>element</t>
  </si>
  <si>
    <t>gm</t>
  </si>
  <si>
    <t>gang moves</t>
  </si>
  <si>
    <t>item</t>
  </si>
  <si>
    <t>itm</t>
  </si>
  <si>
    <t>items</t>
  </si>
  <si>
    <t>jobs</t>
  </si>
  <si>
    <t>kk</t>
  </si>
  <si>
    <t>kerb kilometres</t>
  </si>
  <si>
    <t>km</t>
  </si>
  <si>
    <t>kilometre</t>
  </si>
  <si>
    <t>m</t>
  </si>
  <si>
    <t>metres</t>
  </si>
  <si>
    <t>m2</t>
  </si>
  <si>
    <t>square metres</t>
  </si>
  <si>
    <t>m3</t>
  </si>
  <si>
    <t>metre</t>
  </si>
  <si>
    <t>mth</t>
  </si>
  <si>
    <t>months</t>
  </si>
  <si>
    <t>ph</t>
  </si>
  <si>
    <t>person hours</t>
  </si>
  <si>
    <t>sp</t>
  </si>
  <si>
    <t>spans</t>
  </si>
  <si>
    <t>span</t>
  </si>
  <si>
    <t>structure</t>
  </si>
  <si>
    <t>ts</t>
  </si>
  <si>
    <t>timber bridge spans</t>
  </si>
  <si>
    <t>waterway</t>
  </si>
  <si>
    <t>ww</t>
  </si>
  <si>
    <t>waterways</t>
  </si>
  <si>
    <t>UTIL_OWNER</t>
  </si>
  <si>
    <t>COCL</t>
  </si>
  <si>
    <t>County Council</t>
  </si>
  <si>
    <t>ELCO</t>
  </si>
  <si>
    <t>Electricity Supply Companies</t>
  </si>
  <si>
    <t>GASC</t>
  </si>
  <si>
    <t>Gas Company</t>
  </si>
  <si>
    <t>HUWB</t>
  </si>
  <si>
    <t>Hunter Water Board</t>
  </si>
  <si>
    <t>LGAC</t>
  </si>
  <si>
    <t>LGA Council</t>
  </si>
  <si>
    <t>OPTU</t>
  </si>
  <si>
    <t>Optus</t>
  </si>
  <si>
    <t>Other Utility Owners, e.g. Private Owner</t>
  </si>
  <si>
    <t>RTA</t>
  </si>
  <si>
    <t>R.T.A.</t>
  </si>
  <si>
    <t>SYDW</t>
  </si>
  <si>
    <t>SYdney Water</t>
  </si>
  <si>
    <t>TELS</t>
  </si>
  <si>
    <t>Telstra</t>
  </si>
  <si>
    <t>TOLL</t>
  </si>
  <si>
    <t>Private Toll Road Company</t>
  </si>
  <si>
    <t>UTILSRVICE</t>
  </si>
  <si>
    <t>Cable TV</t>
  </si>
  <si>
    <t>Gas</t>
  </si>
  <si>
    <t>Electricity - Street Lighting</t>
  </si>
  <si>
    <t>Other Utility Type</t>
  </si>
  <si>
    <t>Electricity - Power Line</t>
  </si>
  <si>
    <t>Sewer</t>
  </si>
  <si>
    <t>Telephone</t>
  </si>
  <si>
    <t>Water</t>
  </si>
  <si>
    <t>VEH_CAT</t>
  </si>
  <si>
    <t>CRANE</t>
  </si>
  <si>
    <t>Cranes</t>
  </si>
  <si>
    <t>FRIGTH</t>
  </si>
  <si>
    <t>Freight</t>
  </si>
  <si>
    <t>General Access Vehicles</t>
  </si>
  <si>
    <t>Restricted access Vehicles</t>
  </si>
  <si>
    <t>SPV</t>
  </si>
  <si>
    <t>Special Purpose Vehicle</t>
  </si>
  <si>
    <t>A1</t>
  </si>
  <si>
    <t>Semi Trailer - 45.5t</t>
  </si>
  <si>
    <t>A2</t>
  </si>
  <si>
    <t>B Double - 68t</t>
  </si>
  <si>
    <t>A4</t>
  </si>
  <si>
    <t>B Triple - 90.5t</t>
  </si>
  <si>
    <t>A5</t>
  </si>
  <si>
    <t>AB Triple - 113t</t>
  </si>
  <si>
    <t>A6</t>
  </si>
  <si>
    <t>Road Train - 85t</t>
  </si>
  <si>
    <t>Level 1 Mobile Crane</t>
  </si>
  <si>
    <t>Level 2 Mobile Crane</t>
  </si>
  <si>
    <t>Level 3 Mobile Crane</t>
  </si>
  <si>
    <t>S4</t>
  </si>
  <si>
    <t>Level 4 Mobile Crane</t>
  </si>
  <si>
    <t>S5</t>
  </si>
  <si>
    <t>Level 4  and 12t Axle Mobile Crane</t>
  </si>
  <si>
    <t>WEAR_MATRL</t>
  </si>
  <si>
    <t>ASPHALTIC CONCRETE</t>
  </si>
  <si>
    <t>CONCRETE PAVEMENT</t>
  </si>
  <si>
    <t>DECK MATERIAL ONLY</t>
  </si>
  <si>
    <t>FLUSH SEAL</t>
  </si>
  <si>
    <t>WEATHER</t>
  </si>
  <si>
    <t>Cloudy</t>
  </si>
  <si>
    <t>Foggy</t>
  </si>
  <si>
    <t>Showers</t>
  </si>
  <si>
    <t>Night</t>
  </si>
  <si>
    <t>Rainy</t>
  </si>
  <si>
    <t>Sunny</t>
  </si>
  <si>
    <t>Windy</t>
  </si>
  <si>
    <t>WO_PRIOR</t>
  </si>
  <si>
    <t>WO_SPEC</t>
  </si>
  <si>
    <t>B110</t>
  </si>
  <si>
    <t>Supply of Pretensioned Precast Concrete Members</t>
  </si>
  <si>
    <t>B113</t>
  </si>
  <si>
    <t>Post-tensioning of Concrete</t>
  </si>
  <si>
    <t>B114</t>
  </si>
  <si>
    <t>Ground Anchors</t>
  </si>
  <si>
    <t>B115</t>
  </si>
  <si>
    <t>Precast Concrete Members (Not Pretensioned)</t>
  </si>
  <si>
    <t>B119</t>
  </si>
  <si>
    <t>Approval of Post-tensioning Systems</t>
  </si>
  <si>
    <t>B150</t>
  </si>
  <si>
    <t>Erection of Pretensioned Precast Concrete Members</t>
  </si>
  <si>
    <t>B152</t>
  </si>
  <si>
    <t>Incrementally Launched Prestressed Concrete Girders</t>
  </si>
  <si>
    <t>B153</t>
  </si>
  <si>
    <t>Erection of Precast Concrete Members (Not Pretensioned)</t>
  </si>
  <si>
    <t>B170</t>
  </si>
  <si>
    <t>Supply and Installation of Void Formers</t>
  </si>
  <si>
    <t>B200</t>
  </si>
  <si>
    <t>Fabrication of Major Steel Structural Members</t>
  </si>
  <si>
    <t>B202</t>
  </si>
  <si>
    <t>Supply of Steel Bridge Girders by the Principal</t>
  </si>
  <si>
    <t>B204</t>
  </si>
  <si>
    <t>Welding of Bridges and Other Road Structures</t>
  </si>
  <si>
    <t>B220</t>
  </si>
  <si>
    <t>Protective Treatment of Bridge Steelwork</t>
  </si>
  <si>
    <t>B223</t>
  </si>
  <si>
    <t>Management of Lead, Chromium and Asbestos in Bridge Maintenance Painting</t>
  </si>
  <si>
    <t>B240</t>
  </si>
  <si>
    <t>Supply of Bolts, Nuts, Screws and Washers</t>
  </si>
  <si>
    <t>B241</t>
  </si>
  <si>
    <t>Manufacture and Supply of Minor Steel Items</t>
  </si>
  <si>
    <t>B242</t>
  </si>
  <si>
    <t>Manufacture and Supply of Aluminium Barriers</t>
  </si>
  <si>
    <t>B245</t>
  </si>
  <si>
    <t>Fabrication of Aluminium Structural Members</t>
  </si>
  <si>
    <t>B246</t>
  </si>
  <si>
    <t>Manufacture and Supply of Minor Aluminium Items</t>
  </si>
  <si>
    <t>B260</t>
  </si>
  <si>
    <t>Erection of Structural Steelwork</t>
  </si>
  <si>
    <t>B261</t>
  </si>
  <si>
    <t>Erection of Structural Aluminium</t>
  </si>
  <si>
    <t>B264</t>
  </si>
  <si>
    <t>Erection of Barrier Railings and Minor Components</t>
  </si>
  <si>
    <t>B280</t>
  </si>
  <si>
    <t>Unreinforced Elastomeric Bearing Pads and Strips</t>
  </si>
  <si>
    <t>B281</t>
  </si>
  <si>
    <t>Laminated Elastomeric Bearings</t>
  </si>
  <si>
    <t>B282</t>
  </si>
  <si>
    <t>Pot Bearings ? Structural Steel</t>
  </si>
  <si>
    <t>B283</t>
  </si>
  <si>
    <t>Pot Bearings ? Stainless Steel</t>
  </si>
  <si>
    <t>B284</t>
  </si>
  <si>
    <t>Installation of Bridge Bearings</t>
  </si>
  <si>
    <t>B30</t>
  </si>
  <si>
    <t>Excavation and Backfill for Bridgeworks</t>
  </si>
  <si>
    <t>B310</t>
  </si>
  <si>
    <t>Compression Seal Expansion Joints</t>
  </si>
  <si>
    <t>B312</t>
  </si>
  <si>
    <t>Cold Applied Elastomeric Joint Sealants</t>
  </si>
  <si>
    <t>B315</t>
  </si>
  <si>
    <t>Elastomeric Strip Seal Expansion Joints</t>
  </si>
  <si>
    <t>B316</t>
  </si>
  <si>
    <t>Modular Bridge Expansion Joints</t>
  </si>
  <si>
    <t>B318</t>
  </si>
  <si>
    <t>Bonded Metal-Elastomer Expansion Joints</t>
  </si>
  <si>
    <t>B319</t>
  </si>
  <si>
    <t>Proprietary Aluminium Expansion Joints</t>
  </si>
  <si>
    <t>B341</t>
  </si>
  <si>
    <t>Demolition of Existing Structure</t>
  </si>
  <si>
    <t>B344</t>
  </si>
  <si>
    <t>Sprayed Bituminous Waterproofing Membrane for Concrete Bridge Decks</t>
  </si>
  <si>
    <t>B345</t>
  </si>
  <si>
    <t>Supply of Bridge Nameplates</t>
  </si>
  <si>
    <t>B349</t>
  </si>
  <si>
    <t>Supply of Precast Concrete Noise Walls (Not Pretensioned)</t>
  </si>
  <si>
    <t>B350</t>
  </si>
  <si>
    <t>Underwater Bridge Inspections</t>
  </si>
  <si>
    <t>B381</t>
  </si>
  <si>
    <t>Design, Supply and Installation of Pedestrian Bridge Lifts</t>
  </si>
  <si>
    <t>B50</t>
  </si>
  <si>
    <t>Driven Reinforced Concrete Piles</t>
  </si>
  <si>
    <t>B51</t>
  </si>
  <si>
    <t>Driven Prestressed Concrete Piles</t>
  </si>
  <si>
    <t>B53</t>
  </si>
  <si>
    <t>Driven H-Section Steel Piles</t>
  </si>
  <si>
    <t>B54</t>
  </si>
  <si>
    <t>Driven Tubular Steel Piles</t>
  </si>
  <si>
    <t>B57</t>
  </si>
  <si>
    <t>Driven Cast-in-Place Concrete Piles</t>
  </si>
  <si>
    <t>B58</t>
  </si>
  <si>
    <t>Permanently Cased Cast-in-Place Reinforced Concrete Piles</t>
  </si>
  <si>
    <t>B59</t>
  </si>
  <si>
    <t>Bored Cast-in-Place Reinforced Concrete Piles (without Permanent Casing)</t>
  </si>
  <si>
    <t>B61</t>
  </si>
  <si>
    <t>Driven Composite Piles Q, G22</t>
  </si>
  <si>
    <t>B63</t>
  </si>
  <si>
    <t>Concrete Injected (CFA) Piling</t>
  </si>
  <si>
    <t>B80</t>
  </si>
  <si>
    <t>Concrete Work for Bridges</t>
  </si>
  <si>
    <t>B82</t>
  </si>
  <si>
    <t>Shotcrete Work</t>
  </si>
  <si>
    <t>G10</t>
  </si>
  <si>
    <t>Control of Traffic</t>
  </si>
  <si>
    <t>G11M</t>
  </si>
  <si>
    <t>Road Occupancy Provisions</t>
  </si>
  <si>
    <t>G21M</t>
  </si>
  <si>
    <t>Occupational Health and Safety</t>
  </si>
  <si>
    <t>G34M</t>
  </si>
  <si>
    <t>Environmental Protection Management Plan</t>
  </si>
  <si>
    <t>M700</t>
  </si>
  <si>
    <t>Bridge and Tunnel Routine and Minor Rehabilitation</t>
  </si>
  <si>
    <t>Q4M</t>
  </si>
  <si>
    <t>Quality Management System</t>
  </si>
  <si>
    <t>WORK_AUTH</t>
  </si>
  <si>
    <t>A.C.T Government</t>
  </si>
  <si>
    <t>Light Rail</t>
  </si>
  <si>
    <t>Council (LGA)</t>
  </si>
  <si>
    <t>Country Rail Contracts</t>
  </si>
  <si>
    <t>Federal Government Department</t>
  </si>
  <si>
    <t>John Holland Rail</t>
  </si>
  <si>
    <t>VICRAIL</t>
  </si>
  <si>
    <t>RailCorp</t>
  </si>
  <si>
    <t>CityRail</t>
  </si>
  <si>
    <t>Sydney Trains</t>
  </si>
  <si>
    <t>Contractor to TfNSW</t>
  </si>
  <si>
    <t>Private</t>
  </si>
  <si>
    <t>Q</t>
  </si>
  <si>
    <t>D.O.T. Qld.</t>
  </si>
  <si>
    <t>TfNSW</t>
  </si>
  <si>
    <t>S.R.A.</t>
  </si>
  <si>
    <t>Private Toll Road</t>
  </si>
  <si>
    <t>Transurban</t>
  </si>
  <si>
    <t>V</t>
  </si>
  <si>
    <t>VICROADS</t>
  </si>
  <si>
    <t>Dept. of Water Resources</t>
  </si>
  <si>
    <t>NIT_INV_TYPE</t>
  </si>
  <si>
    <t>NIT_PNT_OR_CONT</t>
  </si>
  <si>
    <t>NIT_X_SECT_ALLOW_FLAG</t>
  </si>
  <si>
    <t>NIT_ELEC_DRAIN_CARR</t>
  </si>
  <si>
    <t>NIT_CONTIGUOUS</t>
  </si>
  <si>
    <t>NIT_REPLACEABLE</t>
  </si>
  <si>
    <t>NIT_EXCLUSIVE</t>
  </si>
  <si>
    <t>NIT_CATEGORY</t>
  </si>
  <si>
    <t>NIT_DESCR</t>
  </si>
  <si>
    <t>NIT_LINEAR</t>
  </si>
  <si>
    <t>NIT_USE_XY</t>
  </si>
  <si>
    <t>NIT_MULTIPLE_ALLOWED</t>
  </si>
  <si>
    <t>NIT_END_LOC_ONLY</t>
  </si>
  <si>
    <t>NIT_SCREEN_SEQ</t>
  </si>
  <si>
    <t>NIT_VIEW_NAME</t>
  </si>
  <si>
    <t>NIT_START_DATE</t>
  </si>
  <si>
    <t>NIT_END_DATE</t>
  </si>
  <si>
    <t>NIT_SHORT_DESCR</t>
  </si>
  <si>
    <t>NIT_FLEX_ITEM_FLAG</t>
  </si>
  <si>
    <t>NIT_TABLE_NAME</t>
  </si>
  <si>
    <t>NIT_LR_NE_COLUMN_NAME</t>
  </si>
  <si>
    <t>NIT_LR_ST_CHAIN</t>
  </si>
  <si>
    <t>NIT_LR_END_CHAIN</t>
  </si>
  <si>
    <t>NIT_ADMIN_TYPE</t>
  </si>
  <si>
    <t>NIT_ICON_NAME</t>
  </si>
  <si>
    <t>NIT_TOP</t>
  </si>
  <si>
    <t>NIT_FOREIGN_PK_COLUMN</t>
  </si>
  <si>
    <t>NIT_UPDATE_ALLOWED</t>
  </si>
  <si>
    <t>NIT_DATE_CREATED</t>
  </si>
  <si>
    <t>NIT_DATE_MODIFIED</t>
  </si>
  <si>
    <t>NIT_MODIFIED_BY</t>
  </si>
  <si>
    <t>NIT_CREATED_BY</t>
  </si>
  <si>
    <t>NIT_NOTES</t>
  </si>
  <si>
    <t>PLST</t>
  </si>
  <si>
    <t>Pavement Layer Structure</t>
  </si>
  <si>
    <t/>
  </si>
  <si>
    <t>V_NM_PLST</t>
  </si>
  <si>
    <t>RASR</t>
  </si>
  <si>
    <t>RAMS</t>
  </si>
  <si>
    <t>PLAC</t>
  </si>
  <si>
    <t>Pavement Layer (Asphaltic Concrete)</t>
  </si>
  <si>
    <t>V_NM_PLAC</t>
  </si>
  <si>
    <t>Pavement Layer (AC)</t>
  </si>
  <si>
    <t>GIBBONSPSA</t>
  </si>
  <si>
    <t>PLSS</t>
  </si>
  <si>
    <t>Pavement Layer (Sprayed Seal)</t>
  </si>
  <si>
    <t>V_NM_PLSS</t>
  </si>
  <si>
    <t>Pavement Layer (SS)</t>
  </si>
  <si>
    <t>PLCC</t>
  </si>
  <si>
    <t>Pavement Layer (Cement Concrete)</t>
  </si>
  <si>
    <t>V_NM_PLCC</t>
  </si>
  <si>
    <t>Pavement Layer (CC)</t>
  </si>
  <si>
    <t>PLGR</t>
  </si>
  <si>
    <t>Pavement Layer (Granular)</t>
  </si>
  <si>
    <t>V_NM_PLGR</t>
  </si>
  <si>
    <t>Pavement Layer (GR)</t>
  </si>
  <si>
    <t>PLSG</t>
  </si>
  <si>
    <t>Pavement Layer (Subgrade)</t>
  </si>
  <si>
    <t>V_NM_PLSG</t>
  </si>
  <si>
    <t>Pavement Layer (SG)</t>
  </si>
  <si>
    <t>PLBR</t>
  </si>
  <si>
    <t>Pavement Layer (Bridge/Structure)</t>
  </si>
  <si>
    <t>V_NM_PLBR</t>
  </si>
  <si>
    <t>Pavement Layer (BR)</t>
  </si>
  <si>
    <t>RUFF</t>
  </si>
  <si>
    <t>Roughness</t>
  </si>
  <si>
    <t>V_NM_RUFF</t>
  </si>
  <si>
    <t>RCON</t>
  </si>
  <si>
    <t>RUTT</t>
  </si>
  <si>
    <t>Rutting</t>
  </si>
  <si>
    <t>V_NM_RUTT</t>
  </si>
  <si>
    <t>TXTR</t>
  </si>
  <si>
    <t>Texture</t>
  </si>
  <si>
    <t>V_NM_TXTR</t>
  </si>
  <si>
    <t>SKID</t>
  </si>
  <si>
    <t>SCRIM</t>
  </si>
  <si>
    <t>V_NM_SKID</t>
  </si>
  <si>
    <t>CRCK</t>
  </si>
  <si>
    <t>Cracking</t>
  </si>
  <si>
    <t>V_NM_CRCK</t>
  </si>
  <si>
    <t>REG</t>
  </si>
  <si>
    <t>V_NM_REG</t>
  </si>
  <si>
    <t>Local Government Area</t>
  </si>
  <si>
    <t>V_NM_LGA</t>
  </si>
  <si>
    <t>RGOV</t>
  </si>
  <si>
    <t>WONGGSYS</t>
  </si>
  <si>
    <t>SED</t>
  </si>
  <si>
    <t>State Electoral Districts</t>
  </si>
  <si>
    <t>V_NM_SED</t>
  </si>
  <si>
    <t>MNUM</t>
  </si>
  <si>
    <t>Maintaining Agency Number</t>
  </si>
  <si>
    <t>V_NM_MNUM</t>
  </si>
  <si>
    <t>NHLK</t>
  </si>
  <si>
    <t>National Highway Link</t>
  </si>
  <si>
    <t>V_NM_NHLK</t>
  </si>
  <si>
    <t>RANK</t>
  </si>
  <si>
    <t>Sub Network Rank</t>
  </si>
  <si>
    <t>V_NM_RANK</t>
  </si>
  <si>
    <t>RDCL</t>
  </si>
  <si>
    <t>Road Administrative Classification</t>
  </si>
  <si>
    <t>V_NM_RDCL</t>
  </si>
  <si>
    <t>Road Admin Class</t>
  </si>
  <si>
    <t>LCNT</t>
  </si>
  <si>
    <t>Through Lane Count</t>
  </si>
  <si>
    <t>V_NM_LCNT</t>
  </si>
  <si>
    <t>LANE</t>
  </si>
  <si>
    <t>Lanes</t>
  </si>
  <si>
    <t>V_NM_LANE</t>
  </si>
  <si>
    <t>SHLD</t>
  </si>
  <si>
    <t>Shoulder</t>
  </si>
  <si>
    <t>V_NM_SHLD</t>
  </si>
  <si>
    <t>SEG</t>
  </si>
  <si>
    <t>Management Segment (ROCOND)</t>
  </si>
  <si>
    <t>V_NM_SEG</t>
  </si>
  <si>
    <t>Segment</t>
  </si>
  <si>
    <t>REFF</t>
  </si>
  <si>
    <t>Reference Features</t>
  </si>
  <si>
    <t>V_NM_REFF</t>
  </si>
  <si>
    <t>RREF</t>
  </si>
  <si>
    <t>RAPS</t>
  </si>
  <si>
    <t>RAPS Planning Section</t>
  </si>
  <si>
    <t>V_NM_RAPS</t>
  </si>
  <si>
    <t>RGRP</t>
  </si>
  <si>
    <t>TRAF</t>
  </si>
  <si>
    <t>Traffic Count Station</t>
  </si>
  <si>
    <t>V_NM_TRAF</t>
  </si>
  <si>
    <t>RSIS</t>
  </si>
  <si>
    <t>Road Slope Site</t>
  </si>
  <si>
    <t>V_NM_RSIS</t>
  </si>
  <si>
    <t>LCWY</t>
  </si>
  <si>
    <t>FT Inv for "LINK CARRIAGEWAY"</t>
  </si>
  <si>
    <t>LINK CARRIAGEWAY</t>
  </si>
  <si>
    <t>V_NM_LCWY</t>
  </si>
  <si>
    <t>NE_ID</t>
  </si>
  <si>
    <t>NE_BEGIN_MP</t>
  </si>
  <si>
    <t>NE_LENGTH</t>
  </si>
  <si>
    <t>RNET</t>
  </si>
  <si>
    <t>NE_FT_PK_COL</t>
  </si>
  <si>
    <t>LCW1</t>
  </si>
  <si>
    <t>V_NM_LCW1</t>
  </si>
  <si>
    <t>SK04</t>
  </si>
  <si>
    <t>SKID 2004 Snapshot</t>
  </si>
  <si>
    <t>XRTA_SKID_2004_FT_MV</t>
  </si>
  <si>
    <t>NE_ID_OF</t>
  </si>
  <si>
    <t>NM_BEGIN_MP</t>
  </si>
  <si>
    <t>NM_END_MP</t>
  </si>
  <si>
    <t>SURROGATE_PK</t>
  </si>
  <si>
    <t>C044</t>
  </si>
  <si>
    <t>CRCK - P - 2005 - 4</t>
  </si>
  <si>
    <t>EXCL CRCK</t>
  </si>
  <si>
    <t>CRCK_P_2005_4</t>
  </si>
  <si>
    <t>SK03</t>
  </si>
  <si>
    <t>SKID 2003 Snapshot</t>
  </si>
  <si>
    <t>XRTA_SKID_2003_FT_MV</t>
  </si>
  <si>
    <t>C045</t>
  </si>
  <si>
    <t>CRCK - P - 2006 - 1</t>
  </si>
  <si>
    <t>CRCK_P_2006_1</t>
  </si>
  <si>
    <t>C046</t>
  </si>
  <si>
    <t>CRCK - P - 2006 - 2</t>
  </si>
  <si>
    <t>CRCK_P_2006_2</t>
  </si>
  <si>
    <t>C047</t>
  </si>
  <si>
    <t>CRCK - P - 2006 - 3</t>
  </si>
  <si>
    <t>CRCK_P_2006_3</t>
  </si>
  <si>
    <t>C048</t>
  </si>
  <si>
    <t>CRCK - P - 2006 - 4</t>
  </si>
  <si>
    <t>CRCK_P_2006_4</t>
  </si>
  <si>
    <t>C053</t>
  </si>
  <si>
    <t>CRCK - P - 2007 - 1</t>
  </si>
  <si>
    <t>CRCK_P_2007_1</t>
  </si>
  <si>
    <t>C054</t>
  </si>
  <si>
    <t>CRCK - P - 2007 - 2</t>
  </si>
  <si>
    <t>CRCK_P_2007_2</t>
  </si>
  <si>
    <t>C055</t>
  </si>
  <si>
    <t>CRCK - P - 2007 - 3</t>
  </si>
  <si>
    <t>CRCK_P_2007_3</t>
  </si>
  <si>
    <t>C056</t>
  </si>
  <si>
    <t>CRCK - P - 2007 - 4</t>
  </si>
  <si>
    <t>CRCK_P_2007_4</t>
  </si>
  <si>
    <t>R004</t>
  </si>
  <si>
    <t>RUFF - C - 2002</t>
  </si>
  <si>
    <t>EXCL RUFF</t>
  </si>
  <si>
    <t>RUFF_C_2002</t>
  </si>
  <si>
    <t>R005</t>
  </si>
  <si>
    <t>RUFF - C - 2003</t>
  </si>
  <si>
    <t>RUFF_C_2003</t>
  </si>
  <si>
    <t>R006</t>
  </si>
  <si>
    <t>RUFF - C - 2004</t>
  </si>
  <si>
    <t>RUFF_C_2004</t>
  </si>
  <si>
    <t>R007</t>
  </si>
  <si>
    <t>RUFF - C - 2005</t>
  </si>
  <si>
    <t>RUFF_C_2005</t>
  </si>
  <si>
    <t>R008</t>
  </si>
  <si>
    <t>RUFF - C - 2006</t>
  </si>
  <si>
    <t>RUFF_C_2006</t>
  </si>
  <si>
    <t>R033</t>
  </si>
  <si>
    <t>RUFF - C - 2007</t>
  </si>
  <si>
    <t>RUFF_C_2007</t>
  </si>
  <si>
    <t>AUSL</t>
  </si>
  <si>
    <t>AUSLINK Sections</t>
  </si>
  <si>
    <t>V_NM_AUSL</t>
  </si>
  <si>
    <t>MCBL</t>
  </si>
  <si>
    <t>Maintenance Contract - Category, Limits and Environment</t>
  </si>
  <si>
    <t>V_NM_MCBL</t>
  </si>
  <si>
    <t>Maint. Cat. &amp; Limit</t>
  </si>
  <si>
    <t>CASEYBSYS</t>
  </si>
  <si>
    <t>LTPP</t>
  </si>
  <si>
    <t>Long term pavement performance</t>
  </si>
  <si>
    <t>V_NM_LTPP</t>
  </si>
  <si>
    <t>REST</t>
  </si>
  <si>
    <t>Roadside Rest Area</t>
  </si>
  <si>
    <t>V_NM_REST</t>
  </si>
  <si>
    <t>CLZN</t>
  </si>
  <si>
    <t>CLIMATE ZONES</t>
  </si>
  <si>
    <t>V_NM_CLZN</t>
  </si>
  <si>
    <t>Culverts (Non-Bridge Size)</t>
  </si>
  <si>
    <t>V_NM_CULV</t>
  </si>
  <si>
    <t>Culverts</t>
  </si>
  <si>
    <t>Bridge Information System</t>
  </si>
  <si>
    <t>V_NM_BIS</t>
  </si>
  <si>
    <t>APIA</t>
  </si>
  <si>
    <t>BRCW</t>
  </si>
  <si>
    <t>Bridge Carriageways</t>
  </si>
  <si>
    <t>V_NM_BRCW</t>
  </si>
  <si>
    <t>HOYBSA</t>
  </si>
  <si>
    <t>R009</t>
  </si>
  <si>
    <t>RUFF - P - 2000</t>
  </si>
  <si>
    <t>RUFF_P_2000</t>
  </si>
  <si>
    <t>R010</t>
  </si>
  <si>
    <t>RUFF - P - 1999</t>
  </si>
  <si>
    <t>RUFF_P_1999</t>
  </si>
  <si>
    <t>R011</t>
  </si>
  <si>
    <t>RUFF - P - 2001</t>
  </si>
  <si>
    <t>RUFF_P_2001</t>
  </si>
  <si>
    <t>R012</t>
  </si>
  <si>
    <t>RUFF - P - 2002</t>
  </si>
  <si>
    <t>RUFF_P_2002</t>
  </si>
  <si>
    <t>R013</t>
  </si>
  <si>
    <t>RUFF - P - 2003</t>
  </si>
  <si>
    <t>RUFF_P_2003</t>
  </si>
  <si>
    <t>R014</t>
  </si>
  <si>
    <t>RUFF - P - 2004</t>
  </si>
  <si>
    <t>RUFF_P_2004</t>
  </si>
  <si>
    <t>R015</t>
  </si>
  <si>
    <t>RUFF - P - 2005</t>
  </si>
  <si>
    <t>RUFF_P_2005</t>
  </si>
  <si>
    <t>R016</t>
  </si>
  <si>
    <t>RUFF - P - 2006</t>
  </si>
  <si>
    <t>RUFF_P_2006</t>
  </si>
  <si>
    <t>R034</t>
  </si>
  <si>
    <t>RUFF - P - 2007</t>
  </si>
  <si>
    <t>RUFF_P_2007</t>
  </si>
  <si>
    <t>R017</t>
  </si>
  <si>
    <t>RUTT - C - 2000</t>
  </si>
  <si>
    <t>EXCL RUTT</t>
  </si>
  <si>
    <t>RUTT_C_2000</t>
  </si>
  <si>
    <t>R018</t>
  </si>
  <si>
    <t>RUTT - C - 1999</t>
  </si>
  <si>
    <t>RUTT_C_1999</t>
  </si>
  <si>
    <t>R001</t>
  </si>
  <si>
    <t>RUFF - C - 2000</t>
  </si>
  <si>
    <t>RUFF_C_2000</t>
  </si>
  <si>
    <t>R002</t>
  </si>
  <si>
    <t>RUFF - C - 1999</t>
  </si>
  <si>
    <t>RUFF_C_1999</t>
  </si>
  <si>
    <t>R003</t>
  </si>
  <si>
    <t>RUFF - C - 2001</t>
  </si>
  <si>
    <t>RUFF_C_2001</t>
  </si>
  <si>
    <t>Noise Walls</t>
  </si>
  <si>
    <t>V_NM_NOIS</t>
  </si>
  <si>
    <t>BUSCHDSA</t>
  </si>
  <si>
    <t>DOCO</t>
  </si>
  <si>
    <t>Documents</t>
  </si>
  <si>
    <t>V_NM_DOCO</t>
  </si>
  <si>
    <t>Controlled Access Roads</t>
  </si>
  <si>
    <t>V_NM_CAR</t>
  </si>
  <si>
    <t>C019</t>
  </si>
  <si>
    <t>CRCK - C - 2005 - 3</t>
  </si>
  <si>
    <t>CRCK_C_2005_3</t>
  </si>
  <si>
    <t>C020</t>
  </si>
  <si>
    <t>CRCK - C - 2005 - 4</t>
  </si>
  <si>
    <t>CRCK_C_2005_4</t>
  </si>
  <si>
    <t>C021</t>
  </si>
  <si>
    <t>CRCK - C - 2006 - 1</t>
  </si>
  <si>
    <t>CRCK_C_2006_1</t>
  </si>
  <si>
    <t>C022</t>
  </si>
  <si>
    <t>CRCK - C - 2006 - 2</t>
  </si>
  <si>
    <t>CRCK_C_2006_2</t>
  </si>
  <si>
    <t>C023</t>
  </si>
  <si>
    <t>CRCK - C - 2006 - 3</t>
  </si>
  <si>
    <t>CRCK_C_2006_3</t>
  </si>
  <si>
    <t>C024</t>
  </si>
  <si>
    <t>CRCK - C - 2006 - 4</t>
  </si>
  <si>
    <t>CRCK_C_2006_4</t>
  </si>
  <si>
    <t>C049</t>
  </si>
  <si>
    <t>CRCK - C - 2007 - 1</t>
  </si>
  <si>
    <t>CRCK_C_2007_1</t>
  </si>
  <si>
    <t>C050</t>
  </si>
  <si>
    <t>CRCK - C - 2007 - 2</t>
  </si>
  <si>
    <t>CRCK_C_2007_2</t>
  </si>
  <si>
    <t>C051</t>
  </si>
  <si>
    <t>CRCK - C - 2007 - 3</t>
  </si>
  <si>
    <t>CRCK_C_2007_3</t>
  </si>
  <si>
    <t>C052</t>
  </si>
  <si>
    <t>CRCK - C - 2007 - 4</t>
  </si>
  <si>
    <t>CRCK_C_2007_4</t>
  </si>
  <si>
    <t>C025</t>
  </si>
  <si>
    <t>CRCK - P - 2000 - 1</t>
  </si>
  <si>
    <t>CRCK_P_2000_1</t>
  </si>
  <si>
    <t>C026</t>
  </si>
  <si>
    <t>CRCK - P - 2000 - 4</t>
  </si>
  <si>
    <t>CRCK_P_2000_4</t>
  </si>
  <si>
    <t>PLGU</t>
  </si>
  <si>
    <t>PAVEMENT LAYER (Granular Unbound)</t>
  </si>
  <si>
    <t>V_NM_PLGU</t>
  </si>
  <si>
    <t>Pavement Layer (GU)</t>
  </si>
  <si>
    <t>PLGB</t>
  </si>
  <si>
    <t>PAVEMENT LAYER (Granular Bound)</t>
  </si>
  <si>
    <t>V_NM_PLGB</t>
  </si>
  <si>
    <t>Pavement Layer (GB)</t>
  </si>
  <si>
    <t>C027</t>
  </si>
  <si>
    <t>CRCK - P - 2001 - 1</t>
  </si>
  <si>
    <t>CRCK_P_2001_1</t>
  </si>
  <si>
    <t>C028</t>
  </si>
  <si>
    <t>CRCK - P - 2001 - 4</t>
  </si>
  <si>
    <t>CRCK_P_2001_4</t>
  </si>
  <si>
    <t>C029</t>
  </si>
  <si>
    <t>CRCK - P - 2002 - 1</t>
  </si>
  <si>
    <t>CRCK_P_2002_1</t>
  </si>
  <si>
    <t>C030</t>
  </si>
  <si>
    <t>CRCK - P - 2002 - 2</t>
  </si>
  <si>
    <t>CRCK_P_2002_2</t>
  </si>
  <si>
    <t>C031</t>
  </si>
  <si>
    <t>CRCK - P - 2002 - 3</t>
  </si>
  <si>
    <t>CRCK_P_2002_3</t>
  </si>
  <si>
    <t>C032</t>
  </si>
  <si>
    <t>CRCK - P - 2002 - 4</t>
  </si>
  <si>
    <t>CRCK_P_2002_4</t>
  </si>
  <si>
    <t>C033</t>
  </si>
  <si>
    <t>CRCK - P - 2003 - 1</t>
  </si>
  <si>
    <t>CRCK_P_2003_1</t>
  </si>
  <si>
    <t>C034</t>
  </si>
  <si>
    <t>CRCK - P - 2003 - 2</t>
  </si>
  <si>
    <t>CRCK_P_2003_2</t>
  </si>
  <si>
    <t>C035</t>
  </si>
  <si>
    <t>CRCK - P - 2003 - 3</t>
  </si>
  <si>
    <t>CRCK_P_2003_3</t>
  </si>
  <si>
    <t>C036</t>
  </si>
  <si>
    <t>CRCK - P - 2003 - 4</t>
  </si>
  <si>
    <t>CRCK_P_2003_4</t>
  </si>
  <si>
    <t>C037</t>
  </si>
  <si>
    <t>CRCK - P - 2004 - 1</t>
  </si>
  <si>
    <t>CRCK_P_2004_1</t>
  </si>
  <si>
    <t>C038</t>
  </si>
  <si>
    <t>CRCK - P - 2004 - 2</t>
  </si>
  <si>
    <t>CRCK_P_2004_2</t>
  </si>
  <si>
    <t>C039</t>
  </si>
  <si>
    <t>CRCK - P - 2004 - 3</t>
  </si>
  <si>
    <t>CRCK_P_2004_3</t>
  </si>
  <si>
    <t>C040</t>
  </si>
  <si>
    <t>CRCK - P - 2004 - 4</t>
  </si>
  <si>
    <t>CRCK_P_2004_4</t>
  </si>
  <si>
    <t>C041</t>
  </si>
  <si>
    <t>CRCK - P - 2005 - 1</t>
  </si>
  <si>
    <t>CRCK_P_2005_1</t>
  </si>
  <si>
    <t>C042</t>
  </si>
  <si>
    <t>CRCK - P - 2005 - 2</t>
  </si>
  <si>
    <t>CRCK_P_2005_2</t>
  </si>
  <si>
    <t>C043</t>
  </si>
  <si>
    <t>CRCK - P - 2005 - 3</t>
  </si>
  <si>
    <t>CRCK_P_2005_3</t>
  </si>
  <si>
    <t>C018</t>
  </si>
  <si>
    <t>CRCK - C - 2005 - 2</t>
  </si>
  <si>
    <t>CRCK_C_2005_2</t>
  </si>
  <si>
    <t>TX05</t>
  </si>
  <si>
    <t>TXTR 2005 Snapshot</t>
  </si>
  <si>
    <t>XRTA_TXTR_2005_FT_MV</t>
  </si>
  <si>
    <t>TX03</t>
  </si>
  <si>
    <t>TXTR 2003 Snapshot</t>
  </si>
  <si>
    <t>XRTA_TXTR_2003_FT_MV</t>
  </si>
  <si>
    <t>C004</t>
  </si>
  <si>
    <t>CRCK - C - 2001 - 4</t>
  </si>
  <si>
    <t>CRCK_C_2001_4</t>
  </si>
  <si>
    <t>C005</t>
  </si>
  <si>
    <t>CRCK - C - 2002 - 1</t>
  </si>
  <si>
    <t>CRCK_C_2002_1</t>
  </si>
  <si>
    <t>C006</t>
  </si>
  <si>
    <t>CRCK - C - 2002 - 2</t>
  </si>
  <si>
    <t>CRCK_C_2002_2</t>
  </si>
  <si>
    <t>C007</t>
  </si>
  <si>
    <t>CRCK - C - 2002 - 3</t>
  </si>
  <si>
    <t>CRCK_C_2002_3</t>
  </si>
  <si>
    <t>C008</t>
  </si>
  <si>
    <t>CRCK - C - 2002 - 4</t>
  </si>
  <si>
    <t>CRCK_C_2002_4</t>
  </si>
  <si>
    <t>C009</t>
  </si>
  <si>
    <t>CRCK - C - 2003 - 1</t>
  </si>
  <si>
    <t>CRCK_C_2003_1</t>
  </si>
  <si>
    <t>C010</t>
  </si>
  <si>
    <t>CRCK - C - 2003 - 2</t>
  </si>
  <si>
    <t>CRCK_C_2003_2</t>
  </si>
  <si>
    <t>C011</t>
  </si>
  <si>
    <t>CRCK - C - 2003 - 3</t>
  </si>
  <si>
    <t>CRCK_C_2003_3</t>
  </si>
  <si>
    <t>C001</t>
  </si>
  <si>
    <t>CRCK - C - 2000 - 1</t>
  </si>
  <si>
    <t>CRCK_C_2000_1</t>
  </si>
  <si>
    <t>C002</t>
  </si>
  <si>
    <t>CRCK - C - 2000 - 4</t>
  </si>
  <si>
    <t>CRCK_C_2000_4</t>
  </si>
  <si>
    <t>C003</t>
  </si>
  <si>
    <t>CRCK - C - 2001 - 1</t>
  </si>
  <si>
    <t>CRCK_C_2001_1</t>
  </si>
  <si>
    <t>C012</t>
  </si>
  <si>
    <t>CRCK - C - 2003 - 4</t>
  </si>
  <si>
    <t>CRCK_C_2003_4</t>
  </si>
  <si>
    <t>C013</t>
  </si>
  <si>
    <t>CRCK - C - 2004 - 1</t>
  </si>
  <si>
    <t>CRCK_C_2004_1</t>
  </si>
  <si>
    <t>C014</t>
  </si>
  <si>
    <t>CRCK - C - 2004 - 2</t>
  </si>
  <si>
    <t>CRCK_C_2004_2</t>
  </si>
  <si>
    <t>C015</t>
  </si>
  <si>
    <t>CRCK - C - 2004 - 3</t>
  </si>
  <si>
    <t>CRCK_C_2004_3</t>
  </si>
  <si>
    <t>RT03</t>
  </si>
  <si>
    <t>RUTT 2003 Snapshot</t>
  </si>
  <si>
    <t>XRTA_RUTT_2003_FT_MV</t>
  </si>
  <si>
    <t>RF04</t>
  </si>
  <si>
    <t>RUFF 2004 Snapshot</t>
  </si>
  <si>
    <t>XRTA_RUFF_2004_FT_MV</t>
  </si>
  <si>
    <t>RF06</t>
  </si>
  <si>
    <t>RUFF 2006 Snapshot</t>
  </si>
  <si>
    <t>XRTA_RUFF_2006_FT_MV</t>
  </si>
  <si>
    <t>RF05</t>
  </si>
  <si>
    <t>RUFF 2005 Snapshot</t>
  </si>
  <si>
    <t>XRTA_RUFF_2005_FT_MV</t>
  </si>
  <si>
    <t>TX04</t>
  </si>
  <si>
    <t>TXTR 2004 Snapshot</t>
  </si>
  <si>
    <t>XRTA_TXTR_2004_FT_MV</t>
  </si>
  <si>
    <t>RT04</t>
  </si>
  <si>
    <t>RUTT 2004 Snapshot</t>
  </si>
  <si>
    <t>XRTA_RUTT_2004_FT_MV</t>
  </si>
  <si>
    <t>RF03</t>
  </si>
  <si>
    <t>RUFF 2003 Snapshot</t>
  </si>
  <si>
    <t>XRTA_RUFF_2003_FT_MV</t>
  </si>
  <si>
    <t>TX06</t>
  </si>
  <si>
    <t>TXTR 2006 Snapshot</t>
  </si>
  <si>
    <t>XRTA_TXTR_2006_FT_MV</t>
  </si>
  <si>
    <t>RT06</t>
  </si>
  <si>
    <t>RUTT 2006 Snapshot</t>
  </si>
  <si>
    <t>XRTA_RUTT_2006_FT_MV</t>
  </si>
  <si>
    <t>RT05</t>
  </si>
  <si>
    <t>RUTT 2005 Snapshot</t>
  </si>
  <si>
    <t>XRTA_RUTT_2005_FT_MV</t>
  </si>
  <si>
    <t>C016</t>
  </si>
  <si>
    <t>CRCK - C - 2004 - 4</t>
  </si>
  <si>
    <t>CRCK_C_2004_4</t>
  </si>
  <si>
    <t>C017</t>
  </si>
  <si>
    <t>CRCK - C - 2005 - 1</t>
  </si>
  <si>
    <t>CRCK_C_2005_1</t>
  </si>
  <si>
    <t>R019</t>
  </si>
  <si>
    <t>RUTT - C - 2001</t>
  </si>
  <si>
    <t>RUTT_C_2001</t>
  </si>
  <si>
    <t>R020</t>
  </si>
  <si>
    <t>RUTT - C - 2002</t>
  </si>
  <si>
    <t>RUTT_C_2002</t>
  </si>
  <si>
    <t>R021</t>
  </si>
  <si>
    <t>RUTT - C - 2003</t>
  </si>
  <si>
    <t>RUTT_C_2003</t>
  </si>
  <si>
    <t>R022</t>
  </si>
  <si>
    <t>RUTT - C - 2004</t>
  </si>
  <si>
    <t>RUTT_C_2004</t>
  </si>
  <si>
    <t>R023</t>
  </si>
  <si>
    <t>RUTT - C - 2005</t>
  </si>
  <si>
    <t>RUTT_C_2005</t>
  </si>
  <si>
    <t>R024</t>
  </si>
  <si>
    <t>RUTT - C - 2006</t>
  </si>
  <si>
    <t>RUTT_C_2006</t>
  </si>
  <si>
    <t>R035</t>
  </si>
  <si>
    <t>RUTT - C - 2007</t>
  </si>
  <si>
    <t>RUTT_C_2007</t>
  </si>
  <si>
    <t>R025</t>
  </si>
  <si>
    <t>RUTT - P - 2000</t>
  </si>
  <si>
    <t>RUTT_P_2000</t>
  </si>
  <si>
    <t>R026</t>
  </si>
  <si>
    <t>RUTT - P - 1999</t>
  </si>
  <si>
    <t>RUTT_P_1999</t>
  </si>
  <si>
    <t>R027</t>
  </si>
  <si>
    <t>RUTT - P - 2001</t>
  </si>
  <si>
    <t>RUTT_P_2001</t>
  </si>
  <si>
    <t>R028</t>
  </si>
  <si>
    <t>RUTT - P - 2002</t>
  </si>
  <si>
    <t>RUTT_P_2002</t>
  </si>
  <si>
    <t>R029</t>
  </si>
  <si>
    <t>RUTT - P - 2003</t>
  </si>
  <si>
    <t>RUTT_P_2003</t>
  </si>
  <si>
    <t>R030</t>
  </si>
  <si>
    <t>RUTT - P - 2004</t>
  </si>
  <si>
    <t>RUTT_P_2004</t>
  </si>
  <si>
    <t>R031</t>
  </si>
  <si>
    <t>RUTT - P - 2005</t>
  </si>
  <si>
    <t>RUTT_P_2005</t>
  </si>
  <si>
    <t>R032</t>
  </si>
  <si>
    <t>RUTT - P - 2006</t>
  </si>
  <si>
    <t>RUTT_P_2006</t>
  </si>
  <si>
    <t>R036</t>
  </si>
  <si>
    <t>RUTT - P - 2007</t>
  </si>
  <si>
    <t>RUTT_P_2007</t>
  </si>
  <si>
    <t>T001</t>
  </si>
  <si>
    <t>TXTR - C - 2000</t>
  </si>
  <si>
    <t>EXCL TXTR</t>
  </si>
  <si>
    <t>TXTR_C_2000</t>
  </si>
  <si>
    <t>T002</t>
  </si>
  <si>
    <t>TXTR - C - 1999</t>
  </si>
  <si>
    <t>TXTR_C_1999</t>
  </si>
  <si>
    <t>T003</t>
  </si>
  <si>
    <t>TXTR - C - 2001</t>
  </si>
  <si>
    <t>TXTR_C_2001</t>
  </si>
  <si>
    <t>T004</t>
  </si>
  <si>
    <t>TXTR - C - 2002</t>
  </si>
  <si>
    <t>TXTR_C_2002</t>
  </si>
  <si>
    <t>T005</t>
  </si>
  <si>
    <t>TXTR - C - 2004</t>
  </si>
  <si>
    <t>TXTR_C_2004</t>
  </si>
  <si>
    <t>T006</t>
  </si>
  <si>
    <t>TXTR - C - 2006</t>
  </si>
  <si>
    <t>TXTR_C_2006</t>
  </si>
  <si>
    <t>T015</t>
  </si>
  <si>
    <t>TXTR - C - 2007</t>
  </si>
  <si>
    <t>TXTR_C_2007</t>
  </si>
  <si>
    <t>T007</t>
  </si>
  <si>
    <t>TXTR - P - 2000</t>
  </si>
  <si>
    <t>TXTR_P_2000</t>
  </si>
  <si>
    <t>T008</t>
  </si>
  <si>
    <t>TXTR - P - 1999</t>
  </si>
  <si>
    <t>TXTR_P_1999</t>
  </si>
  <si>
    <t>T009</t>
  </si>
  <si>
    <t>TXTR - P - 2001</t>
  </si>
  <si>
    <t>TXTR_P_2001</t>
  </si>
  <si>
    <t>T010</t>
  </si>
  <si>
    <t>TXTR - P - 2002</t>
  </si>
  <si>
    <t>TXTR_P_2002</t>
  </si>
  <si>
    <t>T011</t>
  </si>
  <si>
    <t>TXTR - P - 2004</t>
  </si>
  <si>
    <t>TXTR_P_2004</t>
  </si>
  <si>
    <t>T012</t>
  </si>
  <si>
    <t>TXTR - P - 2006</t>
  </si>
  <si>
    <t>TXTR_P_2006</t>
  </si>
  <si>
    <t>T016</t>
  </si>
  <si>
    <t>TXTR - P - 2007</t>
  </si>
  <si>
    <t>TXTR_P_2007</t>
  </si>
  <si>
    <t>SLP</t>
  </si>
  <si>
    <t>SLOPE SITE</t>
  </si>
  <si>
    <t>V_NM_SLP</t>
  </si>
  <si>
    <t>SRMP</t>
  </si>
  <si>
    <t>SAFETY RAMPS AND ARRESTOR BEDS</t>
  </si>
  <si>
    <t>V_NM_SRMP</t>
  </si>
  <si>
    <t>SAFETY RAMP</t>
  </si>
  <si>
    <t>SE07</t>
  </si>
  <si>
    <t>STATE ELECTORAL DISTRICTS 2007</t>
  </si>
  <si>
    <t>V_NM_SE07</t>
  </si>
  <si>
    <t>State Electoral Districts 2007</t>
  </si>
  <si>
    <t>DEFL</t>
  </si>
  <si>
    <t>DEFLECTION / PAVEMENT STRENGTH</t>
  </si>
  <si>
    <t>V_NM_DEFL</t>
  </si>
  <si>
    <t>Deflection</t>
  </si>
  <si>
    <t>RCRK</t>
  </si>
  <si>
    <t>Road Crack</t>
  </si>
  <si>
    <t>V_NM_RCRK</t>
  </si>
  <si>
    <t>RF07</t>
  </si>
  <si>
    <t>RUFF 2007 Snapshot</t>
  </si>
  <si>
    <t>XRTA_RUFF_2007_FT_MV</t>
  </si>
  <si>
    <t>TX07</t>
  </si>
  <si>
    <t>TXTR 2007 Snapshot</t>
  </si>
  <si>
    <t>XRTA_TXTR_2007_FT_MV</t>
  </si>
  <si>
    <t>RT07</t>
  </si>
  <si>
    <t>RUTT 2007 Snapshot</t>
  </si>
  <si>
    <t>XRTA_RUTT_2007_FT_MV</t>
  </si>
  <si>
    <t>PROF</t>
  </si>
  <si>
    <t>Profilometry</t>
  </si>
  <si>
    <t>V_NM_PROF</t>
  </si>
  <si>
    <t>Uniform Traffic Sections</t>
  </si>
  <si>
    <t>V_NM_UTS</t>
  </si>
  <si>
    <t>RUTS</t>
  </si>
  <si>
    <t>FWD</t>
  </si>
  <si>
    <t>Falling Weight Deflectometer</t>
  </si>
  <si>
    <t>V_NM_FWD</t>
  </si>
  <si>
    <t>SABA</t>
  </si>
  <si>
    <t>SAFETY BARRIERS</t>
  </si>
  <si>
    <t>V_NM_SABA</t>
  </si>
  <si>
    <t>CLVT</t>
  </si>
  <si>
    <t>V_NM_CLVT</t>
  </si>
  <si>
    <t>CINS</t>
  </si>
  <si>
    <t>CULVERT INSPECTIONS</t>
  </si>
  <si>
    <t>V_NM_CINS</t>
  </si>
  <si>
    <t>CPIT</t>
  </si>
  <si>
    <t>Drainage Pits</t>
  </si>
  <si>
    <t>V_NM_CPIT</t>
  </si>
  <si>
    <t>CR07</t>
  </si>
  <si>
    <t>CRCK 2007 Snapshot</t>
  </si>
  <si>
    <t>XRTA_CRCK_2007_FT_MV</t>
  </si>
  <si>
    <t>SK07</t>
  </si>
  <si>
    <t>SKID 2007 Snapshot</t>
  </si>
  <si>
    <t>XRTA_SKID_2007_FT_MV</t>
  </si>
  <si>
    <t>RT08</t>
  </si>
  <si>
    <t>RUTT 2008 Snapshot</t>
  </si>
  <si>
    <t>XRTA_RUTT_2008_FT_MV</t>
  </si>
  <si>
    <t>TX08</t>
  </si>
  <si>
    <t>TXTR 2008 Snapshot</t>
  </si>
  <si>
    <t>XRTA_TXTR_2008_FT_MV</t>
  </si>
  <si>
    <t>VALN</t>
  </si>
  <si>
    <t>ALIGNMENT - VERTICAL GRADE</t>
  </si>
  <si>
    <t>V_NM_VALN</t>
  </si>
  <si>
    <t>VERTICAL GRADE</t>
  </si>
  <si>
    <t>RALN</t>
  </si>
  <si>
    <t>RC06</t>
  </si>
  <si>
    <t>RCRK 2006 Snapshot</t>
  </si>
  <si>
    <t>XRTA_RCRK_2006_FT_MV</t>
  </si>
  <si>
    <t>RF08</t>
  </si>
  <si>
    <t>RUFF 2008 Snapshot</t>
  </si>
  <si>
    <t>XRTA_RUFF_2008_FT_MV</t>
  </si>
  <si>
    <t>HALN</t>
  </si>
  <si>
    <t>ALIGNMENT - HORIZONTAL RADIUS</t>
  </si>
  <si>
    <t>V_NM_HALN</t>
  </si>
  <si>
    <t>HORIZONTAL ALIGNMENT</t>
  </si>
  <si>
    <t>XFAL</t>
  </si>
  <si>
    <t>ALIGNMENT - PAVEMENT CROSSFALL</t>
  </si>
  <si>
    <t>V_NM_XFAL</t>
  </si>
  <si>
    <t>PAVEMENT CROSSFALL</t>
  </si>
  <si>
    <t>CR08</t>
  </si>
  <si>
    <t>CRCK 2008 Snapshot</t>
  </si>
  <si>
    <t>XRTA_CRCK_2008_FT_MV</t>
  </si>
  <si>
    <t>SK06</t>
  </si>
  <si>
    <t>SKID 2006 Snapshot</t>
  </si>
  <si>
    <t>XRTA_SKID_2006_FT_MV</t>
  </si>
  <si>
    <t>RC07</t>
  </si>
  <si>
    <t>RCRK 2007 Snapshot</t>
  </si>
  <si>
    <t>XRTA_RCRK_2007_FT_MV</t>
  </si>
  <si>
    <t>SK05</t>
  </si>
  <si>
    <t>SKID 2005 Snapshot</t>
  </si>
  <si>
    <t>XRTA_SKID_2005_FT_MV</t>
  </si>
  <si>
    <t>RC08</t>
  </si>
  <si>
    <t>RCRK 2008 Snapshot</t>
  </si>
  <si>
    <t>XRTA_RCRK_2008_FT_MV</t>
  </si>
  <si>
    <t>RC05</t>
  </si>
  <si>
    <t>RCRK 2005 Snapshot</t>
  </si>
  <si>
    <t>XRTA_RCRK_2005_FT_MV</t>
  </si>
  <si>
    <t>NEH</t>
  </si>
  <si>
    <t>Network Hierarchy</t>
  </si>
  <si>
    <t>V_NM_NEH</t>
  </si>
  <si>
    <t>NECZ</t>
  </si>
  <si>
    <t>Network Climate Zones</t>
  </si>
  <si>
    <t>V_NM_NECZ</t>
  </si>
  <si>
    <t>PAVD</t>
  </si>
  <si>
    <t>Pavement Description</t>
  </si>
  <si>
    <t>V_NM_PAVD</t>
  </si>
  <si>
    <t>PPM</t>
  </si>
  <si>
    <t>Pavement Performance Measures</t>
  </si>
  <si>
    <t>V_NM_PPM</t>
  </si>
  <si>
    <t>SSRC</t>
  </si>
  <si>
    <t>V_STP_RCSC_SCHEME_SDO - Foreign Table asset type</t>
  </si>
  <si>
    <t>V_STP_RCSC_SCHEME_SDO</t>
  </si>
  <si>
    <t>SS_SCHEME_PK</t>
  </si>
  <si>
    <t>SNPS</t>
  </si>
  <si>
    <t>Strategic Network Planning Sections</t>
  </si>
  <si>
    <t>V_NM_SNPS</t>
  </si>
  <si>
    <t>SNP Sections</t>
  </si>
  <si>
    <t>RSNP</t>
  </si>
  <si>
    <t>SK08</t>
  </si>
  <si>
    <t>SKID 2008 Snapshot</t>
  </si>
  <si>
    <t>XRTA_SKID_2008_FT_MV</t>
  </si>
  <si>
    <t>PR06</t>
  </si>
  <si>
    <t>PROF 2006 Snapshot</t>
  </si>
  <si>
    <t>XRTA_PROF_2006_FT_MV</t>
  </si>
  <si>
    <t>SLAR</t>
  </si>
  <si>
    <t>SEG, AUSLINK, LGA, RANK</t>
  </si>
  <si>
    <t>V_NM_SLAR</t>
  </si>
  <si>
    <t>RC09</t>
  </si>
  <si>
    <t>RCRK 2009 Snapshot</t>
  </si>
  <si>
    <t>XRTA_RCRK_2009_FT_MV</t>
  </si>
  <si>
    <t>PR05</t>
  </si>
  <si>
    <t>PROF 2005 Snapshot</t>
  </si>
  <si>
    <t>XRTA_PROF_2005_FT_MV</t>
  </si>
  <si>
    <t>XCRA</t>
  </si>
  <si>
    <t>Derived Culverts for Risk Analysis</t>
  </si>
  <si>
    <t>V_NM_XCRA</t>
  </si>
  <si>
    <t>Derived Culverts</t>
  </si>
  <si>
    <t>SK09</t>
  </si>
  <si>
    <t>SKID 2009 Snapshot</t>
  </si>
  <si>
    <t>XRTA_SKID_2009_FT_MV</t>
  </si>
  <si>
    <t>PR07</t>
  </si>
  <si>
    <t>PROF 2007 Snapshot</t>
  </si>
  <si>
    <t>XRTA_PROF_2007_FT_MV</t>
  </si>
  <si>
    <t>PR08</t>
  </si>
  <si>
    <t>PROF 2008 Snapshot</t>
  </si>
  <si>
    <t>XRTA_PROF_2008_FT_MV</t>
  </si>
  <si>
    <t>D_DS</t>
  </si>
  <si>
    <t>Deflectograph Summary</t>
  </si>
  <si>
    <t>BPR_DDS</t>
  </si>
  <si>
    <t>ZCLV</t>
  </si>
  <si>
    <t>Derived Culvert Asset</t>
  </si>
  <si>
    <t>V_NM_ZCLV</t>
  </si>
  <si>
    <t>RDER</t>
  </si>
  <si>
    <t>SIGN</t>
  </si>
  <si>
    <t>V_NM_SIGN</t>
  </si>
  <si>
    <t>RGAD</t>
  </si>
  <si>
    <t>ZCLA</t>
  </si>
  <si>
    <t>Derived Culvert Administration Asset</t>
  </si>
  <si>
    <t>V_NM_ZCLA</t>
  </si>
  <si>
    <t>Derived Culvert Admin</t>
  </si>
  <si>
    <t>ZCLS</t>
  </si>
  <si>
    <t>Derived Culvert Surface Asset</t>
  </si>
  <si>
    <t>V_NM_ZCLS</t>
  </si>
  <si>
    <t>Derived Culvert Surf</t>
  </si>
  <si>
    <t>POUT</t>
  </si>
  <si>
    <t>PSMC Pavement Works to Update PAVD</t>
  </si>
  <si>
    <t>V_NM_POUT</t>
  </si>
  <si>
    <t>PSMC Works</t>
  </si>
  <si>
    <t>Culvert Risk Assessment</t>
  </si>
  <si>
    <t>V_NM_CRA</t>
  </si>
  <si>
    <t>TSD</t>
  </si>
  <si>
    <t>Traffic Speed Deflectograph Prototype</t>
  </si>
  <si>
    <t>V_NM_TSD</t>
  </si>
  <si>
    <t>TSDP</t>
  </si>
  <si>
    <t>PR09</t>
  </si>
  <si>
    <t>PROF 2009 Snapshot</t>
  </si>
  <si>
    <t>XRTA_PROF_2009_FT_MV</t>
  </si>
  <si>
    <t>SEGA</t>
  </si>
  <si>
    <t>Segment Asset Gaps Overlaps Analysis</t>
  </si>
  <si>
    <t>V_NM_SEGA</t>
  </si>
  <si>
    <t>Segment Asset Analysis</t>
  </si>
  <si>
    <t>D_HL</t>
  </si>
  <si>
    <t>HRM Longitudinal</t>
  </si>
  <si>
    <t>BPR_DHL</t>
  </si>
  <si>
    <t>CRAF</t>
  </si>
  <si>
    <t>Culvert Risk Assessment Failure Mechanisms</t>
  </si>
  <si>
    <t>V_NM_CRAF</t>
  </si>
  <si>
    <t>CRA Failure Mechanisms</t>
  </si>
  <si>
    <t>CRAC</t>
  </si>
  <si>
    <t>Culvert risk Assessment Action Costs</t>
  </si>
  <si>
    <t>V_NM_CRAC</t>
  </si>
  <si>
    <t>CRA Action Costs</t>
  </si>
  <si>
    <t>SK10</t>
  </si>
  <si>
    <t>SKID 2010 Snapshot</t>
  </si>
  <si>
    <t>XRTA_SKID_2010_FT_MV</t>
  </si>
  <si>
    <t>FWDL</t>
  </si>
  <si>
    <t>FWD Linear</t>
  </si>
  <si>
    <t>V_NM_FWDL</t>
  </si>
  <si>
    <t>CLVG</t>
  </si>
  <si>
    <t>Culvert Geom Line</t>
  </si>
  <si>
    <t>V_NM_CLVG</t>
  </si>
  <si>
    <t>PR10</t>
  </si>
  <si>
    <t>PROF 2010 Snapshot</t>
  </si>
  <si>
    <t>XRTA_PROF_2010_FT_MV</t>
  </si>
  <si>
    <t>RC10</t>
  </si>
  <si>
    <t>RCRK 2010 Snapshot</t>
  </si>
  <si>
    <t>XRTA_RCRK_2010_FT_MV</t>
  </si>
  <si>
    <t>D_DF</t>
  </si>
  <si>
    <t>Deflectograph</t>
  </si>
  <si>
    <t>BPR_DDF</t>
  </si>
  <si>
    <t>D_HR</t>
  </si>
  <si>
    <t>HRM Rutting Depth</t>
  </si>
  <si>
    <t>BPR_DHR</t>
  </si>
  <si>
    <t>D_HT</t>
  </si>
  <si>
    <t>HRM Macrotexture</t>
  </si>
  <si>
    <t>BPR_DHT</t>
  </si>
  <si>
    <t>D_MI</t>
  </si>
  <si>
    <t>HRM Macrotexture Interval</t>
  </si>
  <si>
    <t>BPR_DMI</t>
  </si>
  <si>
    <t>D_RC</t>
  </si>
  <si>
    <t>Road Construction</t>
  </si>
  <si>
    <t>BPR_DRC</t>
  </si>
  <si>
    <t>D_RI</t>
  </si>
  <si>
    <t>HRM Rutting Depth Interval</t>
  </si>
  <si>
    <t>BPR_DRI</t>
  </si>
  <si>
    <t>D_SR</t>
  </si>
  <si>
    <t>Skid</t>
  </si>
  <si>
    <t>BPR_DSR</t>
  </si>
  <si>
    <t>SK11</t>
  </si>
  <si>
    <t>SKID 2011 Snapshot</t>
  </si>
  <si>
    <t>XRTA_SKID_2011_FT_MV</t>
  </si>
  <si>
    <t>SOIL</t>
  </si>
  <si>
    <t>Sub-Soil Type</t>
  </si>
  <si>
    <t>V_NM_SOIL</t>
  </si>
  <si>
    <t>Sub-Soil Type, source DEH</t>
  </si>
  <si>
    <t>PR11</t>
  </si>
  <si>
    <t>PROF 2011 Snapshot</t>
  </si>
  <si>
    <t>XRTA_PROF_2011_FT_MV</t>
  </si>
  <si>
    <t>RC11</t>
  </si>
  <si>
    <t>RCRK 2011 Snapshot</t>
  </si>
  <si>
    <t>XRTA_RCRK_2011_FT_MV</t>
  </si>
  <si>
    <t>ZSTP</t>
  </si>
  <si>
    <t>Derived Asset for STEPPE</t>
  </si>
  <si>
    <t>V_NM_ZSTP</t>
  </si>
  <si>
    <t>Steppe input</t>
  </si>
  <si>
    <t>PRO$</t>
  </si>
  <si>
    <t>Process Alerts</t>
  </si>
  <si>
    <t>V_NM_PRO$</t>
  </si>
  <si>
    <t>HIG_PROCESS_ALERT_LOG</t>
  </si>
  <si>
    <t>EXT$</t>
  </si>
  <si>
    <t>HPAL_ID</t>
  </si>
  <si>
    <t>XBOM</t>
  </si>
  <si>
    <t>Bureau of Met Sites</t>
  </si>
  <si>
    <t>V_NM_XBOM</t>
  </si>
  <si>
    <t>BOM Sites</t>
  </si>
  <si>
    <t>XRTA_BOM_SITES_MV</t>
  </si>
  <si>
    <t>ZLCT</t>
  </si>
  <si>
    <t>Derived Lane Count</t>
  </si>
  <si>
    <t>V_NM_ZLCT</t>
  </si>
  <si>
    <t>GIPS</t>
  </si>
  <si>
    <t>GIPSICAM GEOMETRY DATA</t>
  </si>
  <si>
    <t>V_NM_GIPS</t>
  </si>
  <si>
    <t>GIPSICAM GEOMETRY</t>
  </si>
  <si>
    <t>TUSE</t>
  </si>
  <si>
    <t>Traffic Use</t>
  </si>
  <si>
    <t>V_NM_TUSE</t>
  </si>
  <si>
    <t>Percent Following - TRARR Modelling</t>
  </si>
  <si>
    <t>V_NM_PF</t>
  </si>
  <si>
    <t>Percent Following</t>
  </si>
  <si>
    <t>LPM</t>
  </si>
  <si>
    <t>Longitudinal Pavement Marking</t>
  </si>
  <si>
    <t>V_NM_LPM</t>
  </si>
  <si>
    <t>XEME</t>
  </si>
  <si>
    <t>EMME 2 Transport Modelling on SNPS</t>
  </si>
  <si>
    <t>V_NM_XEME</t>
  </si>
  <si>
    <t>EMME-SNPS</t>
  </si>
  <si>
    <t>SK12</t>
  </si>
  <si>
    <t>SKID 2012 Snapshot</t>
  </si>
  <si>
    <t>XRTA_SKID_2012_FT_MV</t>
  </si>
  <si>
    <t>Culverts (Non-Bridge Size) RELOC</t>
  </si>
  <si>
    <t>V_NM_CLTT</t>
  </si>
  <si>
    <t>Culverts Relocated</t>
  </si>
  <si>
    <t>ZNPA</t>
  </si>
  <si>
    <t>SNPA RESULTS</t>
  </si>
  <si>
    <t>BRIG</t>
  </si>
  <si>
    <t xml:space="preserve">Bridge Data </t>
  </si>
  <si>
    <t>BRIDGE_DATA</t>
  </si>
  <si>
    <t>XRTA_BRIDGE_DATA_FT</t>
  </si>
  <si>
    <t>IIT_NE_ID</t>
  </si>
  <si>
    <t>CRSH</t>
  </si>
  <si>
    <t>Crash Data</t>
  </si>
  <si>
    <t>V_NM_CRSH</t>
  </si>
  <si>
    <t>ROTR</t>
  </si>
  <si>
    <t>Road Train Routes</t>
  </si>
  <si>
    <t>V_NM_ROTR</t>
  </si>
  <si>
    <t>ROAD TRAIN ROUTES</t>
  </si>
  <si>
    <t>SLPE</t>
  </si>
  <si>
    <t xml:space="preserve">SLOPE Data </t>
  </si>
  <si>
    <t>SLOPE DATA</t>
  </si>
  <si>
    <t>XRTA_SLOPE_DATA_FT</t>
  </si>
  <si>
    <t>PR12</t>
  </si>
  <si>
    <t>PROF 2012 Snapshot</t>
  </si>
  <si>
    <t>XRTA_PROF_2012_FT_MV</t>
  </si>
  <si>
    <t>RC12</t>
  </si>
  <si>
    <t>RCRK 2012 Snapshot</t>
  </si>
  <si>
    <t>XRTA_RCRK_2012_FT_MV</t>
  </si>
  <si>
    <t>P001</t>
  </si>
  <si>
    <t>PROF - PT1 - 2008</t>
  </si>
  <si>
    <t>EXCL PROF</t>
  </si>
  <si>
    <t>PROF_PT1_2008</t>
  </si>
  <si>
    <t>P002</t>
  </si>
  <si>
    <t>PROF - P - 2000</t>
  </si>
  <si>
    <t>PROF_P_2000</t>
  </si>
  <si>
    <t>P003</t>
  </si>
  <si>
    <t>PROF - PT1 - 2012</t>
  </si>
  <si>
    <t>PROF_PT1_2012</t>
  </si>
  <si>
    <t>P004</t>
  </si>
  <si>
    <t>PROF - CT2 - 2010</t>
  </si>
  <si>
    <t>PROF_CT2_2010</t>
  </si>
  <si>
    <t>P005</t>
  </si>
  <si>
    <t>PROF - C - 2002</t>
  </si>
  <si>
    <t>PROF_C_2002</t>
  </si>
  <si>
    <t>P006</t>
  </si>
  <si>
    <t>PROF - C - 1999</t>
  </si>
  <si>
    <t>PROF_C_1999</t>
  </si>
  <si>
    <t>P007</t>
  </si>
  <si>
    <t>PROF - P - 2004</t>
  </si>
  <si>
    <t>PROF_P_2004</t>
  </si>
  <si>
    <t>P008</t>
  </si>
  <si>
    <t>PROF - P - 2005</t>
  </si>
  <si>
    <t>PROF_P_2005</t>
  </si>
  <si>
    <t>P009</t>
  </si>
  <si>
    <t>PROF - CT1 - 2008</t>
  </si>
  <si>
    <t>PROF_CT1_2008</t>
  </si>
  <si>
    <t>P010</t>
  </si>
  <si>
    <t>PROF - P - 2008</t>
  </si>
  <si>
    <t>PROF_P_2008</t>
  </si>
  <si>
    <t>P011</t>
  </si>
  <si>
    <t>PROF - PT2 - 2010</t>
  </si>
  <si>
    <t>PROF_PT2_2010</t>
  </si>
  <si>
    <t>P012</t>
  </si>
  <si>
    <t>PROF - PT1 - 2011</t>
  </si>
  <si>
    <t>PROF_PT1_2011</t>
  </si>
  <si>
    <t>P013</t>
  </si>
  <si>
    <t>PROF - PT4 - 2010</t>
  </si>
  <si>
    <t>PROF_PT4_2010</t>
  </si>
  <si>
    <t>P014</t>
  </si>
  <si>
    <t>PROF - CT3 - 2009</t>
  </si>
  <si>
    <t>PROF_CT3_2009</t>
  </si>
  <si>
    <t>P015</t>
  </si>
  <si>
    <t>PROF - PT4 - 2011</t>
  </si>
  <si>
    <t>PROF_PT4_2011</t>
  </si>
  <si>
    <t>P016</t>
  </si>
  <si>
    <t>PROF - PT5 - 2011</t>
  </si>
  <si>
    <t>PROF_PT5_2011</t>
  </si>
  <si>
    <t>P017</t>
  </si>
  <si>
    <t>PROF - P - 2003</t>
  </si>
  <si>
    <t>PROF_P_2003</t>
  </si>
  <si>
    <t>P018</t>
  </si>
  <si>
    <t>PROF - C - 2005</t>
  </si>
  <si>
    <t>PROF_C_2005</t>
  </si>
  <si>
    <t>P019</t>
  </si>
  <si>
    <t>PROF - PT3 - 2008</t>
  </si>
  <si>
    <t>PROF_PT3_2008</t>
  </si>
  <si>
    <t>P020</t>
  </si>
  <si>
    <t>PROF - PT4 - 2008</t>
  </si>
  <si>
    <t>PROF_PT4_2008</t>
  </si>
  <si>
    <t>P021</t>
  </si>
  <si>
    <t>PROF - PT5 - 2010</t>
  </si>
  <si>
    <t>PROF_PT5_2010</t>
  </si>
  <si>
    <t>P022</t>
  </si>
  <si>
    <t>PROF - PT3 - 2011</t>
  </si>
  <si>
    <t>PROF_PT3_2011</t>
  </si>
  <si>
    <t>P023</t>
  </si>
  <si>
    <t>PROF - PT4 - 2012</t>
  </si>
  <si>
    <t>PROF_PT4_2012</t>
  </si>
  <si>
    <t>P024</t>
  </si>
  <si>
    <t>PROF - P - 2002</t>
  </si>
  <si>
    <t>PROF_P_2002</t>
  </si>
  <si>
    <t>P025</t>
  </si>
  <si>
    <t>PROF - C - 2004</t>
  </si>
  <si>
    <t>PROF_C_2004</t>
  </si>
  <si>
    <t>P026</t>
  </si>
  <si>
    <t>PROF - P - 2006</t>
  </si>
  <si>
    <t>PROF_P_2006</t>
  </si>
  <si>
    <t>P027</t>
  </si>
  <si>
    <t>PROF - PT3 - 2013</t>
  </si>
  <si>
    <t>PROF_PT3_2013</t>
  </si>
  <si>
    <t>P028</t>
  </si>
  <si>
    <t>PROF - PT4 - 2013</t>
  </si>
  <si>
    <t>PROF_PT4_2013</t>
  </si>
  <si>
    <t>P029</t>
  </si>
  <si>
    <t>PROF - PT2 - 2009</t>
  </si>
  <si>
    <t>PROF_PT2_2009</t>
  </si>
  <si>
    <t>P030</t>
  </si>
  <si>
    <t>PROF - CT3 - 2008</t>
  </si>
  <si>
    <t>PROF_CT3_2008</t>
  </si>
  <si>
    <t>P031</t>
  </si>
  <si>
    <t>PROF - C - 2008</t>
  </si>
  <si>
    <t>PROF_C_2008</t>
  </si>
  <si>
    <t>P032</t>
  </si>
  <si>
    <t>PROF - C - 2000</t>
  </si>
  <si>
    <t>PROF_C_2000</t>
  </si>
  <si>
    <t>P033</t>
  </si>
  <si>
    <t>PROF - PT1 - 2009</t>
  </si>
  <si>
    <t>PROF_PT1_2009</t>
  </si>
  <si>
    <t>P034</t>
  </si>
  <si>
    <t>PROF - PT1 - 2013</t>
  </si>
  <si>
    <t>PROF_PT1_2013</t>
  </si>
  <si>
    <t>P035</t>
  </si>
  <si>
    <t>PROF - CT4 - 2013</t>
  </si>
  <si>
    <t>PROF_CT4_2013</t>
  </si>
  <si>
    <t>P036</t>
  </si>
  <si>
    <t>PROF - CT1 - 2009</t>
  </si>
  <si>
    <t>PROF_CT1_2009</t>
  </si>
  <si>
    <t>P037</t>
  </si>
  <si>
    <t>PROF - CT1 - 2011</t>
  </si>
  <si>
    <t>PROF_CT1_2011</t>
  </si>
  <si>
    <t>P038</t>
  </si>
  <si>
    <t>PROF - CT4 - 2012</t>
  </si>
  <si>
    <t>PROF_CT4_2012</t>
  </si>
  <si>
    <t>P039</t>
  </si>
  <si>
    <t>PROF - CT5 - 2012</t>
  </si>
  <si>
    <t>PROF_CT5_2012</t>
  </si>
  <si>
    <t>P040</t>
  </si>
  <si>
    <t>PROF - PT5 - 2012</t>
  </si>
  <si>
    <t>PROF_PT5_2012</t>
  </si>
  <si>
    <t>P041</t>
  </si>
  <si>
    <t>PROF - P - 1999</t>
  </si>
  <si>
    <t>PROF_P_1999</t>
  </si>
  <si>
    <t>P042</t>
  </si>
  <si>
    <t>PROF - C - 2003</t>
  </si>
  <si>
    <t>PROF_C_2003</t>
  </si>
  <si>
    <t>P043</t>
  </si>
  <si>
    <t>PROF - P - 2001</t>
  </si>
  <si>
    <t>PROF_P_2001</t>
  </si>
  <si>
    <t>P044</t>
  </si>
  <si>
    <t>PROF - CT2 - 2012</t>
  </si>
  <si>
    <t>PROF_CT2_2012</t>
  </si>
  <si>
    <t>P045</t>
  </si>
  <si>
    <t>PROF - CT2 - 2013</t>
  </si>
  <si>
    <t>PROF_CT2_2013</t>
  </si>
  <si>
    <t>P046</t>
  </si>
  <si>
    <t>PROF - PT2 - 2013</t>
  </si>
  <si>
    <t>PROF_PT2_2013</t>
  </si>
  <si>
    <t>P047</t>
  </si>
  <si>
    <t>PROF - CT1 - 2013</t>
  </si>
  <si>
    <t>PROF_CT1_2013</t>
  </si>
  <si>
    <t>P048</t>
  </si>
  <si>
    <t>PROF - C - 2009</t>
  </si>
  <si>
    <t>PROF_C_2009</t>
  </si>
  <si>
    <t>P049</t>
  </si>
  <si>
    <t>PROF - CT1 - 2012</t>
  </si>
  <si>
    <t>PROF_CT1_2012</t>
  </si>
  <si>
    <t>P050</t>
  </si>
  <si>
    <t>PROF - CT3 - 2012</t>
  </si>
  <si>
    <t>PROF_CT3_2012</t>
  </si>
  <si>
    <t>P051</t>
  </si>
  <si>
    <t>PROF - C - 2006</t>
  </si>
  <si>
    <t>PROF_C_2006</t>
  </si>
  <si>
    <t>P052</t>
  </si>
  <si>
    <t>PROF - PT1 - 2010</t>
  </si>
  <si>
    <t>PROF_PT1_2010</t>
  </si>
  <si>
    <t>P053</t>
  </si>
  <si>
    <t>PROF - CT1 - 2010</t>
  </si>
  <si>
    <t>PROF_CT1_2010</t>
  </si>
  <si>
    <t>P054</t>
  </si>
  <si>
    <t>PROF - P - 2009</t>
  </si>
  <si>
    <t>PROF_P_2009</t>
  </si>
  <si>
    <t>P055</t>
  </si>
  <si>
    <t>PROF - CT2 - 2011</t>
  </si>
  <si>
    <t>PROF_CT2_2011</t>
  </si>
  <si>
    <t>P056</t>
  </si>
  <si>
    <t>PROF - PT3 - 2012</t>
  </si>
  <si>
    <t>PROF_PT3_2012</t>
  </si>
  <si>
    <t>P057</t>
  </si>
  <si>
    <t>PROF - CT2 - 2009</t>
  </si>
  <si>
    <t>PROF_CT2_2009</t>
  </si>
  <si>
    <t>P058</t>
  </si>
  <si>
    <t>PROF - CT5 - 2010</t>
  </si>
  <si>
    <t>PROF_CT5_2010</t>
  </si>
  <si>
    <t>P059</t>
  </si>
  <si>
    <t>PROF - P - 2007</t>
  </si>
  <si>
    <t>PROF_P_2007</t>
  </si>
  <si>
    <t>P060</t>
  </si>
  <si>
    <t>PROF - C - 2007</t>
  </si>
  <si>
    <t>PROF_C_2007</t>
  </si>
  <si>
    <t>P061</t>
  </si>
  <si>
    <t>PROF - PT2 - 2008</t>
  </si>
  <si>
    <t>PROF_PT2_2008</t>
  </si>
  <si>
    <t>P062</t>
  </si>
  <si>
    <t>PROF - CT2 - 2008</t>
  </si>
  <si>
    <t>PROF_CT2_2008</t>
  </si>
  <si>
    <t>P063</t>
  </si>
  <si>
    <t>PROF - C - 2001</t>
  </si>
  <si>
    <t>PROF_C_2001</t>
  </si>
  <si>
    <t>P064</t>
  </si>
  <si>
    <t>PROF - CT4 - 2008</t>
  </si>
  <si>
    <t>PROF_CT4_2008</t>
  </si>
  <si>
    <t>P065</t>
  </si>
  <si>
    <t>PROF - PT2 - 2012</t>
  </si>
  <si>
    <t>PROF_PT2_2012</t>
  </si>
  <si>
    <t>P066</t>
  </si>
  <si>
    <t>PROF - CT3 - 2013</t>
  </si>
  <si>
    <t>PROF_CT3_2013</t>
  </si>
  <si>
    <t>P067</t>
  </si>
  <si>
    <t>PROF - CT3 - 2010</t>
  </si>
  <si>
    <t>PROF_CT3_2010</t>
  </si>
  <si>
    <t>P068</t>
  </si>
  <si>
    <t>PROF - PT3 - 2010</t>
  </si>
  <si>
    <t>PROF_PT3_2010</t>
  </si>
  <si>
    <t>P069</t>
  </si>
  <si>
    <t>PROF - CT4 - 2010</t>
  </si>
  <si>
    <t>PROF_CT4_2010</t>
  </si>
  <si>
    <t>P070</t>
  </si>
  <si>
    <t>PROF - PT2 - 2011</t>
  </si>
  <si>
    <t>PROF_PT2_2011</t>
  </si>
  <si>
    <t>P071</t>
  </si>
  <si>
    <t>PROF - CT3 - 2011</t>
  </si>
  <si>
    <t>PROF_CT3_2011</t>
  </si>
  <si>
    <t>P072</t>
  </si>
  <si>
    <t>PROF - PT5 - 2013</t>
  </si>
  <si>
    <t>PROF_PT5_2013</t>
  </si>
  <si>
    <t>P073</t>
  </si>
  <si>
    <t>PROF - CT4 - 2011</t>
  </si>
  <si>
    <t>PROF_CT4_2011</t>
  </si>
  <si>
    <t>P074</t>
  </si>
  <si>
    <t>PROF - CT5 - 2011</t>
  </si>
  <si>
    <t>PROF_CT5_2011</t>
  </si>
  <si>
    <t>P075</t>
  </si>
  <si>
    <t>PROF - CT5 - 2013</t>
  </si>
  <si>
    <t>PROF_CT5_2013</t>
  </si>
  <si>
    <t>R037</t>
  </si>
  <si>
    <t>RCRK - P - 2000</t>
  </si>
  <si>
    <t>EXCL RCRK</t>
  </si>
  <si>
    <t>RCRK_P_2000</t>
  </si>
  <si>
    <t>R038</t>
  </si>
  <si>
    <t>RCRK - PT1 - 2008</t>
  </si>
  <si>
    <t>RCRK_PT1_2008</t>
  </si>
  <si>
    <t>R039</t>
  </si>
  <si>
    <t>RCRK - PT1 - 2012</t>
  </si>
  <si>
    <t>RCRK_PT1_2012</t>
  </si>
  <si>
    <t>R040</t>
  </si>
  <si>
    <t>RCRK - CT2 - 2010</t>
  </si>
  <si>
    <t>RCRK_CT2_2010</t>
  </si>
  <si>
    <t>R041</t>
  </si>
  <si>
    <t>RCRK - P - 2008</t>
  </si>
  <si>
    <t>RCRK_P_2008</t>
  </si>
  <si>
    <t>R042</t>
  </si>
  <si>
    <t>RCRK - PT5 - 2009</t>
  </si>
  <si>
    <t>RCRK_PT5_2009</t>
  </si>
  <si>
    <t>R043</t>
  </si>
  <si>
    <t>RCRK - CT3 - 2009</t>
  </si>
  <si>
    <t>RCRK_CT3_2009</t>
  </si>
  <si>
    <t>R044</t>
  </si>
  <si>
    <t>RCRK - P - 2005</t>
  </si>
  <si>
    <t>RCRK_P_2005</t>
  </si>
  <si>
    <t>R045</t>
  </si>
  <si>
    <t>RCRK - P - 2004</t>
  </si>
  <si>
    <t>RCRK_P_2004</t>
  </si>
  <si>
    <t>R046</t>
  </si>
  <si>
    <t>RCRK - C - 2002</t>
  </si>
  <si>
    <t>RCRK_C_2002</t>
  </si>
  <si>
    <t>R047</t>
  </si>
  <si>
    <t>RCRK - CT1 - 2008</t>
  </si>
  <si>
    <t>RCRK_CT1_2008</t>
  </si>
  <si>
    <t>R048</t>
  </si>
  <si>
    <t>RCRK - PT1 - 2011</t>
  </si>
  <si>
    <t>RCRK_PT1_2011</t>
  </si>
  <si>
    <t>R049</t>
  </si>
  <si>
    <t>RCRK - PT2 - 2010</t>
  </si>
  <si>
    <t>RCRK_PT2_2010</t>
  </si>
  <si>
    <t>R050</t>
  </si>
  <si>
    <t>RCRK - PT4 - 2011</t>
  </si>
  <si>
    <t>RCRK_PT4_2011</t>
  </si>
  <si>
    <t>R051</t>
  </si>
  <si>
    <t>RCRK - PT4 - 2010</t>
  </si>
  <si>
    <t>RCRK_PT4_2010</t>
  </si>
  <si>
    <t>R052</t>
  </si>
  <si>
    <t>RCRK - C - 2005</t>
  </si>
  <si>
    <t>RCRK_C_2005</t>
  </si>
  <si>
    <t>R053</t>
  </si>
  <si>
    <t>RCRK - PT3 - 2008</t>
  </si>
  <si>
    <t>RCRK_PT3_2008</t>
  </si>
  <si>
    <t>R054</t>
  </si>
  <si>
    <t>RCRK - P - 2003</t>
  </si>
  <si>
    <t>RCRK_P_2003</t>
  </si>
  <si>
    <t>R055</t>
  </si>
  <si>
    <t>RCRK - PT4 - 2008</t>
  </si>
  <si>
    <t>RCRK_PT4_2008</t>
  </si>
  <si>
    <t>R056</t>
  </si>
  <si>
    <t>RCRK - PT3 - 2011</t>
  </si>
  <si>
    <t>RCRK_PT3_2011</t>
  </si>
  <si>
    <t>R057</t>
  </si>
  <si>
    <t>RCRK - PT4 - 2012</t>
  </si>
  <si>
    <t>RCRK_PT4_2012</t>
  </si>
  <si>
    <t>R058</t>
  </si>
  <si>
    <t>RCRK - P - 2006</t>
  </si>
  <si>
    <t>RCRK_P_2006</t>
  </si>
  <si>
    <t>R059</t>
  </si>
  <si>
    <t>RCRK - PT2 - 2009</t>
  </si>
  <si>
    <t>RCRK_PT2_2009</t>
  </si>
  <si>
    <t>R060</t>
  </si>
  <si>
    <t>RCRK - C - 2004</t>
  </si>
  <si>
    <t>RCRK_C_2004</t>
  </si>
  <si>
    <t>R061</t>
  </si>
  <si>
    <t>RCRK - P - 2002</t>
  </si>
  <si>
    <t>RCRK_P_2002</t>
  </si>
  <si>
    <t>R062</t>
  </si>
  <si>
    <t>RCRK - PT4 - 2013</t>
  </si>
  <si>
    <t>RCRK_PT4_2013</t>
  </si>
  <si>
    <t>R063</t>
  </si>
  <si>
    <t>RCRK - PT3 - 2013</t>
  </si>
  <si>
    <t>RCRK_PT3_2013</t>
  </si>
  <si>
    <t>R064</t>
  </si>
  <si>
    <t>RCRK - C - 2008</t>
  </si>
  <si>
    <t>RCRK_C_2008</t>
  </si>
  <si>
    <t>R065</t>
  </si>
  <si>
    <t>RCRK - CT1 - 2009</t>
  </si>
  <si>
    <t>RCRK_CT1_2009</t>
  </si>
  <si>
    <t>R066</t>
  </si>
  <si>
    <t>RCRK - PT1 - 2009</t>
  </si>
  <si>
    <t>RCRK_PT1_2009</t>
  </si>
  <si>
    <t>R067</t>
  </si>
  <si>
    <t>RCRK - C - 2000</t>
  </si>
  <si>
    <t>RCRK_C_2000</t>
  </si>
  <si>
    <t>R068</t>
  </si>
  <si>
    <t>RCRK - CT3 - 2008</t>
  </si>
  <si>
    <t>RCRK_CT3_2008</t>
  </si>
  <si>
    <t>R069</t>
  </si>
  <si>
    <t>RCRK - CT1 - 2011</t>
  </si>
  <si>
    <t>RCRK_CT1_2011</t>
  </si>
  <si>
    <t>R070</t>
  </si>
  <si>
    <t>RCRK - PT1 - 2013</t>
  </si>
  <si>
    <t>RCRK_PT1_2013</t>
  </si>
  <si>
    <t>R071</t>
  </si>
  <si>
    <t>RCRK - CT4 - 2013</t>
  </si>
  <si>
    <t>RCRK_CT4_2013</t>
  </si>
  <si>
    <t>R072</t>
  </si>
  <si>
    <t>RCRK - CT4 - 2012</t>
  </si>
  <si>
    <t>RCRK_CT4_2012</t>
  </si>
  <si>
    <t>R073</t>
  </si>
  <si>
    <t>RCRK - CT5 - 2012</t>
  </si>
  <si>
    <t>RCRK_CT5_2012</t>
  </si>
  <si>
    <t>R074</t>
  </si>
  <si>
    <t>RCRK - PT3 - 2009</t>
  </si>
  <si>
    <t>RCRK_PT3_2009</t>
  </si>
  <si>
    <t>R075</t>
  </si>
  <si>
    <t>RCRK - CT4 - 2009</t>
  </si>
  <si>
    <t>RCRK_CT4_2009</t>
  </si>
  <si>
    <t>R076</t>
  </si>
  <si>
    <t>RCRK - CT5 - 2009</t>
  </si>
  <si>
    <t>RCRK_CT5_2009</t>
  </si>
  <si>
    <t>R077</t>
  </si>
  <si>
    <t>RCRK - P - 2001</t>
  </si>
  <si>
    <t>RCRK_P_2001</t>
  </si>
  <si>
    <t>R078</t>
  </si>
  <si>
    <t>RCRK - C - 2003</t>
  </si>
  <si>
    <t>RCRK_C_2003</t>
  </si>
  <si>
    <t>R079</t>
  </si>
  <si>
    <t>RCRK - CT1 - 2012</t>
  </si>
  <si>
    <t>RCRK_CT1_2012</t>
  </si>
  <si>
    <t>R080</t>
  </si>
  <si>
    <t>RCRK - CT2 - 2012</t>
  </si>
  <si>
    <t>RCRK_CT2_2012</t>
  </si>
  <si>
    <t>R081</t>
  </si>
  <si>
    <t>RCRK - CT2 - 2013</t>
  </si>
  <si>
    <t>RCRK_CT2_2013</t>
  </si>
  <si>
    <t>R082</t>
  </si>
  <si>
    <t>RCRK - CT1 - 2013</t>
  </si>
  <si>
    <t>RCRK_CT1_2013</t>
  </si>
  <si>
    <t>R083</t>
  </si>
  <si>
    <t>RCRK - PT2 - 2013</t>
  </si>
  <si>
    <t>RCRK_PT2_2013</t>
  </si>
  <si>
    <t>R084</t>
  </si>
  <si>
    <t>RCRK - C - 2009</t>
  </si>
  <si>
    <t>RCRK_C_2009</t>
  </si>
  <si>
    <t>R085</t>
  </si>
  <si>
    <t>RCRK - CT3 - 2012</t>
  </si>
  <si>
    <t>RCRK_CT3_2012</t>
  </si>
  <si>
    <t>R086</t>
  </si>
  <si>
    <t>RCRK - C - 2006</t>
  </si>
  <si>
    <t>RCRK_C_2006</t>
  </si>
  <si>
    <t>R087</t>
  </si>
  <si>
    <t>RCRK - CT2 - 2009</t>
  </si>
  <si>
    <t>RCRK_CT2_2009</t>
  </si>
  <si>
    <t>R088</t>
  </si>
  <si>
    <t>RCRK - PT1 - 2010</t>
  </si>
  <si>
    <t>RCRK_PT1_2010</t>
  </si>
  <si>
    <t>R089</t>
  </si>
  <si>
    <t>RCRK - CT2 - 2011</t>
  </si>
  <si>
    <t>RCRK_CT2_2011</t>
  </si>
  <si>
    <t>R090</t>
  </si>
  <si>
    <t>RCRK - P - 2009</t>
  </si>
  <si>
    <t>RCRK_P_2009</t>
  </si>
  <si>
    <t>R091</t>
  </si>
  <si>
    <t>RCRK - CT1 - 2010</t>
  </si>
  <si>
    <t>RCRK_CT1_2010</t>
  </si>
  <si>
    <t>R092</t>
  </si>
  <si>
    <t>RCRK - PT3 - 2012</t>
  </si>
  <si>
    <t>RCRK_PT3_2012</t>
  </si>
  <si>
    <t>R093</t>
  </si>
  <si>
    <t>RCRK - P - 2007</t>
  </si>
  <si>
    <t>RCRK_P_2007</t>
  </si>
  <si>
    <t>R094</t>
  </si>
  <si>
    <t>RCRK - C - 2007</t>
  </si>
  <si>
    <t>RCRK_C_2007</t>
  </si>
  <si>
    <t>R095</t>
  </si>
  <si>
    <t>RCRK - PT4 - 2009</t>
  </si>
  <si>
    <t>RCRK_PT4_2009</t>
  </si>
  <si>
    <t>R096</t>
  </si>
  <si>
    <t>RCRK - CT2 - 2008</t>
  </si>
  <si>
    <t>RCRK_CT2_2008</t>
  </si>
  <si>
    <t>R097</t>
  </si>
  <si>
    <t>RCRK - PT2 - 2008</t>
  </si>
  <si>
    <t>RCRK_PT2_2008</t>
  </si>
  <si>
    <t>R098</t>
  </si>
  <si>
    <t>RCRK - C - 2001</t>
  </si>
  <si>
    <t>RCRK_C_2001</t>
  </si>
  <si>
    <t>R099</t>
  </si>
  <si>
    <t>RCRK - PT2 - 2012</t>
  </si>
  <si>
    <t>RCRK_PT2_2012</t>
  </si>
  <si>
    <t>R100</t>
  </si>
  <si>
    <t>RCRK - CT4 - 2008</t>
  </si>
  <si>
    <t>RCRK_CT4_2008</t>
  </si>
  <si>
    <t>R101</t>
  </si>
  <si>
    <t>RCRK - PT2 - 2011</t>
  </si>
  <si>
    <t>RCRK_PT2_2011</t>
  </si>
  <si>
    <t>R102</t>
  </si>
  <si>
    <t>RCRK - CT3 - 2013</t>
  </si>
  <si>
    <t>RCRK_CT3_2013</t>
  </si>
  <si>
    <t>R103</t>
  </si>
  <si>
    <t>RCRK - CT3 - 2011</t>
  </si>
  <si>
    <t>RCRK_CT3_2011</t>
  </si>
  <si>
    <t>R104</t>
  </si>
  <si>
    <t>RCRK - CT4 - 2011</t>
  </si>
  <si>
    <t>RCRK_CT4_2011</t>
  </si>
  <si>
    <t>R105</t>
  </si>
  <si>
    <t>RCRK - CT5 - 2013</t>
  </si>
  <si>
    <t>RCRK_CT5_2013</t>
  </si>
  <si>
    <t>R106</t>
  </si>
  <si>
    <t>RCRK - PT5 - 2013</t>
  </si>
  <si>
    <t>RCRK_PT5_2013</t>
  </si>
  <si>
    <t>R107</t>
  </si>
  <si>
    <t>RCRK - PT3 - 2010</t>
  </si>
  <si>
    <t>RCRK_PT3_2010</t>
  </si>
  <si>
    <t>R108</t>
  </si>
  <si>
    <t>RCRK - CT4 - 2010</t>
  </si>
  <si>
    <t>RCRK_CT4_2010</t>
  </si>
  <si>
    <t>S001</t>
  </si>
  <si>
    <t>SKID - CT1 - 2008</t>
  </si>
  <si>
    <t>EXCL SKID</t>
  </si>
  <si>
    <t>SKID_CT1_2008</t>
  </si>
  <si>
    <t>S002</t>
  </si>
  <si>
    <t>SKID - PT1 - 2008</t>
  </si>
  <si>
    <t>SKID_PT1_2008</t>
  </si>
  <si>
    <t>S003</t>
  </si>
  <si>
    <t>SKID - C - 2009</t>
  </si>
  <si>
    <t>SKID_C_2009</t>
  </si>
  <si>
    <t>S004</t>
  </si>
  <si>
    <t>SKID - P - 2009</t>
  </si>
  <si>
    <t>SKID_P_2009</t>
  </si>
  <si>
    <t>S005</t>
  </si>
  <si>
    <t>SKID - PT4 - 2008</t>
  </si>
  <si>
    <t>SKID_PT4_2008</t>
  </si>
  <si>
    <t>S006</t>
  </si>
  <si>
    <t>SKID - PT2 - 2011</t>
  </si>
  <si>
    <t>SKID_PT2_2011</t>
  </si>
  <si>
    <t>S007</t>
  </si>
  <si>
    <t>SKID - CT3 - 2011</t>
  </si>
  <si>
    <t>SKID_CT3_2011</t>
  </si>
  <si>
    <t>S008</t>
  </si>
  <si>
    <t>SKID - P - 2003</t>
  </si>
  <si>
    <t>SKID_P_2003</t>
  </si>
  <si>
    <t>S009</t>
  </si>
  <si>
    <t>SKID - C - 2003</t>
  </si>
  <si>
    <t>SKID_C_2003</t>
  </si>
  <si>
    <t>S010</t>
  </si>
  <si>
    <t>SKID - PT1 - 2011</t>
  </si>
  <si>
    <t>SKID_PT1_2011</t>
  </si>
  <si>
    <t>S011</t>
  </si>
  <si>
    <t>SKID - P - 1905</t>
  </si>
  <si>
    <t>SKID_P_1905</t>
  </si>
  <si>
    <t>S012</t>
  </si>
  <si>
    <t>SKID - PT3 - 2011</t>
  </si>
  <si>
    <t>SKID_PT3_2011</t>
  </si>
  <si>
    <t>S013</t>
  </si>
  <si>
    <t>SKID - PT1 - 2010</t>
  </si>
  <si>
    <t>SKID_PT1_2010</t>
  </si>
  <si>
    <t>S014</t>
  </si>
  <si>
    <t>SKID - P - 2004</t>
  </si>
  <si>
    <t>SKID_P_2004</t>
  </si>
  <si>
    <t>S015</t>
  </si>
  <si>
    <t>SKID - C - 2004</t>
  </si>
  <si>
    <t>SKID_C_2004</t>
  </si>
  <si>
    <t>S016</t>
  </si>
  <si>
    <t>SKID - C - 2008</t>
  </si>
  <si>
    <t>SKID_C_2008</t>
  </si>
  <si>
    <t>S017</t>
  </si>
  <si>
    <t>SKID - PT3 - 2010</t>
  </si>
  <si>
    <t>SKID_PT3_2010</t>
  </si>
  <si>
    <t>S018</t>
  </si>
  <si>
    <t>SKID - CT3 - 2008</t>
  </si>
  <si>
    <t>SKID_CT3_2008</t>
  </si>
  <si>
    <t>S019</t>
  </si>
  <si>
    <t>SKID - P - 2006</t>
  </si>
  <si>
    <t>SKID_P_2006</t>
  </si>
  <si>
    <t>S020</t>
  </si>
  <si>
    <t>SKID - P - 2008</t>
  </si>
  <si>
    <t>SKID_P_2008</t>
  </si>
  <si>
    <t>S021</t>
  </si>
  <si>
    <t>SKID - CT1 - 2012</t>
  </si>
  <si>
    <t>SKID_CT1_2012</t>
  </si>
  <si>
    <t>S022</t>
  </si>
  <si>
    <t>SKID - PT1 - 2012</t>
  </si>
  <si>
    <t>SKID_PT1_2012</t>
  </si>
  <si>
    <t>S023</t>
  </si>
  <si>
    <t>SKID - CT1 - 2010</t>
  </si>
  <si>
    <t>SKID_CT1_2010</t>
  </si>
  <si>
    <t>S024</t>
  </si>
  <si>
    <t>SKID - CT3 - 2010</t>
  </si>
  <si>
    <t>SKID_CT3_2010</t>
  </si>
  <si>
    <t>S025</t>
  </si>
  <si>
    <t>SKID - CT2 - 2008</t>
  </si>
  <si>
    <t>SKID_CT2_2008</t>
  </si>
  <si>
    <t>S026</t>
  </si>
  <si>
    <t>SKID - PT2 - 2008</t>
  </si>
  <si>
    <t>SKID_PT2_2008</t>
  </si>
  <si>
    <t>S027</t>
  </si>
  <si>
    <t>SKID - CT2 - 2011</t>
  </si>
  <si>
    <t>SKID_CT2_2011</t>
  </si>
  <si>
    <t>S028</t>
  </si>
  <si>
    <t>SKID - CT2 - 2012</t>
  </si>
  <si>
    <t>SKID_CT2_2012</t>
  </si>
  <si>
    <t>S029</t>
  </si>
  <si>
    <t>SKID - C - 2006</t>
  </si>
  <si>
    <t>SKID_C_2006</t>
  </si>
  <si>
    <t>S030</t>
  </si>
  <si>
    <t>SKID - C - 1905</t>
  </si>
  <si>
    <t>SKID_C_1905</t>
  </si>
  <si>
    <t>S031</t>
  </si>
  <si>
    <t>SKID - PT2 - 2010</t>
  </si>
  <si>
    <t>SKID_PT2_2010</t>
  </si>
  <si>
    <t>S032</t>
  </si>
  <si>
    <t>SKID - CT2 - 2010</t>
  </si>
  <si>
    <t>SKID_CT2_2010</t>
  </si>
  <si>
    <t>S033</t>
  </si>
  <si>
    <t>SKID - PT3 - 2008</t>
  </si>
  <si>
    <t>SKID_PT3_2008</t>
  </si>
  <si>
    <t>S034</t>
  </si>
  <si>
    <t>SKID - CT4 - 2008</t>
  </si>
  <si>
    <t>SKID_CT4_2008</t>
  </si>
  <si>
    <t>S035</t>
  </si>
  <si>
    <t>SKID - CT1 - 2011</t>
  </si>
  <si>
    <t>SKID_CT1_2011</t>
  </si>
  <si>
    <t>S036</t>
  </si>
  <si>
    <t>SKID - PT2 - 2012</t>
  </si>
  <si>
    <t>SKID_PT2_2012</t>
  </si>
  <si>
    <t>ZRAA</t>
  </si>
  <si>
    <t>Rest Areas for Austroads Reporting</t>
  </si>
  <si>
    <t>V_NM_ZRAA</t>
  </si>
  <si>
    <t>Rest Areas for Austroads</t>
  </si>
  <si>
    <t>SPZN</t>
  </si>
  <si>
    <t>Speed Zones</t>
  </si>
  <si>
    <t>V_NM_SPZN</t>
  </si>
  <si>
    <t>RC13</t>
  </si>
  <si>
    <t>RCRK 2013 Snapshot</t>
  </si>
  <si>
    <t>XRTA_RCRK_2013_FT_MV</t>
  </si>
  <si>
    <t xml:space="preserve"> Weigh in Motion Sites</t>
  </si>
  <si>
    <t>V_NM_WIM</t>
  </si>
  <si>
    <t xml:space="preserve"> Weigh in Motion</t>
  </si>
  <si>
    <t>PMK</t>
  </si>
  <si>
    <t>Pavement Marking Longitudinal</t>
  </si>
  <si>
    <t>V_NM_PMK</t>
  </si>
  <si>
    <t>Pavement Marking</t>
  </si>
  <si>
    <t>RITS</t>
  </si>
  <si>
    <t>PMKP</t>
  </si>
  <si>
    <t>Pavement Marking Point</t>
  </si>
  <si>
    <t>V_NM_PMKP</t>
  </si>
  <si>
    <t>SE15</t>
  </si>
  <si>
    <t>STATE ELECTORAL DISTRICTS 2015</t>
  </si>
  <si>
    <t>V_NM_SE15</t>
  </si>
  <si>
    <t>SED 2015</t>
  </si>
  <si>
    <t>UCL</t>
  </si>
  <si>
    <t>Urban Centre and Locaility</t>
  </si>
  <si>
    <t>V_NM_UCL</t>
  </si>
  <si>
    <t>Urban Centre Locaility</t>
  </si>
  <si>
    <t>RSAM</t>
  </si>
  <si>
    <t>RSD Accomplishments</t>
  </si>
  <si>
    <t>V_NM_RSAM</t>
  </si>
  <si>
    <t>RSD</t>
  </si>
  <si>
    <t>Routine Services Data</t>
  </si>
  <si>
    <t>V_NM_RSD</t>
  </si>
  <si>
    <t>RSDE</t>
  </si>
  <si>
    <t>RSD Defects</t>
  </si>
  <si>
    <t>V_NM_RSDE</t>
  </si>
  <si>
    <t>RSIC</t>
  </si>
  <si>
    <t>RSD Incidents</t>
  </si>
  <si>
    <t>V_NM_RSIC</t>
  </si>
  <si>
    <t>RSIN</t>
  </si>
  <si>
    <t>RSD Inspections</t>
  </si>
  <si>
    <t>V_NM_RSIN</t>
  </si>
  <si>
    <t>RSRE</t>
  </si>
  <si>
    <t>RSD Requests</t>
  </si>
  <si>
    <t>V_NM_RSRE</t>
  </si>
  <si>
    <t>ENFS</t>
  </si>
  <si>
    <t>Enforcement System</t>
  </si>
  <si>
    <t>V_NM_ENFS</t>
  </si>
  <si>
    <t>ESGN</t>
  </si>
  <si>
    <t>ELECTRONIC SIGN</t>
  </si>
  <si>
    <t>V_NM_ESGN</t>
  </si>
  <si>
    <t>LITE</t>
  </si>
  <si>
    <t>Street Lighting</t>
  </si>
  <si>
    <t>V_NM_LITE</t>
  </si>
  <si>
    <t>Tidal Flow</t>
  </si>
  <si>
    <t>V_NM_TFS</t>
  </si>
  <si>
    <t>Closed Circuit Television</t>
  </si>
  <si>
    <t>V_NM_CCTV</t>
  </si>
  <si>
    <t>CNCL</t>
  </si>
  <si>
    <t>COUNTER/CLASSIFIER</t>
  </si>
  <si>
    <t>V_NM_CNCL</t>
  </si>
  <si>
    <t>COMS</t>
  </si>
  <si>
    <t>Communication System</t>
  </si>
  <si>
    <t>V_NM_COMS</t>
  </si>
  <si>
    <t>EMP</t>
  </si>
  <si>
    <t>EMERGENCY PHONE</t>
  </si>
  <si>
    <t>V_NM_EMP</t>
  </si>
  <si>
    <t>EMW</t>
  </si>
  <si>
    <t>EMERGENCY WARNING SYSTEM</t>
  </si>
  <si>
    <t>V_NM_EMW</t>
  </si>
  <si>
    <t>PPDM</t>
  </si>
  <si>
    <t>Pavement Projects Sydney West Zone</t>
  </si>
  <si>
    <t>V_NM_PPDM</t>
  </si>
  <si>
    <t>WZ Accomplishments</t>
  </si>
  <si>
    <t>TRAFFIC CONTROL SIGNALS</t>
  </si>
  <si>
    <t>V_NM_TCS</t>
  </si>
  <si>
    <t>TCSL</t>
  </si>
  <si>
    <t>TRAFFIC CONTROL SIGNAL LANTERN</t>
  </si>
  <si>
    <t>V_NM_TCSL</t>
  </si>
  <si>
    <t>TCS Lantern</t>
  </si>
  <si>
    <t>TCSP</t>
  </si>
  <si>
    <t>TRAFFIC CONTROL SIGNAL POST</t>
  </si>
  <si>
    <t>V_NM_TCSP</t>
  </si>
  <si>
    <t>Signal Post</t>
  </si>
  <si>
    <t>WSTN</t>
  </si>
  <si>
    <t>WEATHER STATION</t>
  </si>
  <si>
    <t>V_NM_WSTN</t>
  </si>
  <si>
    <t>TSDN</t>
  </si>
  <si>
    <t>Traffic Speed Deflectograph for Network</t>
  </si>
  <si>
    <t>V_NM_TSDN</t>
  </si>
  <si>
    <t>STPL</t>
  </si>
  <si>
    <t>Stockpile Site</t>
  </si>
  <si>
    <t>V_NM_STPL</t>
  </si>
  <si>
    <t>OFFR</t>
  </si>
  <si>
    <t>Off-road Footpath / Cycleway and Paved Areas</t>
  </si>
  <si>
    <t>V_NM_OFFR</t>
  </si>
  <si>
    <t>RSL</t>
  </si>
  <si>
    <t>Roadside Landscaping</t>
  </si>
  <si>
    <t>V_NM_RSL</t>
  </si>
  <si>
    <t>V_NM_MDN</t>
  </si>
  <si>
    <t>Sub Soil Drainage</t>
  </si>
  <si>
    <t>V_NM_SSD</t>
  </si>
  <si>
    <t>KERB</t>
  </si>
  <si>
    <t>Kerb and Gutter</t>
  </si>
  <si>
    <t>V_NM_KERB</t>
  </si>
  <si>
    <t>ODRN</t>
  </si>
  <si>
    <t>Open Drainage</t>
  </si>
  <si>
    <t>V_NM_ODRN</t>
  </si>
  <si>
    <t>SQID</t>
  </si>
  <si>
    <t>Stormwater Quality Improvement Device</t>
  </si>
  <si>
    <t>V_NM_SQID</t>
  </si>
  <si>
    <t>NISP</t>
  </si>
  <si>
    <t>Noise Wall Inspection</t>
  </si>
  <si>
    <t>V_NM_NISP</t>
  </si>
  <si>
    <t>NDFC</t>
  </si>
  <si>
    <t>Noise Wall Defect</t>
  </si>
  <si>
    <t>V_NM_NDFC</t>
  </si>
  <si>
    <t>STEP</t>
  </si>
  <si>
    <t>STEP ANALYSIS</t>
  </si>
  <si>
    <t>V_NM_STEP</t>
  </si>
  <si>
    <t>BECKETTLMS</t>
  </si>
  <si>
    <t>RALT</t>
  </si>
  <si>
    <t>REST AREA LIGHTING</t>
  </si>
  <si>
    <t>V_NM_RALT</t>
  </si>
  <si>
    <t>PPSZ</t>
  </si>
  <si>
    <t>Pavement Proj Sydney South Zone</t>
  </si>
  <si>
    <t>V_NM_PPSZ</t>
  </si>
  <si>
    <t>SZ Accomplishments</t>
  </si>
  <si>
    <t>STRU</t>
  </si>
  <si>
    <t>TRAFFIC FACILITY SIGN STRUCTURE</t>
  </si>
  <si>
    <t>V_NM_STRU</t>
  </si>
  <si>
    <t>MAJ SIGN STRU</t>
  </si>
  <si>
    <t>STCP</t>
  </si>
  <si>
    <t>TRAFFIC FACILITY STRUCTURE COMPONENT</t>
  </si>
  <si>
    <t>V_NM_STCP</t>
  </si>
  <si>
    <t>STRUCTURE COMPONENT</t>
  </si>
  <si>
    <t>RABU</t>
  </si>
  <si>
    <t>Rest Area Building</t>
  </si>
  <si>
    <t>V_NM_RABU</t>
  </si>
  <si>
    <t>RAFA</t>
  </si>
  <si>
    <t>REST AREA FACILITIES</t>
  </si>
  <si>
    <t>V_NM_RAFA</t>
  </si>
  <si>
    <t>WLBR</t>
  </si>
  <si>
    <t>WILDLIFE AND LIVESTOCK BARRIERS</t>
  </si>
  <si>
    <t>V_NM_WLBR</t>
  </si>
  <si>
    <t>WLCS</t>
  </si>
  <si>
    <t>WILDLIFE CONNECTIVE STRUCTURES</t>
  </si>
  <si>
    <t>V_NM_WLCS</t>
  </si>
  <si>
    <t>SZON</t>
  </si>
  <si>
    <t>School Zone</t>
  </si>
  <si>
    <t>V_NM_SZON</t>
  </si>
  <si>
    <t>SCHL</t>
  </si>
  <si>
    <t>Schools</t>
  </si>
  <si>
    <t>V_NM_SCHL</t>
  </si>
  <si>
    <t>IDCO</t>
  </si>
  <si>
    <t>PC Inv Device Cat Options</t>
  </si>
  <si>
    <t>V_NM_IDCO</t>
  </si>
  <si>
    <t>PC INV Device Category Options</t>
  </si>
  <si>
    <t>PCWO</t>
  </si>
  <si>
    <t>PC WORK ORDERS</t>
  </si>
  <si>
    <t>V_NM_PCWO</t>
  </si>
  <si>
    <t>POWR</t>
  </si>
  <si>
    <t>Power Consumption Rates</t>
  </si>
  <si>
    <t>V_NM_POWR</t>
  </si>
  <si>
    <t>PC Power Consuption Rates</t>
  </si>
  <si>
    <t>SCRD</t>
  </si>
  <si>
    <t>Site Coordination</t>
  </si>
  <si>
    <t>V_NM_SCRD</t>
  </si>
  <si>
    <t>SDEV</t>
  </si>
  <si>
    <t>Site Devices</t>
  </si>
  <si>
    <t>V_NM_SDEV</t>
  </si>
  <si>
    <t>SITE</t>
  </si>
  <si>
    <t>ITS SITE</t>
  </si>
  <si>
    <t>V_NM_SITE</t>
  </si>
  <si>
    <t>SMTR</t>
  </si>
  <si>
    <t>SITE MTNCE AND RECONSTRUCT</t>
  </si>
  <si>
    <t>V_NM_SMTR</t>
  </si>
  <si>
    <t>MAINTENANCE AND RECONSTUCTION</t>
  </si>
  <si>
    <t>DHIS</t>
  </si>
  <si>
    <t>DEVICE HISTORY</t>
  </si>
  <si>
    <t>V_NM_DHIS</t>
  </si>
  <si>
    <t>SK17</t>
  </si>
  <si>
    <t>SKID 2017 Snapshot</t>
  </si>
  <si>
    <t>XRTA_SKID_2017_FT_MV</t>
  </si>
  <si>
    <t>PR15</t>
  </si>
  <si>
    <t>PROF 2015 Snapshot</t>
  </si>
  <si>
    <t>XRTA_PROF_2015_FT_MV</t>
  </si>
  <si>
    <t>PR16</t>
  </si>
  <si>
    <t>PROF 2016 Snapshot</t>
  </si>
  <si>
    <t>XRTA_PROF_2016_FT_MV</t>
  </si>
  <si>
    <t>RC17</t>
  </si>
  <si>
    <t>RCRK 2017 Snapshot</t>
  </si>
  <si>
    <t>XRTA_RCRK_2017_FT_MV</t>
  </si>
  <si>
    <t>PR17</t>
  </si>
  <si>
    <t>PROF 2017 Snapshot</t>
  </si>
  <si>
    <t>XRTA_PROF_2017_FT_MV</t>
  </si>
  <si>
    <t>RC16</t>
  </si>
  <si>
    <t>RCRK 2016 Snapshot</t>
  </si>
  <si>
    <t>XRTA_RCRK_2016_FT_MV</t>
  </si>
  <si>
    <t>RC14</t>
  </si>
  <si>
    <t>RCRK 2014 Snapshot</t>
  </si>
  <si>
    <t>XRTA_RCRK_2014_FT_MV</t>
  </si>
  <si>
    <t>RC15</t>
  </si>
  <si>
    <t>RCRK 2015 Snapshot</t>
  </si>
  <si>
    <t>XRTA_RCRK_2015_FT_MV</t>
  </si>
  <si>
    <t>PR14</t>
  </si>
  <si>
    <t>PROF 2014 Snapshot</t>
  </si>
  <si>
    <t>XRTA_PROF_2014_FT_MV</t>
  </si>
  <si>
    <t>SK14</t>
  </si>
  <si>
    <t>SKID 2014 Snapshot</t>
  </si>
  <si>
    <t>XRTA_SKID_2014_FT_MV</t>
  </si>
  <si>
    <t>PR18</t>
  </si>
  <si>
    <t>PROF 2018 Snapshot</t>
  </si>
  <si>
    <t>XRTA_PROF_2018_FT_MV</t>
  </si>
  <si>
    <t>SK16</t>
  </si>
  <si>
    <t>SKID 2016 Snapshot</t>
  </si>
  <si>
    <t>XRTA_SKID_2016_FT_MV</t>
  </si>
  <si>
    <t>SK15</t>
  </si>
  <si>
    <t>SKID 2015 Snapshot</t>
  </si>
  <si>
    <t>XRTA_SKID_2015_FT_MV</t>
  </si>
  <si>
    <t>RC18</t>
  </si>
  <si>
    <t>RCRK 2018 Snapshot</t>
  </si>
  <si>
    <t>XRTA_RCRK_2018_FT_MV</t>
  </si>
  <si>
    <t>SK18</t>
  </si>
  <si>
    <t>SKID 2018 Snapshot</t>
  </si>
  <si>
    <t>XRTA_SKID_2018_FT_MV</t>
  </si>
  <si>
    <t>SK19</t>
  </si>
  <si>
    <t>SKID 2019 Snapshot</t>
  </si>
  <si>
    <t>XRTA_SKID_2019_FT_MV</t>
  </si>
  <si>
    <t>PR19</t>
  </si>
  <si>
    <t>PROF 2019 Snapshot</t>
  </si>
  <si>
    <t>XRTA_PROF_2019_FT_MV</t>
  </si>
  <si>
    <t>ZCPA</t>
  </si>
  <si>
    <t>Corridor Planning Admin</t>
  </si>
  <si>
    <t>V_NM_ZCPA</t>
  </si>
  <si>
    <t>ZCPB</t>
  </si>
  <si>
    <t>Corridor Planning Bridges</t>
  </si>
  <si>
    <t>V_NM_ZCPB</t>
  </si>
  <si>
    <t>ZCPC</t>
  </si>
  <si>
    <t>Corridor Planning Corridor Assets</t>
  </si>
  <si>
    <t>V_NM_ZCPC</t>
  </si>
  <si>
    <t>Corridor Planning Corridor Ats</t>
  </si>
  <si>
    <t>ZCPG</t>
  </si>
  <si>
    <t>Corridor Planning Geometry</t>
  </si>
  <si>
    <t>V_NM_ZCPG</t>
  </si>
  <si>
    <t>ZCPS</t>
  </si>
  <si>
    <t>Corridor Planning Road Surface</t>
  </si>
  <si>
    <t>V_NM_ZCPS</t>
  </si>
  <si>
    <t>Corridor Planning Surface</t>
  </si>
  <si>
    <t>PMKL</t>
  </si>
  <si>
    <t>V_NM_PMKL</t>
  </si>
  <si>
    <t>PMKS</t>
  </si>
  <si>
    <t>Symbol Pavement Marking</t>
  </si>
  <si>
    <t>V_NM_PMKS</t>
  </si>
  <si>
    <t>PMKT</t>
  </si>
  <si>
    <t>Transverse Pavement Marking</t>
  </si>
  <si>
    <t>V_NM_PMKT</t>
  </si>
  <si>
    <t>RC19</t>
  </si>
  <si>
    <t>RCRK 2019 Snapshot</t>
  </si>
  <si>
    <t>XRTA_RCRK_2019_FT_MV</t>
  </si>
  <si>
    <t>ZSKD</t>
  </si>
  <si>
    <t>100m Derived SCRIM</t>
  </si>
  <si>
    <t>V_NM_ZSKD</t>
  </si>
  <si>
    <t>SCRIM 100m</t>
  </si>
  <si>
    <t>ZRCK</t>
  </si>
  <si>
    <t>100m Derived CRACK</t>
  </si>
  <si>
    <t>V_NM_ZRCK</t>
  </si>
  <si>
    <t>CRACK 100M</t>
  </si>
  <si>
    <t>ZCRK</t>
  </si>
  <si>
    <t>Derived 100M CRACK</t>
  </si>
  <si>
    <t>V_NM_ZCRK</t>
  </si>
  <si>
    <t>RCRK 100M</t>
  </si>
  <si>
    <t>ZPRF</t>
  </si>
  <si>
    <t>Derived 100m Profilometry</t>
  </si>
  <si>
    <t>V_NM_ZPRF</t>
  </si>
  <si>
    <t>PROF 100M</t>
  </si>
  <si>
    <t>ZRPF</t>
  </si>
  <si>
    <t>Cross-sectional data for the classified road network</t>
  </si>
  <si>
    <t>V_NM_ZRPF</t>
  </si>
  <si>
    <t>SK20</t>
  </si>
  <si>
    <t>SKID 2020 Snapshot</t>
  </si>
  <si>
    <t>XRTA_SKID_2020_FT_MV</t>
  </si>
  <si>
    <t>PR20</t>
  </si>
  <si>
    <t>PROF 2020 Snapshot</t>
  </si>
  <si>
    <t>XRTA_PROF_2020_FT_MV</t>
  </si>
  <si>
    <t>RC20</t>
  </si>
  <si>
    <t>RCRK 2020 Snapshot</t>
  </si>
  <si>
    <t>XRTA_RCRK_2020_FT_MV</t>
  </si>
  <si>
    <t>PR21</t>
  </si>
  <si>
    <t>PROF 2021 Snapshot</t>
  </si>
  <si>
    <t>XRTA_PROF_2021_FT_MV</t>
  </si>
  <si>
    <t>RC21</t>
  </si>
  <si>
    <t>RCRK 2021 Snapshot</t>
  </si>
  <si>
    <t>XRTA_RCRK_2021_FT_MV</t>
  </si>
  <si>
    <t>SK21</t>
  </si>
  <si>
    <t>SKID 2021 Snapshot</t>
  </si>
  <si>
    <t>XRTA_SKID_2021_FT_MV</t>
  </si>
  <si>
    <t>EGTE</t>
  </si>
  <si>
    <t>ITS GATE</t>
  </si>
  <si>
    <t>V_NM_EGTE</t>
  </si>
  <si>
    <t>SK23</t>
  </si>
  <si>
    <t>SKID 2023 Snapshot</t>
  </si>
  <si>
    <t>XRTA_SKID_2023_FT_MV</t>
  </si>
  <si>
    <t>RC22</t>
  </si>
  <si>
    <t>RCRK 2022 Snapshot</t>
  </si>
  <si>
    <t>XRTA_RCRK_2022_FT_MV</t>
  </si>
  <si>
    <t>SE23</t>
  </si>
  <si>
    <t>STATE ELECTORAL DISTRICTS 2023</t>
  </si>
  <si>
    <t>V_NM_SE23</t>
  </si>
  <si>
    <t>SED 2023</t>
  </si>
  <si>
    <t>CLMR</t>
  </si>
  <si>
    <t>Contaminated Land Management Register</t>
  </si>
  <si>
    <t>V_NM_CLMR</t>
  </si>
  <si>
    <t>Contaminated Land Register</t>
  </si>
  <si>
    <t>RCLM</t>
  </si>
  <si>
    <t>RC24</t>
  </si>
  <si>
    <t>RCRK 2024 Snapshot</t>
  </si>
  <si>
    <t>XRTA_RCRK_2024_FT_MV</t>
  </si>
  <si>
    <t>SDRN</t>
  </si>
  <si>
    <t>Slotted Drains</t>
  </si>
  <si>
    <t>V_NM_SDRN</t>
  </si>
  <si>
    <t>RMA2</t>
  </si>
  <si>
    <t>FT Inv for "Region (MA) 2021"</t>
  </si>
  <si>
    <t>Region (MA) 2021</t>
  </si>
  <si>
    <t>V_NM_RMA2_RMA2_NT</t>
  </si>
  <si>
    <t>RLG2</t>
  </si>
  <si>
    <t>FT Inv for "Region (LGA) 2021"</t>
  </si>
  <si>
    <t>Region (LGA) 2021</t>
  </si>
  <si>
    <t>V_NM_RLG2_RLG2_NT</t>
  </si>
  <si>
    <t>BSTP</t>
  </si>
  <si>
    <t>Bus Stop</t>
  </si>
  <si>
    <t>V_NM_BSTP</t>
  </si>
  <si>
    <t>CPRK</t>
  </si>
  <si>
    <t>Car Park</t>
  </si>
  <si>
    <t>V_NM_CPRK</t>
  </si>
  <si>
    <t>SK22</t>
  </si>
  <si>
    <t>SKID 2022 Snapshot</t>
  </si>
  <si>
    <t>XRTA_SKID_2022_FT_MV</t>
  </si>
  <si>
    <t>RC23</t>
  </si>
  <si>
    <t>RCRK 2023 Snapshot</t>
  </si>
  <si>
    <t>XRTA_RCRK_2023_FT_MV</t>
  </si>
  <si>
    <t>PR22</t>
  </si>
  <si>
    <t>PROF 2022 Snapshot</t>
  </si>
  <si>
    <t>XRTA_PROF_2022_FT_MV</t>
  </si>
  <si>
    <t>PR23</t>
  </si>
  <si>
    <t>PROF 2023 Snapshot</t>
  </si>
  <si>
    <t>XRTA_PROF_2023_FT_MV</t>
  </si>
  <si>
    <t>CRTZ</t>
  </si>
  <si>
    <t>Road Crack - Tri-Zone</t>
  </si>
  <si>
    <t>V_NM_CRTZ</t>
  </si>
  <si>
    <t>RCRK Tri-Zone</t>
  </si>
  <si>
    <t>PR24</t>
  </si>
  <si>
    <t>PROF 2024 Snapshot</t>
  </si>
  <si>
    <t>XRTA_PROF_2024_FT_MV</t>
  </si>
  <si>
    <t>SK24</t>
  </si>
  <si>
    <t>SKID 2024 Snapshot</t>
  </si>
  <si>
    <t>XRTA_SKID_2024_FT_MV</t>
  </si>
  <si>
    <t>Row Labels</t>
  </si>
  <si>
    <t>Count of UI Field Name</t>
  </si>
  <si>
    <t>Grand Total</t>
  </si>
  <si>
    <t>Attributes Grouping</t>
  </si>
  <si>
    <t>Attributes Description</t>
  </si>
  <si>
    <t xml:space="preserve">Type  </t>
  </si>
  <si>
    <t xml:space="preserve">Over   </t>
  </si>
  <si>
    <t>At (Address)</t>
  </si>
  <si>
    <t xml:space="preserve">Add. Notes   </t>
  </si>
  <si>
    <t xml:space="preserve">Bridge Name  </t>
  </si>
  <si>
    <t>Directorate</t>
  </si>
  <si>
    <t xml:space="preserve">Operational Status </t>
  </si>
  <si>
    <t xml:space="preserve">General File No. </t>
  </si>
  <si>
    <t>Road Class for Structure</t>
  </si>
  <si>
    <t>Mine Subsidence Area</t>
  </si>
  <si>
    <t>Deemed State Work</t>
  </si>
  <si>
    <t>Border Bridge</t>
  </si>
  <si>
    <t>Underwater Inspection Required</t>
  </si>
  <si>
    <t>Step Joint</t>
  </si>
  <si>
    <t>Complex/Unusual Bridge</t>
  </si>
  <si>
    <t>Large/Special Bearing</t>
  </si>
  <si>
    <t>Large/Special Deck Joint</t>
  </si>
  <si>
    <t>Vehicular Traffic On Bridge</t>
  </si>
  <si>
    <t>Pedestrian Use on Structure</t>
  </si>
  <si>
    <t xml:space="preserve">Longitude </t>
  </si>
  <si>
    <t xml:space="preserve">Latitude </t>
  </si>
  <si>
    <t>Annual Average Daily Traffic count - AADT</t>
  </si>
  <si>
    <t>Year (AADT)</t>
  </si>
  <si>
    <t xml:space="preserve">Remarks on the Bridge </t>
  </si>
  <si>
    <t>Road number</t>
  </si>
  <si>
    <t>Link number</t>
  </si>
  <si>
    <t>Link Carriageway Code</t>
  </si>
  <si>
    <t>Version</t>
  </si>
  <si>
    <t>Distance from Start</t>
  </si>
  <si>
    <t>Carriageway Width Minimum</t>
  </si>
  <si>
    <t>Carriageway Width Maximum</t>
  </si>
  <si>
    <t>Carriageway Function</t>
  </si>
  <si>
    <t>Link for Insp.</t>
  </si>
  <si>
    <t>Link for Capt.</t>
  </si>
  <si>
    <t>Prescribed Direction From</t>
  </si>
  <si>
    <t>Lane number</t>
  </si>
  <si>
    <t>Permissible Vertical Clearance</t>
  </si>
  <si>
    <t>Signposted Vertical Clearance</t>
  </si>
  <si>
    <t>Comments for each Carriageway</t>
  </si>
  <si>
    <t>Span Group</t>
  </si>
  <si>
    <t>Estimate</t>
  </si>
  <si>
    <t>Drawing number</t>
  </si>
  <si>
    <t>Comments on Drawings</t>
  </si>
  <si>
    <t>Overall length (m)</t>
  </si>
  <si>
    <t>Total span Length (m)</t>
  </si>
  <si>
    <t>Year Completed (individual Span)</t>
  </si>
  <si>
    <t>Construction Type (Individual Span)</t>
  </si>
  <si>
    <t>LHS (m)</t>
  </si>
  <si>
    <t>RHS (m)</t>
  </si>
  <si>
    <t>Overall Width Min (m)</t>
  </si>
  <si>
    <t>Overall Width Max (m)</t>
  </si>
  <si>
    <t>Overall Length</t>
  </si>
  <si>
    <t>Skew Angle (Degree)</t>
  </si>
  <si>
    <t>In use</t>
  </si>
  <si>
    <t>Height (m)</t>
  </si>
  <si>
    <t>Minimum Width (m)</t>
  </si>
  <si>
    <t>Maximum Width (m)</t>
  </si>
  <si>
    <t>Owner</t>
  </si>
  <si>
    <t>Agreement Date</t>
  </si>
  <si>
    <t>Light Poles Information</t>
  </si>
  <si>
    <t>Light Poles Details</t>
  </si>
  <si>
    <t>Outreach</t>
  </si>
  <si>
    <t>Year Installed</t>
  </si>
  <si>
    <t>Height(m)</t>
  </si>
  <si>
    <t>Deck Continuity</t>
  </si>
  <si>
    <t>No of Joints</t>
  </si>
  <si>
    <t>Year Of Installation</t>
  </si>
  <si>
    <t>Utility Services Screen</t>
  </si>
  <si>
    <t>Service Type</t>
  </si>
  <si>
    <t>Utility Owner</t>
  </si>
  <si>
    <t>No. off / Size</t>
  </si>
  <si>
    <t>Substructure (Abutments/Piers)</t>
  </si>
  <si>
    <t>No. Off</t>
  </si>
  <si>
    <t>Support Type (Abutment or Piers)</t>
  </si>
  <si>
    <t>Type (Protection type)</t>
  </si>
  <si>
    <t>Type (Coating Type)</t>
  </si>
  <si>
    <t>Abutment / Pier Number Details</t>
  </si>
  <si>
    <t>Original Bed Level</t>
  </si>
  <si>
    <t>Scour Warning Bed Level</t>
  </si>
  <si>
    <t>Structurally Critical Bed Level</t>
  </si>
  <si>
    <t>Deck Above /Below HFL (m)</t>
  </si>
  <si>
    <t>HFL Observed Year (YYYY)</t>
  </si>
  <si>
    <t>Catchment Area(sq.km.)</t>
  </si>
  <si>
    <t>Min. Horizontal Navig. Clearance (m)</t>
  </si>
  <si>
    <t>On B-Double Route &lt;checkbox - display only&gt;</t>
  </si>
  <si>
    <t>Date Updated</t>
  </si>
  <si>
    <t>Drawing Reference</t>
  </si>
  <si>
    <t>Component Description</t>
  </si>
  <si>
    <t>Task list Group No</t>
  </si>
  <si>
    <t>Count of Attributes Description</t>
  </si>
  <si>
    <t>Bridge BPD_v1.1</t>
  </si>
  <si>
    <t>not in BPD</t>
  </si>
  <si>
    <t>in BPD partially</t>
  </si>
  <si>
    <t>BPD completed</t>
  </si>
  <si>
    <t>tba</t>
  </si>
  <si>
    <t>BPD_v1.1</t>
  </si>
  <si>
    <t>Gap between BPD and BIS</t>
  </si>
  <si>
    <t>no</t>
  </si>
  <si>
    <t>Table Name</t>
  </si>
  <si>
    <t>Field Name</t>
  </si>
  <si>
    <t>Column2</t>
  </si>
  <si>
    <t>Column3</t>
  </si>
  <si>
    <t>Column4</t>
  </si>
  <si>
    <t>NUMBER,</t>
  </si>
  <si>
    <t>NUMBER(2,0),</t>
  </si>
  <si>
    <t>NUMBER(3,0),</t>
  </si>
  <si>
    <t>NUMBER(4,0),</t>
  </si>
  <si>
    <t>APPROVED_BY</t>
  </si>
  <si>
    <t>VARCHAR2(200),</t>
  </si>
  <si>
    <t>DATE,</t>
  </si>
  <si>
    <t>ARCHIVE_DATE</t>
  </si>
  <si>
    <t>ARCHIVE_REASON</t>
  </si>
  <si>
    <t>VARCHAR2(250),</t>
  </si>
  <si>
    <t>ASBESTOS_YN</t>
  </si>
  <si>
    <t>VARCHAR2(1),</t>
  </si>
  <si>
    <t>B_DOUBLES_ANALYTICAL_RATING</t>
  </si>
  <si>
    <t>NUMBER(5,0),</t>
  </si>
  <si>
    <t>B_DOUBLES_LOAD_RATING</t>
  </si>
  <si>
    <t>B_DOUBLES_TEST_LOAD_RATING</t>
  </si>
  <si>
    <t>BMP_DATE</t>
  </si>
  <si>
    <t>BMP_RISK_LEVEL</t>
  </si>
  <si>
    <t>VARCHAR2(1)</t>
  </si>
  <si>
    <t>DEFAULT</t>
  </si>
  <si>
    <t>'N'</t>
  </si>
  <si>
    <t>,</t>
  </si>
  <si>
    <t>BRDG_TYPE_CODE</t>
  </si>
  <si>
    <t>VARCHAR2(5),</t>
  </si>
  <si>
    <t>VARCHAR2(1000),</t>
  </si>
  <si>
    <t>VARCHAR2(25),</t>
  </si>
  <si>
    <t>'N',</t>
  </si>
  <si>
    <t>VARCHAR2(2),</t>
  </si>
  <si>
    <t>NUMBER(4,2),</t>
  </si>
  <si>
    <t>'Y'</t>
  </si>
  <si>
    <t>VARCHAR2(500),</t>
  </si>
  <si>
    <t>VARCHAR2(6),</t>
  </si>
  <si>
    <t>EASTING</t>
  </si>
  <si>
    <t>NUMBER(9,3),</t>
  </si>
  <si>
    <t>NUMBER(3,2),</t>
  </si>
  <si>
    <t>VARCHAR2(100),</t>
  </si>
  <si>
    <t>HERITAGE_TYPE</t>
  </si>
  <si>
    <t>NUMBER(10,0),</t>
  </si>
  <si>
    <t>NUMBER(7,0),</t>
  </si>
  <si>
    <t>NUMBER(8,5),</t>
  </si>
  <si>
    <t>LEGAL_ANALYTICAL_RATING</t>
  </si>
  <si>
    <t>LEGAL_LOAD_RATING</t>
  </si>
  <si>
    <t>LEGAL_TEST_LOAD_RATING</t>
  </si>
  <si>
    <t>LOAD_TEST_ANALYTICAL_TYPE</t>
  </si>
  <si>
    <t>LOAD_TEST_COMMENT</t>
  </si>
  <si>
    <t>LOAD_TEST_DATE</t>
  </si>
  <si>
    <t>LOAD_TEST_LOAD_TYPE</t>
  </si>
  <si>
    <t>MAINT_COMPLETED</t>
  </si>
  <si>
    <t>VARCHAR2(4000),</t>
  </si>
  <si>
    <t>MAINT_COMPLETED_TIMEFRAME</t>
  </si>
  <si>
    <t>MAINT_DEVELOPED</t>
  </si>
  <si>
    <t>MAINT_DEVELOPED_TIMEFRAME</t>
  </si>
  <si>
    <t>MAINT_IDENTIFIED</t>
  </si>
  <si>
    <t>MAINT_IDENTIFIED_TIMEFRAME</t>
  </si>
  <si>
    <t>MAINT_PLANNED</t>
  </si>
  <si>
    <t>MAINT_PLANNED_TIMEFRAME</t>
  </si>
  <si>
    <t>VARCHAR2(2)</t>
  </si>
  <si>
    <t>NORTHING</t>
  </si>
  <si>
    <t>NUMBER(10,3),</t>
  </si>
  <si>
    <t>NUMBER(6,2),</t>
  </si>
  <si>
    <t>NUMBER(5,2),</t>
  </si>
  <si>
    <t>OVERWRITE_BRDG_TYPE_YN</t>
  </si>
  <si>
    <t>PREPARED_BY</t>
  </si>
  <si>
    <t>PREPARED_DATE</t>
  </si>
  <si>
    <t>RD_CLASS_OVERWRITTEN</t>
  </si>
  <si>
    <t>REVIEW_DATE</t>
  </si>
  <si>
    <t>STRUCTURAL_CONCERNS</t>
  </si>
  <si>
    <t>VARCHAR2(2000),</t>
  </si>
  <si>
    <t>STRUCTURE_ID</t>
  </si>
  <si>
    <t>'Y',</t>
  </si>
  <si>
    <t>WA_MAINTAINING_LIGHT</t>
  </si>
  <si>
    <t>Road Carriageway Code</t>
  </si>
  <si>
    <t>The Carriageway Code was manually populated in TACP based on RAMS pdf document.</t>
  </si>
  <si>
    <t>Long Description</t>
  </si>
  <si>
    <t>Prescribed / Counter</t>
  </si>
  <si>
    <t>Short Description</t>
  </si>
  <si>
    <t>Single Carriageway - carriageways where opposing flows of traffic are not usually separated by a physical median.</t>
  </si>
  <si>
    <t>A - Single Carriageway</t>
  </si>
  <si>
    <t>Divided Carriageways - the carriageway nearest to (adjacent) the road centre median in the Prescribed Direction.</t>
  </si>
  <si>
    <t>B - Divided Carriageway Prescribed 1st</t>
  </si>
  <si>
    <t>Divided Carriageways - the carriageway nearest to (adjacent) the road centre median in the opposite or Counter Direction.</t>
  </si>
  <si>
    <t>Other Through Carriageways - The 2nd (parallel) through carriageway from the road centre median in the Prescribed Direction</t>
  </si>
  <si>
    <t>Other Through Carriageways - The 2nd (parallel) through carriageway from the road centre median in the Counter Direction</t>
  </si>
  <si>
    <t>Other Through Carriageways - The 3rd (parallel) through carriageway from the road centre median in the Prescribed Direction</t>
  </si>
  <si>
    <t>Other Through Carriageways - The 3rd (parallel) through carriageway from the road centre median in the Counter Direction.</t>
  </si>
  <si>
    <t>Joins - Divided Carriageways - The carriageway nearest the median in the Prescribed Direction</t>
  </si>
  <si>
    <t>Joins - Divided Carriageways - The carriageway nearest the median in the Counter Direction</t>
  </si>
  <si>
    <t>Joins - Single Carriageways</t>
  </si>
  <si>
    <t>Connections (at Grade) - Off slip lane from prescribed direction carriageway</t>
  </si>
  <si>
    <t>Connections (at Grade) - On slip lane from counter direction carriageway</t>
  </si>
  <si>
    <t>Connections (at Grade) - On slip lane from prescribed direction carriageway</t>
  </si>
  <si>
    <t>Connections (at Grade) - Off slip lane from counter direction carriageway</t>
  </si>
  <si>
    <t>Service Roads - Prescribed Direction</t>
  </si>
  <si>
    <t>Service Roads - Counter Direction</t>
  </si>
  <si>
    <t>Interchange Ramps (Grade Separated Diamond) - Off ramps from prescribed direction carriageway</t>
  </si>
  <si>
    <t>Interchange Ramps (Grade Separated Diamond) - On ramps to counter direction carriageway</t>
  </si>
  <si>
    <t>Interchange Ramps (Grade Separated Diamond) - On ramps to prescribed direction carriageway</t>
  </si>
  <si>
    <t>Interchange Ramps (Grade Separated Diamond) - Off ramps to counter direction carriageway</t>
  </si>
  <si>
    <t>Interchange Ramps (Grade Separated Loop) - On ramps to prescribed direction carriageway</t>
  </si>
  <si>
    <t>Interchange Ramps (Grade Separated Loop) - off ramps to counter direction carriageway</t>
  </si>
  <si>
    <t>Interchange Ramps (Grade Separated Loop) - Off ramps from prescribed direction carriageway</t>
  </si>
  <si>
    <t>Interchange Ramps (Grade Separated Loop) - On ramps to counter direction carriageway</t>
  </si>
  <si>
    <t>Z</t>
  </si>
  <si>
    <t>Interchange Ramps - Other ramps</t>
  </si>
  <si>
    <t>RD_ID</t>
  </si>
  <si>
    <t>RD_DESCR</t>
  </si>
  <si>
    <t>RC_CLASS</t>
  </si>
  <si>
    <t>RD_STATUS</t>
  </si>
  <si>
    <t>RD_STATUS_DATE</t>
  </si>
  <si>
    <t>HCO_START_DATE</t>
  </si>
  <si>
    <t>HCO_END_DATE</t>
  </si>
  <si>
    <t>0000001</t>
  </si>
  <si>
    <t>PRINCES HIGHWAY</t>
  </si>
  <si>
    <t>HW</t>
  </si>
  <si>
    <t>0000002</t>
  </si>
  <si>
    <t>HUME HIGHWAY</t>
  </si>
  <si>
    <t>0000003</t>
  </si>
  <si>
    <t>FEDERAL HIGHWAY</t>
  </si>
  <si>
    <t>0000004</t>
  </si>
  <si>
    <t>SNOWY MOUNTAINS HIGHWAY</t>
  </si>
  <si>
    <t>0000005</t>
  </si>
  <si>
    <t>GREAT WESTERN HIGHWAY</t>
  </si>
  <si>
    <t>0000006</t>
  </si>
  <si>
    <t>MID WESTERN HIGHWAY</t>
  </si>
  <si>
    <t>0000007</t>
  </si>
  <si>
    <t>MITCHELL HIGHWAY</t>
  </si>
  <si>
    <t>0000008</t>
  </si>
  <si>
    <t>BARRIER HIGHWAY</t>
  </si>
  <si>
    <t>0000009</t>
  </si>
  <si>
    <t>NEW ENGLAND HIGHWAY</t>
  </si>
  <si>
    <t>0000010</t>
  </si>
  <si>
    <t>PACIFIC HIGHWAY</t>
  </si>
  <si>
    <t>0000011</t>
  </si>
  <si>
    <t>OXLEY HIGHWAY</t>
  </si>
  <si>
    <t>0000012</t>
  </si>
  <si>
    <t>GWYDIR HIGHWAY</t>
  </si>
  <si>
    <t>0000013</t>
  </si>
  <si>
    <t>CUMBERLAND HIGHWAY</t>
  </si>
  <si>
    <t>0000014</t>
  </si>
  <si>
    <t>STURT HIGHWAY</t>
  </si>
  <si>
    <t>0000015</t>
  </si>
  <si>
    <t>BARTON HIGHWAY</t>
  </si>
  <si>
    <t>0000016</t>
  </si>
  <si>
    <t>BRUXNER HIGHWAY</t>
  </si>
  <si>
    <t>0000017</t>
  </si>
  <si>
    <t>NEWELL HIGHWAY</t>
  </si>
  <si>
    <t>0000018</t>
  </si>
  <si>
    <t>CASTLEREAGH HIGHWAY</t>
  </si>
  <si>
    <t>0000019</t>
  </si>
  <si>
    <t>MONARO HIGHWAY</t>
  </si>
  <si>
    <t>0000020</t>
  </si>
  <si>
    <t>RIVERINA HIGHWAY</t>
  </si>
  <si>
    <t>0000021</t>
  </si>
  <si>
    <t>COBB HIGHWAY</t>
  </si>
  <si>
    <t>0000022</t>
  </si>
  <si>
    <t>SILVER CITY HIGHWAY</t>
  </si>
  <si>
    <t>0000023</t>
  </si>
  <si>
    <t>CHARLESTOWN-SANDGATE HIGHWAY</t>
  </si>
  <si>
    <t>0000025</t>
  </si>
  <si>
    <t>ILLAWARRA HIGHWAY</t>
  </si>
  <si>
    <t>0000027</t>
  </si>
  <si>
    <t>GOLDEN HIGHWAY</t>
  </si>
  <si>
    <t>0000028</t>
  </si>
  <si>
    <t>CARNARVON HIGHWAY</t>
  </si>
  <si>
    <t>0000029</t>
  </si>
  <si>
    <t>KAMILAROI HIGHWAY</t>
  </si>
  <si>
    <t>0000030</t>
  </si>
  <si>
    <t>CENTRAL COAST HIGHWAY</t>
  </si>
  <si>
    <t>0000031</t>
  </si>
  <si>
    <t>GOLD COAST HIGHWAY</t>
  </si>
  <si>
    <t>0000032</t>
  </si>
  <si>
    <t>TO BE REISSUED</t>
  </si>
  <si>
    <t>0000051</t>
  </si>
  <si>
    <t>BATEMANS BAY-QUEANBEYAN</t>
  </si>
  <si>
    <t>MR</t>
  </si>
  <si>
    <t>0000052</t>
  </si>
  <si>
    <t>JERRABOMBERRA-CROOKWELL</t>
  </si>
  <si>
    <t>0000054</t>
  </si>
  <si>
    <t>GOULBURN-ILFORD</t>
  </si>
  <si>
    <t>0000055</t>
  </si>
  <si>
    <t>CRABOON-MULLALEY</t>
  </si>
  <si>
    <t>0000056</t>
  </si>
  <si>
    <t>LACHLAN VALLEY WAY</t>
  </si>
  <si>
    <t>0000057</t>
  </si>
  <si>
    <t>OLD JUNEE-NYNGAN</t>
  </si>
  <si>
    <t>0000059</t>
  </si>
  <si>
    <t>COLLINGULLIE-JERILDERIE</t>
  </si>
  <si>
    <t>0000061</t>
  </si>
  <si>
    <t>ORANGE-CONDOBOLIN</t>
  </si>
  <si>
    <t>0000062</t>
  </si>
  <si>
    <t>SCONE-MERRIWA</t>
  </si>
  <si>
    <t>0000063</t>
  </si>
  <si>
    <t>TAMWORTH-YETMAN</t>
  </si>
  <si>
    <t>0000065</t>
  </si>
  <si>
    <t>LISMORE-BANGALOW</t>
  </si>
  <si>
    <t>0000066</t>
  </si>
  <si>
    <t>NR MENINDEE-BROKEN HILL</t>
  </si>
  <si>
    <t>0000067</t>
  </si>
  <si>
    <t>SWAN HILL-IVANHOE</t>
  </si>
  <si>
    <t>0000068</t>
  </si>
  <si>
    <t>NR RENMARK (SA)-BOURKE</t>
  </si>
  <si>
    <t>0000070</t>
  </si>
  <si>
    <t>COOLABAH-NR HEBEL (QLD)</t>
  </si>
  <si>
    <t>0000073</t>
  </si>
  <si>
    <t>WALCHA-INVERELL</t>
  </si>
  <si>
    <t>0000074</t>
  </si>
  <si>
    <t>EBOR-GRAFTON</t>
  </si>
  <si>
    <t>0000075</t>
  </si>
  <si>
    <t>KEMPSEY-WOLLOMOMBI</t>
  </si>
  <si>
    <t>0000076</t>
  </si>
  <si>
    <t>WATERFALL WAY</t>
  </si>
  <si>
    <t>0000078</t>
  </si>
  <si>
    <t>OLYMPIC HIGHWAY</t>
  </si>
  <si>
    <t>0000079</t>
  </si>
  <si>
    <t>DOUGHBOY-GOULBURN</t>
  </si>
  <si>
    <t>0000080</t>
  </si>
  <si>
    <t>NARRANDERA-MOSSGIEL</t>
  </si>
  <si>
    <t>0000081</t>
  </si>
  <si>
    <t>SOUTH BROKEN HILL-SILVERTON</t>
  </si>
  <si>
    <t>0000082</t>
  </si>
  <si>
    <t>NEWCASTLE-MINMI</t>
  </si>
  <si>
    <t>0000083</t>
  </si>
  <si>
    <t>SUMMERLAND WAY</t>
  </si>
  <si>
    <t>0000084</t>
  </si>
  <si>
    <t>BURLEY GRIFFIN WAY</t>
  </si>
  <si>
    <t>0000085</t>
  </si>
  <si>
    <t>JINGELLIC-GILMORE</t>
  </si>
  <si>
    <t>0000086</t>
  </si>
  <si>
    <t>MURRAY RIVER-COROWA</t>
  </si>
  <si>
    <t>0000087</t>
  </si>
  <si>
    <t>COOLAC-COOTAMUNDRA</t>
  </si>
  <si>
    <t>0000089</t>
  </si>
  <si>
    <t>TOMINGLEY-NARROMINE</t>
  </si>
  <si>
    <t>0000090</t>
  </si>
  <si>
    <t>BUCKETTS WAY</t>
  </si>
  <si>
    <t>0000091</t>
  </si>
  <si>
    <t>SOUTH PAMBULA-BOMBALA</t>
  </si>
  <si>
    <t>0000092</t>
  </si>
  <si>
    <t>NOWRA-BRAIDWOOD</t>
  </si>
  <si>
    <t>0000093</t>
  </si>
  <si>
    <t>SOUTH BOMBALA-VIC BORDER</t>
  </si>
  <si>
    <t>0000094</t>
  </si>
  <si>
    <t>DENILIQUIN-SWAN HILL</t>
  </si>
  <si>
    <t>0000095</t>
  </si>
  <si>
    <t>WOLLONGONG-PHEASANTS NEST</t>
  </si>
  <si>
    <t>0000101</t>
  </si>
  <si>
    <t>MAITLAND-WEISMANTELS</t>
  </si>
  <si>
    <t>0000102</t>
  </si>
  <si>
    <t>EAST MAITLAND-NR WALLALONG</t>
  </si>
  <si>
    <t>0000104</t>
  </si>
  <si>
    <t>SALT ASH-EAST MAITLAND</t>
  </si>
  <si>
    <t>0000105</t>
  </si>
  <si>
    <t>SCONE-NUNDLE-NEMINGHA</t>
  </si>
  <si>
    <t>0000106</t>
  </si>
  <si>
    <t>NUNDLE-WALLABADAH</t>
  </si>
  <si>
    <t>0000108</t>
  </si>
  <si>
    <t>MAYFIELD WEST-SHOAL BAY</t>
  </si>
  <si>
    <t>0000109</t>
  </si>
  <si>
    <t>WINGHAM-BULGONG</t>
  </si>
  <si>
    <t>0000110</t>
  </si>
  <si>
    <t>NR BULAHDELAH-BOORAL</t>
  </si>
  <si>
    <t>0000111</t>
  </si>
  <si>
    <t>NR BULAHDELAH-FORSTER-KIWARRIC</t>
  </si>
  <si>
    <t>0000118</t>
  </si>
  <si>
    <t>MACKSVILLE-BELLINGEN</t>
  </si>
  <si>
    <t>0000119</t>
  </si>
  <si>
    <t>DORRIGO-TYRINGHAM</t>
  </si>
  <si>
    <t>0000120</t>
  </si>
  <si>
    <t>CORAMBA-DORRIGO</t>
  </si>
  <si>
    <t>0000124</t>
  </si>
  <si>
    <t>ARMIDALE-YARROWYCK</t>
  </si>
  <si>
    <t>0000125</t>
  </si>
  <si>
    <t>ALBURY-URANA</t>
  </si>
  <si>
    <t>0000126</t>
  </si>
  <si>
    <t>WALLABADAH-QUIRINDI</t>
  </si>
  <si>
    <t>0000127</t>
  </si>
  <si>
    <t>WEE WAA-PILLIGA</t>
  </si>
  <si>
    <t>0000128</t>
  </si>
  <si>
    <t>NR GOSTWYCK-SINGLETON</t>
  </si>
  <si>
    <t>0000129</t>
  </si>
  <si>
    <t>NR QUIRINDI-QUAMBONE</t>
  </si>
  <si>
    <t>0000130</t>
  </si>
  <si>
    <t>QUIRINDI-WEST TAMWORTH</t>
  </si>
  <si>
    <t>0000131</t>
  </si>
  <si>
    <t>LOWESDALE-URANA</t>
  </si>
  <si>
    <t>0000132</t>
  </si>
  <si>
    <t>BUNDARRA-BARRABA</t>
  </si>
  <si>
    <t>0000133</t>
  </si>
  <si>
    <t>BINGARA-NARRABRI</t>
  </si>
  <si>
    <t>0000134</t>
  </si>
  <si>
    <t>BINGARA-DELUNGEA</t>
  </si>
  <si>
    <t>0000135</t>
  </si>
  <si>
    <t>EBOR-GILGAI</t>
  </si>
  <si>
    <t>0000136</t>
  </si>
  <si>
    <t>DEEPWATER-INVERELL</t>
  </si>
  <si>
    <t>0000137</t>
  </si>
  <si>
    <t>INVERELL-BONSHAW</t>
  </si>
  <si>
    <t>0000138</t>
  </si>
  <si>
    <t>BRUXNER HIGHWAY-TEXAS (QLD)</t>
  </si>
  <si>
    <t>0000139</t>
  </si>
  <si>
    <t>RYDE-PENNANT HILLS</t>
  </si>
  <si>
    <t>0000141</t>
  </si>
  <si>
    <t>KYOGLE-MURWILLUMBAH</t>
  </si>
  <si>
    <t>0000142</t>
  </si>
  <si>
    <t>LISMORE-MURWILLUMBAH</t>
  </si>
  <si>
    <t>0000143</t>
  </si>
  <si>
    <t>MURWILLUMBAH-QLD BORDER</t>
  </si>
  <si>
    <t>0000145</t>
  </si>
  <si>
    <t>WOODBURN-CASINO</t>
  </si>
  <si>
    <t>0000146</t>
  </si>
  <si>
    <t>BALLINA-TEVEN</t>
  </si>
  <si>
    <t>0000148</t>
  </si>
  <si>
    <t>CORAKI-SOUTH GUNDURIMBAH</t>
  </si>
  <si>
    <t>0000150</t>
  </si>
  <si>
    <t>JUNCTION HILL-TABULAM</t>
  </si>
  <si>
    <t>0000151</t>
  </si>
  <si>
    <t>COFFS HARBOUR-SOUTH GRAFTON</t>
  </si>
  <si>
    <t>0000152</t>
  </si>
  <si>
    <t>GRAFTON-MACLEAN-YAMBA</t>
  </si>
  <si>
    <t>0000153</t>
  </si>
  <si>
    <t>WOODBURN-EVANS HEAD</t>
  </si>
  <si>
    <t>0000154</t>
  </si>
  <si>
    <t>NARELLAN-WINDSOR</t>
  </si>
  <si>
    <t>0000155</t>
  </si>
  <si>
    <t>LUDDENHAM-RICHMOND</t>
  </si>
  <si>
    <t>0000156</t>
  </si>
  <si>
    <t>CASTLE HILL RD (CASTLE HILL)</t>
  </si>
  <si>
    <t>0000157</t>
  </si>
  <si>
    <t>SHOWGROUND RD (CASTLE HILL)</t>
  </si>
  <si>
    <t>0000158</t>
  </si>
  <si>
    <t>ERMINGTON-CARLINGFORD</t>
  </si>
  <si>
    <t>0000159</t>
  </si>
  <si>
    <t>SEAFORTH-MANLY-BROOKVALE</t>
  </si>
  <si>
    <t>0000160</t>
  </si>
  <si>
    <t>BAULKHAM HILLS-MAROOTA</t>
  </si>
  <si>
    <t>0000161</t>
  </si>
  <si>
    <t>GALSTON RD (HORNSBY-DURAL)</t>
  </si>
  <si>
    <t>0000162</t>
  </si>
  <si>
    <t>RYDE-MONA VALE</t>
  </si>
  <si>
    <t>0000163</t>
  </si>
  <si>
    <t>CLARENDON-RICHMOND RAAF BASE</t>
  </si>
  <si>
    <t>0000164</t>
  </si>
  <si>
    <t>NORTH SYDNEY-PALM BEACH</t>
  </si>
  <si>
    <t>0000165</t>
  </si>
  <si>
    <t>MILLERS PT-PARRAMATTA</t>
  </si>
  <si>
    <t>0000166</t>
  </si>
  <si>
    <t>GLADESVILLE BR-LANE COVE</t>
  </si>
  <si>
    <t>0000167</t>
  </si>
  <si>
    <t>NEWTOWN-MOOREBANK</t>
  </si>
  <si>
    <t>0000168</t>
  </si>
  <si>
    <t>SYDNEY AIRPORT-PEAKHURST</t>
  </si>
  <si>
    <t>0000169</t>
  </si>
  <si>
    <t>BRIGHTON-LE-SANDS-CAMPSIE</t>
  </si>
  <si>
    <t>0000170</t>
  </si>
  <si>
    <t>CHIFLEY-PYRMONT</t>
  </si>
  <si>
    <t>0000171</t>
  </si>
  <si>
    <t>LA PEROUSE-EAST SYDNEY</t>
  </si>
  <si>
    <t>0000172</t>
  </si>
  <si>
    <t>EAST SYDNEY-NORTH BONDI</t>
  </si>
  <si>
    <t>0000173</t>
  </si>
  <si>
    <t>EAST SYDNEY-VAUCLUSE</t>
  </si>
  <si>
    <t>0000174</t>
  </si>
  <si>
    <t>MONA VALE-TERREY HILLS</t>
  </si>
  <si>
    <t>0000177</t>
  </si>
  <si>
    <t>BULLI HEIGHTS-GLENFIELD</t>
  </si>
  <si>
    <t>0000178</t>
  </si>
  <si>
    <t>CAMPBELLTOWN-CAMDEN</t>
  </si>
  <si>
    <t>0000179</t>
  </si>
  <si>
    <t>MALDON-CAMPBELLTOWN</t>
  </si>
  <si>
    <t>0000181</t>
  </si>
  <si>
    <t>MCGRATHS HILL-NR SINGLETON</t>
  </si>
  <si>
    <t>0000182</t>
  </si>
  <si>
    <t>WINDSOR-SOUTH MAROOTA</t>
  </si>
  <si>
    <t>0000183</t>
  </si>
  <si>
    <t>RANDWICK-ST PETERS</t>
  </si>
  <si>
    <t>0000184</t>
  </si>
  <si>
    <t>PARRAMATTA-MT VICTORIA</t>
  </si>
  <si>
    <t>0000185</t>
  </si>
  <si>
    <t>LAWRENCE HARGRAVE DR</t>
  </si>
  <si>
    <t>0000186</t>
  </si>
  <si>
    <t>WOLLONGONG-NR MT KEIRA</t>
  </si>
  <si>
    <t>0000187</t>
  </si>
  <si>
    <t>INVERELL-ROCKY DAM</t>
  </si>
  <si>
    <t>0000188</t>
  </si>
  <si>
    <t>NEWCASTLE-WARATAH WEST</t>
  </si>
  <si>
    <t>0000189</t>
  </si>
  <si>
    <t>LISTON ROAD</t>
  </si>
  <si>
    <t>0000190</t>
  </si>
  <si>
    <t>LUCAS HEIGHTS-DUNDAS</t>
  </si>
  <si>
    <t>0000191</t>
  </si>
  <si>
    <t>CHATSWOOD-NORTH RYDE</t>
  </si>
  <si>
    <t>0000192</t>
  </si>
  <si>
    <t>TAREE-WINGHAM</t>
  </si>
  <si>
    <t>0000193</t>
  </si>
  <si>
    <t>ALEXANDRIA-NEWTOWN</t>
  </si>
  <si>
    <t>0000194</t>
  </si>
  <si>
    <t>SANS SOUCI-BOTANY</t>
  </si>
  <si>
    <t>0000195</t>
  </si>
  <si>
    <t>MULBRING-MAITLAND</t>
  </si>
  <si>
    <t>0000197</t>
  </si>
  <si>
    <t>MURRAY RIVER-HOWLONG</t>
  </si>
  <si>
    <t>0000198</t>
  </si>
  <si>
    <t>KEMPSEY-SOUTH WEST ROCKS</t>
  </si>
  <si>
    <t>0000199</t>
  </si>
  <si>
    <t>CARINGBAH-KOGARAH</t>
  </si>
  <si>
    <t>0000200</t>
  </si>
  <si>
    <t>BLAKEHURST-RYDE</t>
  </si>
  <si>
    <t>0000202</t>
  </si>
  <si>
    <t>NR WARREN-CARINDA</t>
  </si>
  <si>
    <t>0000205</t>
  </si>
  <si>
    <t>MENDOORAN-COONAMBLE</t>
  </si>
  <si>
    <t>0000208</t>
  </si>
  <si>
    <t>SANDY HOLLOW-MUDGEE</t>
  </si>
  <si>
    <t>0000209</t>
  </si>
  <si>
    <t>MUSWELLBROOK-DENMAN</t>
  </si>
  <si>
    <t>0000211</t>
  </si>
  <si>
    <t>HOLBROOK-WAGGA WAGGA</t>
  </si>
  <si>
    <t>0000213</t>
  </si>
  <si>
    <t>MT THORLEY-NR DENMAN</t>
  </si>
  <si>
    <t>0000214</t>
  </si>
  <si>
    <t>NR MUDGEE-NR CASSILIS</t>
  </si>
  <si>
    <t>0000215</t>
  </si>
  <si>
    <t>NR ILFORD-NR BYLONG</t>
  </si>
  <si>
    <t>0000216</t>
  </si>
  <si>
    <t>SOFALA-NR MUDGEE</t>
  </si>
  <si>
    <t>0000217</t>
  </si>
  <si>
    <t>MORRISET-WALLSEND</t>
  </si>
  <si>
    <t>0000220</t>
  </si>
  <si>
    <t>TORONTO-BRANXTON</t>
  </si>
  <si>
    <t>0000222</t>
  </si>
  <si>
    <t>KYALITE-TOOLEYBUC</t>
  </si>
  <si>
    <t>0000223</t>
  </si>
  <si>
    <t>BROADMEADOW-KURRI KURRI</t>
  </si>
  <si>
    <t>0000225</t>
  </si>
  <si>
    <t>KARIONG-WISEMANS FERRY</t>
  </si>
  <si>
    <t>0000226</t>
  </si>
  <si>
    <t>BAROOGA-VIC BORDER</t>
  </si>
  <si>
    <t>0000227</t>
  </si>
  <si>
    <t>CRONULLA-KIRRAWEE</t>
  </si>
  <si>
    <t>0000228</t>
  </si>
  <si>
    <t>NYMAGEE-HERMIDALE</t>
  </si>
  <si>
    <t>0000231</t>
  </si>
  <si>
    <t>GIRRAL-LAKE CARGELLIGO</t>
  </si>
  <si>
    <t>0000232</t>
  </si>
  <si>
    <t>GARAH-BOONANGAR</t>
  </si>
  <si>
    <t>0000233</t>
  </si>
  <si>
    <t>GULGONG-PARKES</t>
  </si>
  <si>
    <t>0000234</t>
  </si>
  <si>
    <t>MOLONG-YEOVAL</t>
  </si>
  <si>
    <t>0000235</t>
  </si>
  <si>
    <t>COOTAMUNDRA-STOCKINBINGAL</t>
  </si>
  <si>
    <t>0000236</t>
  </si>
  <si>
    <t>GRENFELL-FORBES</t>
  </si>
  <si>
    <t>0000237</t>
  </si>
  <si>
    <t>GRENFELL-ORANGE</t>
  </si>
  <si>
    <t>0000238</t>
  </si>
  <si>
    <t>NR CANOWINDRA-PARKES</t>
  </si>
  <si>
    <t>0000239</t>
  </si>
  <si>
    <t>HENRY LAWSON WAY</t>
  </si>
  <si>
    <t>0000240</t>
  </si>
  <si>
    <t>WAGGA WAGGA-ARDLETHAN</t>
  </si>
  <si>
    <t>0000241</t>
  </si>
  <si>
    <t>GUNNING-TEMORA</t>
  </si>
  <si>
    <t>0000243</t>
  </si>
  <si>
    <t>GUNDAGAI-GRONG GRONG</t>
  </si>
  <si>
    <t>0000244</t>
  </si>
  <si>
    <t>NR CARRATHOOL-GUNBAR SOUTH</t>
  </si>
  <si>
    <t>0000245</t>
  </si>
  <si>
    <t>BLAYNEY-ORANGE</t>
  </si>
  <si>
    <t>0000248</t>
  </si>
  <si>
    <t>TARALGA-BOOROWA</t>
  </si>
  <si>
    <t>0000250</t>
  </si>
  <si>
    <t>EDWARD ST (COROWA)</t>
  </si>
  <si>
    <t>0000252</t>
  </si>
  <si>
    <t>PERTHVILLE-BURRAGA</t>
  </si>
  <si>
    <t>0000253</t>
  </si>
  <si>
    <t>HARTLEY-JENOLAN CAVES-BATHURST</t>
  </si>
  <si>
    <t>0000254</t>
  </si>
  <si>
    <t>WUMBULGAL-YOOGALI</t>
  </si>
  <si>
    <t>0000255</t>
  </si>
  <si>
    <t>NR OBERON-DIAMOND SWAMP</t>
  </si>
  <si>
    <t>0000256</t>
  </si>
  <si>
    <t>GOULBURN-OBERON</t>
  </si>
  <si>
    <t>0000258</t>
  </si>
  <si>
    <t>MITTAGONG-TARALGA</t>
  </si>
  <si>
    <t>0000259</t>
  </si>
  <si>
    <t>CAMDEN-LAKE BURRAGORANG</t>
  </si>
  <si>
    <t>0000260</t>
  </si>
  <si>
    <t>MOSS VALE-MITTAGONG</t>
  </si>
  <si>
    <t>0000261</t>
  </si>
  <si>
    <t>BOMADERRY-MOSS VALE</t>
  </si>
  <si>
    <t>0000262</t>
  </si>
  <si>
    <t>ALBION PARK RAIL-ALBION PARK</t>
  </si>
  <si>
    <t>0000264</t>
  </si>
  <si>
    <t>KIAMA-ROBERTSON</t>
  </si>
  <si>
    <t>0000266</t>
  </si>
  <si>
    <t>JAMBEROO-ALBION PARK</t>
  </si>
  <si>
    <t>0000268</t>
  </si>
  <si>
    <t>BUNGENDORE-TARAGO</t>
  </si>
  <si>
    <t>0000270</t>
  </si>
  <si>
    <t>BRAIDWOOD-QUEANBEYAN</t>
  </si>
  <si>
    <t>0000272</t>
  </si>
  <si>
    <t>BEGA-TILBA</t>
  </si>
  <si>
    <t>0000275</t>
  </si>
  <si>
    <t>BEGA-CATHCART</t>
  </si>
  <si>
    <t>0000278</t>
  </si>
  <si>
    <t>TUMUT-YASS</t>
  </si>
  <si>
    <t>0000279</t>
  </si>
  <si>
    <t>TUMUT-GUNDAGAI</t>
  </si>
  <si>
    <t>0000280</t>
  </si>
  <si>
    <t>WONDALGA-TUMBLONG</t>
  </si>
  <si>
    <t>0000282</t>
  </si>
  <si>
    <t>BOWNA-TUMBARUMBA</t>
  </si>
  <si>
    <t>0000284</t>
  </si>
  <si>
    <t>TUMBARUMBA-LITTLE BILLABONG</t>
  </si>
  <si>
    <t>0000286</t>
  </si>
  <si>
    <t>COOMA-CHARLOTTES PASS</t>
  </si>
  <si>
    <t>0000289</t>
  </si>
  <si>
    <t>NR STROUD-DINGADEE</t>
  </si>
  <si>
    <t>0000290</t>
  </si>
  <si>
    <t>AMOSFIELD-QUEENSLAND BORDER</t>
  </si>
  <si>
    <t>0000293</t>
  </si>
  <si>
    <t>BOMADERRY-SHOALHAVEN HEADS</t>
  </si>
  <si>
    <t>0000295</t>
  </si>
  <si>
    <t>PORT KEMBLA-UNANDERRA</t>
  </si>
  <si>
    <t>0000296</t>
  </si>
  <si>
    <t>PRETTY PINE-YANGA TANK</t>
  </si>
  <si>
    <t>0000301</t>
  </si>
  <si>
    <t>BOLWARRA HEIGHTS-WIRRAGULA</t>
  </si>
  <si>
    <t>0000302</t>
  </si>
  <si>
    <t>WILLIAMTOWN-NR HEXHAM</t>
  </si>
  <si>
    <t>0000306</t>
  </si>
  <si>
    <t>LISMORE-MULLUMBIMBY-BRUNSWICK HEADS</t>
  </si>
  <si>
    <t>0000309</t>
  </si>
  <si>
    <t>JAMES RUSE DR (SOUTH)</t>
  </si>
  <si>
    <t>0000310</t>
  </si>
  <si>
    <t>COWRA-CUDAL</t>
  </si>
  <si>
    <t>0000312</t>
  </si>
  <si>
    <t>NR HUSKISSON-FALLS CREEK</t>
  </si>
  <si>
    <t>0000314</t>
  </si>
  <si>
    <t>YARRAWONGA-COROWA</t>
  </si>
  <si>
    <t>0000316</t>
  </si>
  <si>
    <t>NEWCASTLE WEST-MAYFIELD WEST</t>
  </si>
  <si>
    <t>0000319</t>
  </si>
  <si>
    <t>BARHAM-NR MAUDE</t>
  </si>
  <si>
    <t>0000320</t>
  </si>
  <si>
    <t>COBARGO-BERMAGUI WHARF</t>
  </si>
  <si>
    <t>0000321</t>
  </si>
  <si>
    <t>JERILDERIE-RANKINS SPRINGS</t>
  </si>
  <si>
    <t>0000323</t>
  </si>
  <si>
    <t>DAYSDALE-JERILDERIE</t>
  </si>
  <si>
    <t>0000324</t>
  </si>
  <si>
    <t>YARRANGOBILLY CAVES LOOP RD</t>
  </si>
  <si>
    <t>0000325</t>
  </si>
  <si>
    <t>NTH BELMONT-CHARLESTOWN-BOOLAROO</t>
  </si>
  <si>
    <t>0000326</t>
  </si>
  <si>
    <t>ADAMSTOWN HEIGHTS-MAYFIELD</t>
  </si>
  <si>
    <t>0000327</t>
  </si>
  <si>
    <t>KENSINGTON-RANDWICK</t>
  </si>
  <si>
    <t>0000328</t>
  </si>
  <si>
    <t>DEE WHY-ROSEVILLE</t>
  </si>
  <si>
    <t>0000329</t>
  </si>
  <si>
    <t>BARADINE-COLLARENEBRI</t>
  </si>
  <si>
    <t>0000330</t>
  </si>
  <si>
    <t>MOORE PARK-DARLINGTON</t>
  </si>
  <si>
    <t>0000331</t>
  </si>
  <si>
    <t>JINGELLIC-BERRIGAN</t>
  </si>
  <si>
    <t>0000332</t>
  </si>
  <si>
    <t>BEROWRA-GALSTON</t>
  </si>
  <si>
    <t>0000333</t>
  </si>
  <si>
    <t>WARREN-WALGETT</t>
  </si>
  <si>
    <t>0000334</t>
  </si>
  <si>
    <t>MENDOORAN-BELAR CK</t>
  </si>
  <si>
    <t>0000335</t>
  </si>
  <si>
    <t>TUGGERAH-LONG JETTY (WYONG ROAD)</t>
  </si>
  <si>
    <t>0000336</t>
  </si>
  <si>
    <t>GOSFORD-DOYALSON</t>
  </si>
  <si>
    <t>0000339</t>
  </si>
  <si>
    <t>BONDI JUNCTION-WATSONS BAY</t>
  </si>
  <si>
    <t>0000340</t>
  </si>
  <si>
    <t>BONDI JUNCTION-BRONTE</t>
  </si>
  <si>
    <t>0000341</t>
  </si>
  <si>
    <t>MOAMA-NR BARHAM</t>
  </si>
  <si>
    <t>0000344</t>
  </si>
  <si>
    <t>PAGEWOOD-MASCOT</t>
  </si>
  <si>
    <t>0000347</t>
  </si>
  <si>
    <t>MELROSE-COLLIE</t>
  </si>
  <si>
    <t>0000348</t>
  </si>
  <si>
    <t>PEAK HILL-TULLAMORE</t>
  </si>
  <si>
    <t>0000349</t>
  </si>
  <si>
    <t>BLACKWALL-NARARA</t>
  </si>
  <si>
    <t>0000350</t>
  </si>
  <si>
    <t>FORBES-NR TULLAMORE</t>
  </si>
  <si>
    <t>0000353</t>
  </si>
  <si>
    <t>MONTEFIORES-NR ELONG ELONG</t>
  </si>
  <si>
    <t>0000354</t>
  </si>
  <si>
    <t>NR TULLAMORE-NARROMINE</t>
  </si>
  <si>
    <t>0000355</t>
  </si>
  <si>
    <t>HUME WEIR RD</t>
  </si>
  <si>
    <t>0000356</t>
  </si>
  <si>
    <t>NR OAKLANDS-NR BERRIGAN</t>
  </si>
  <si>
    <t>0000357</t>
  </si>
  <si>
    <t>MANILLA-BOGGABRI</t>
  </si>
  <si>
    <t>0000358</t>
  </si>
  <si>
    <t>MERRIWA-WILLOW TREE</t>
  </si>
  <si>
    <t>0000359</t>
  </si>
  <si>
    <t>NR BOREE-MOLONG</t>
  </si>
  <si>
    <t>0000361</t>
  </si>
  <si>
    <t>CLARENCE WAY</t>
  </si>
  <si>
    <t>0000363</t>
  </si>
  <si>
    <t>BAROOGA-BERRIGAN</t>
  </si>
  <si>
    <t>0000366</t>
  </si>
  <si>
    <t>PYMBLE-BOBBIN HEAD-MT COLAH</t>
  </si>
  <si>
    <t>0000368</t>
  </si>
  <si>
    <t>RANKINS SPRINGS-HILLSTON</t>
  </si>
  <si>
    <t>0000370</t>
  </si>
  <si>
    <t>HOWLONG-KYWONG</t>
  </si>
  <si>
    <t>0000371</t>
  </si>
  <si>
    <t>RANKINS SPRINGS-LAKE CARGELLIGO</t>
  </si>
  <si>
    <t>0000372</t>
  </si>
  <si>
    <t>MOSS VALE-BERRIMA</t>
  </si>
  <si>
    <t>0000373</t>
  </si>
  <si>
    <t>LANE COVE-CARLINGFORD</t>
  </si>
  <si>
    <t>0000377</t>
  </si>
  <si>
    <t>BOREE-CONDOBOLIN</t>
  </si>
  <si>
    <t>0000379</t>
  </si>
  <si>
    <t>MURRUMBURRAH-WOMBAT</t>
  </si>
  <si>
    <t>0000380</t>
  </si>
  <si>
    <t>BOOROWA-CUNNINGAR</t>
  </si>
  <si>
    <t>0000381</t>
  </si>
  <si>
    <t>JUGIONG-MURRUMBURRAH</t>
  </si>
  <si>
    <t>0000383</t>
  </si>
  <si>
    <t>NR COONAMBLE-PILLIGA</t>
  </si>
  <si>
    <t>0000384</t>
  </si>
  <si>
    <t>CARABOST-ALFREDTOWN</t>
  </si>
  <si>
    <t>0000385</t>
  </si>
  <si>
    <t>URANA-MORUNDAH</t>
  </si>
  <si>
    <t>0000386</t>
  </si>
  <si>
    <t>MOULAMEIN-NR SWAN HILL</t>
  </si>
  <si>
    <t>0000390</t>
  </si>
  <si>
    <t>HOBBYS YARDS-BLAYNEY</t>
  </si>
  <si>
    <t>0000391</t>
  </si>
  <si>
    <t>BARMAH-NR BARNES</t>
  </si>
  <si>
    <t>0000392</t>
  </si>
  <si>
    <t>MORISSET-FREEMANS WATERHOLE</t>
  </si>
  <si>
    <t>0000393</t>
  </si>
  <si>
    <t>STANWELL PARK-LOFTUS</t>
  </si>
  <si>
    <t>0000394</t>
  </si>
  <si>
    <t>ANDO-BERRIDALE</t>
  </si>
  <si>
    <t>0000395</t>
  </si>
  <si>
    <t>FIVE DOCK-DRUMMOYNE</t>
  </si>
  <si>
    <t>0000396</t>
  </si>
  <si>
    <t>NR COOLAH-NR COONABARABRAN</t>
  </si>
  <si>
    <t>0000397</t>
  </si>
  <si>
    <t>BALGOWLAH-NARRABEEN</t>
  </si>
  <si>
    <t>0000398</t>
  </si>
  <si>
    <t>MARY GILMORE WAY</t>
  </si>
  <si>
    <t>0000399</t>
  </si>
  <si>
    <t>0000400</t>
  </si>
  <si>
    <t>SPIT JUNCTION-TARONGA PARK</t>
  </si>
  <si>
    <t>0000402</t>
  </si>
  <si>
    <t>WALGETT-LIGHTNING RIDGE</t>
  </si>
  <si>
    <t>0000404</t>
  </si>
  <si>
    <t>NORTH BOURKE-HUNGERFORD</t>
  </si>
  <si>
    <t>0000405</t>
  </si>
  <si>
    <t>BOURKE-TIBOOBURRA</t>
  </si>
  <si>
    <t>0000407</t>
  </si>
  <si>
    <t>COBAR-LOUTH</t>
  </si>
  <si>
    <t>0000410</t>
  </si>
  <si>
    <t>KIDMAN WAY</t>
  </si>
  <si>
    <t>0000411</t>
  </si>
  <si>
    <t>EUABALONG-MT HOPE</t>
  </si>
  <si>
    <t>0000416</t>
  </si>
  <si>
    <t>NR COBAR-BELARABON</t>
  </si>
  <si>
    <t>0000419</t>
  </si>
  <si>
    <t>GILGUNNIA-NR CANBELEGO</t>
  </si>
  <si>
    <t>0000421</t>
  </si>
  <si>
    <t>COBAR-NR BOURKE</t>
  </si>
  <si>
    <t>0000423</t>
  </si>
  <si>
    <t>LAKE CARGELLIGO-EUABALONG</t>
  </si>
  <si>
    <t>0000424</t>
  </si>
  <si>
    <t>STONEY HILLS-MUNDADOO</t>
  </si>
  <si>
    <t>0000426</t>
  </si>
  <si>
    <t>COLLARENEBRI-LIGHTNING RIDGE</t>
  </si>
  <si>
    <t>0000428</t>
  </si>
  <si>
    <t>BROKEN HILL-WHITE CLIFFS</t>
  </si>
  <si>
    <t>0000431</t>
  </si>
  <si>
    <t>NR BURONGA-ARUMPO</t>
  </si>
  <si>
    <t>0000433</t>
  </si>
  <si>
    <t>IVANHOE-MENINDEE</t>
  </si>
  <si>
    <t>0000435</t>
  </si>
  <si>
    <t>WILCANNIA-WHITE CLIFFS</t>
  </si>
  <si>
    <t>0000437</t>
  </si>
  <si>
    <t>WEETALIBAH WATERHOLES-GOODOOGA</t>
  </si>
  <si>
    <t>0000450</t>
  </si>
  <si>
    <t>WOOYUNG-CHINDERAH</t>
  </si>
  <si>
    <t>0000453</t>
  </si>
  <si>
    <t>BRANXTON-GLENDONBROOK</t>
  </si>
  <si>
    <t>0000454</t>
  </si>
  <si>
    <t>DOYALSON-MORISSET</t>
  </si>
  <si>
    <t>0000455</t>
  </si>
  <si>
    <t>CALGA-OURIMBAH</t>
  </si>
  <si>
    <t>0000456</t>
  </si>
  <si>
    <t>WOY WOY-PEARL BEACH</t>
  </si>
  <si>
    <t>0000457</t>
  </si>
  <si>
    <t>COLLARENEBRI-MUNGINDI</t>
  </si>
  <si>
    <t>0000460</t>
  </si>
  <si>
    <t>CLYBUCCA - SOUTH WEST ROCKS</t>
  </si>
  <si>
    <t>0000461</t>
  </si>
  <si>
    <t>CONDOBOLIN - NYMAGEE</t>
  </si>
  <si>
    <t>0000462</t>
  </si>
  <si>
    <t>BRUXNER WAY</t>
  </si>
  <si>
    <t>0000463</t>
  </si>
  <si>
    <t>ANDERSONS RIDGE - MULLUMBIMBY</t>
  </si>
  <si>
    <t>0000464</t>
  </si>
  <si>
    <t>PACIFIC HWY/ MAITLAND RD</t>
  </si>
  <si>
    <t>0000467</t>
  </si>
  <si>
    <t>SWAN HILL - KYALITE</t>
  </si>
  <si>
    <t>0000468</t>
  </si>
  <si>
    <t>PICTON - MOWBRAY PARK</t>
  </si>
  <si>
    <t>0000469</t>
  </si>
  <si>
    <t>DORRIGO - MEGAN</t>
  </si>
  <si>
    <t>0000501</t>
  </si>
  <si>
    <t>LAKE CARGELLIGO-BOOLIGAL</t>
  </si>
  <si>
    <t>0000503</t>
  </si>
  <si>
    <t>WINDSOR-MT THORLEY</t>
  </si>
  <si>
    <t>0000504</t>
  </si>
  <si>
    <t>EAST GOSFORD-NR AVOCA BEACH</t>
  </si>
  <si>
    <t>0000505</t>
  </si>
  <si>
    <t>ERINA-TERRIGAL</t>
  </si>
  <si>
    <t>0000506</t>
  </si>
  <si>
    <t>NR BUNDABAH CK-TEA GARDENS</t>
  </si>
  <si>
    <t>0000507</t>
  </si>
  <si>
    <t>GOONDIWINDI(QLD)-MUNGINDI</t>
  </si>
  <si>
    <t>0000508</t>
  </si>
  <si>
    <t>HENRY LAWSON DR</t>
  </si>
  <si>
    <t>0000509</t>
  </si>
  <si>
    <t>WARNERVALE-NORAVILLE</t>
  </si>
  <si>
    <t>0000512</t>
  </si>
  <si>
    <t>HEATHCOTE-LIVERPOOL</t>
  </si>
  <si>
    <t>0000513</t>
  </si>
  <si>
    <t>THE LINK RD-BULLI HEIGHTS</t>
  </si>
  <si>
    <t>0000514</t>
  </si>
  <si>
    <t>HAY-PENARIE</t>
  </si>
  <si>
    <t>0000515</t>
  </si>
  <si>
    <t>LIVERPOOL-EASTERN CREEK</t>
  </si>
  <si>
    <t>0000516</t>
  </si>
  <si>
    <t>BELL-BOWENFELS</t>
  </si>
  <si>
    <t>0000518</t>
  </si>
  <si>
    <t>WILLIAMT0WN-BLACKBROOK CAMP</t>
  </si>
  <si>
    <t>0000519</t>
  </si>
  <si>
    <t>KURRAJONG-BLAXLANDS RIDGE</t>
  </si>
  <si>
    <t>0000522</t>
  </si>
  <si>
    <t>DUNMORE-WARRAWONG</t>
  </si>
  <si>
    <t>0000523</t>
  </si>
  <si>
    <t>PYRMONT-CAMPERDOWN</t>
  </si>
  <si>
    <t>0000525</t>
  </si>
  <si>
    <t>LIBERATOR GENERAL SAN MARTIN DR</t>
  </si>
  <si>
    <t>0000526</t>
  </si>
  <si>
    <t>ORANGE-MT CANOBOLAS</t>
  </si>
  <si>
    <t>0000527</t>
  </si>
  <si>
    <t>BELMONT-BUCHANAN</t>
  </si>
  <si>
    <t>0000528</t>
  </si>
  <si>
    <t>MOORE PARK-ST. PETERS</t>
  </si>
  <si>
    <t>0000529</t>
  </si>
  <si>
    <t>FRENCHS FOREST-TERREY HILLS</t>
  </si>
  <si>
    <t>0000530</t>
  </si>
  <si>
    <t>NORTH MANLY-DEE WHY (declassified, now 0002102)</t>
  </si>
  <si>
    <t>0000531</t>
  </si>
  <si>
    <t>WALLERAWANG-CULLEN BULLEN</t>
  </si>
  <si>
    <t>0000534</t>
  </si>
  <si>
    <t>CABRAMATTA RD</t>
  </si>
  <si>
    <t>0000535</t>
  </si>
  <si>
    <t>CECIL PARK-LUDDENHAM</t>
  </si>
  <si>
    <t>0000536</t>
  </si>
  <si>
    <t>KEMPS CREEK-ST MARY</t>
  </si>
  <si>
    <t>0000537</t>
  </si>
  <si>
    <t>EASTERN CK-RICHMOND</t>
  </si>
  <si>
    <t>0000538</t>
  </si>
  <si>
    <t>KEW-COMBOYNE</t>
  </si>
  <si>
    <t>0000539</t>
  </si>
  <si>
    <t>WHITTON-DARLINGTON POINT</t>
  </si>
  <si>
    <t>0000540</t>
  </si>
  <si>
    <t>NORTH BONVILLE-SAWTELL-COFFS HARBOUR</t>
  </si>
  <si>
    <t>0000541</t>
  </si>
  <si>
    <t>TERRANORA-TUMBULGUM</t>
  </si>
  <si>
    <t>0000543</t>
  </si>
  <si>
    <t>THE ROCK-COOLAMON</t>
  </si>
  <si>
    <t>0000544</t>
  </si>
  <si>
    <t>LISMORE-CEDAR POINT</t>
  </si>
  <si>
    <t>0000545</t>
  </si>
  <si>
    <t>BALLINA-EWINGSDALE</t>
  </si>
  <si>
    <t>0000546</t>
  </si>
  <si>
    <t>BOX HILL-MARSDEN PARK</t>
  </si>
  <si>
    <t>0000547</t>
  </si>
  <si>
    <t>JINDERA-WALLA PARK</t>
  </si>
  <si>
    <t>0000548</t>
  </si>
  <si>
    <t>GALSTON-MIDDLE DURAL</t>
  </si>
  <si>
    <t>0000549</t>
  </si>
  <si>
    <t>ASHFIELD-PUNCHBOWL</t>
  </si>
  <si>
    <t>0000550</t>
  </si>
  <si>
    <t>MULWALA-TOCUMWAL</t>
  </si>
  <si>
    <t>0000552</t>
  </si>
  <si>
    <t>JERILDERIE-DENILIQUIN</t>
  </si>
  <si>
    <t>0000555</t>
  </si>
  <si>
    <t>WARDELL-GOONELLABAH</t>
  </si>
  <si>
    <t>0000556</t>
  </si>
  <si>
    <t>GLADSTONE-SEVEN OAKS</t>
  </si>
  <si>
    <t>0000557</t>
  </si>
  <si>
    <t>MEADOW FLAT-PIPERS FLAT</t>
  </si>
  <si>
    <t>0000558</t>
  </si>
  <si>
    <t>NR HAMPTON-NR OBERON</t>
  </si>
  <si>
    <t>0000559</t>
  </si>
  <si>
    <t>WHILEYS JUNCTION-SHADFORTH</t>
  </si>
  <si>
    <t>0000560</t>
  </si>
  <si>
    <t>BATEMANS BAY-CASEYS BEACH</t>
  </si>
  <si>
    <t>0000561</t>
  </si>
  <si>
    <t>EDEN-EDEN WHARF</t>
  </si>
  <si>
    <t>0000563</t>
  </si>
  <si>
    <t>CATHCART-BIBBENLUKE</t>
  </si>
  <si>
    <t>0000564</t>
  </si>
  <si>
    <t>BERRIGAN-WUNNAMURRA</t>
  </si>
  <si>
    <t>0000565</t>
  </si>
  <si>
    <t>BELLINAFANTE BRIDGE-GUNTAWANG</t>
  </si>
  <si>
    <t>0000567</t>
  </si>
  <si>
    <t>LIMEBURNERS CK-CLARENCETOWN</t>
  </si>
  <si>
    <t>0000569</t>
  </si>
  <si>
    <t>SUTTON FOREST-BUNDANOON</t>
  </si>
  <si>
    <t>0000570</t>
  </si>
  <si>
    <t>SPRINGWOOD-AGNES BANKS</t>
  </si>
  <si>
    <t>0000571</t>
  </si>
  <si>
    <t>GERRINGONG-GERROA</t>
  </si>
  <si>
    <t>0000572</t>
  </si>
  <si>
    <t>NARROMINE-EUMUNGERIE RAIL</t>
  </si>
  <si>
    <t>0000573</t>
  </si>
  <si>
    <t>ORANGE-WELLINGTON</t>
  </si>
  <si>
    <t>0000574</t>
  </si>
  <si>
    <t>EASTWOOD-PARRAMATTA</t>
  </si>
  <si>
    <t>0000575</t>
  </si>
  <si>
    <t>WAUCHOPE-NR TELEGRAPH POINT</t>
  </si>
  <si>
    <t>0000576</t>
  </si>
  <si>
    <t>COWRA-WYANGALA DAM</t>
  </si>
  <si>
    <t>0000578</t>
  </si>
  <si>
    <t>TERMINUS ST (LIVERPOOL)</t>
  </si>
  <si>
    <t>0000579</t>
  </si>
  <si>
    <t>WERRIS CREEK-DIRTY LAGOON</t>
  </si>
  <si>
    <t>0000580</t>
  </si>
  <si>
    <t>DONNISON ST-ETNA ST (GOSFORD)</t>
  </si>
  <si>
    <t>0000581</t>
  </si>
  <si>
    <t>CRINGILA-NORTH WOLLONGONG</t>
  </si>
  <si>
    <t>0000583</t>
  </si>
  <si>
    <t>ROBINVALE-NR EUSTON</t>
  </si>
  <si>
    <t>0000584</t>
  </si>
  <si>
    <t>ROYALLA-QUEANBEYAN</t>
  </si>
  <si>
    <t>0000585</t>
  </si>
  <si>
    <t>BERRIDALE-DARGINS FLAT</t>
  </si>
  <si>
    <t>0000587</t>
  </si>
  <si>
    <t>HORNSBY-ASQUITH</t>
  </si>
  <si>
    <t>0000588</t>
  </si>
  <si>
    <t>BERESFIELD-CESSNOCK</t>
  </si>
  <si>
    <t>0000590</t>
  </si>
  <si>
    <t>PEATS RIDGE-BUCKETTY</t>
  </si>
  <si>
    <t>0000592</t>
  </si>
  <si>
    <t>DARLINGHURST-MILLERS POINT</t>
  </si>
  <si>
    <t>0000593</t>
  </si>
  <si>
    <t>BOTANY-PADDINGTON</t>
  </si>
  <si>
    <t>0000594</t>
  </si>
  <si>
    <t>CHIPPENDALE-BLACKWATTLE BAY</t>
  </si>
  <si>
    <t>0000596</t>
  </si>
  <si>
    <t>MORUNDAH-NR COLEAMBALLY</t>
  </si>
  <si>
    <t>0000597</t>
  </si>
  <si>
    <t>MULBRING-RICHMOND VALE</t>
  </si>
  <si>
    <t>0000598</t>
  </si>
  <si>
    <t>GULGONG-ULAN</t>
  </si>
  <si>
    <t>0000599</t>
  </si>
  <si>
    <t>NORTH SYDNEY-EAST ROSEVILLE</t>
  </si>
  <si>
    <t>0000600</t>
  </si>
  <si>
    <t>KEW-NR DENNIS BR</t>
  </si>
  <si>
    <t>0000602</t>
  </si>
  <si>
    <t>LYSAGHTS-FIGTREE</t>
  </si>
  <si>
    <t>0000603</t>
  </si>
  <si>
    <t>NEW LAMBTON SOUTH-BLACKBUTT</t>
  </si>
  <si>
    <t>0000604</t>
  </si>
  <si>
    <t>ADAMSTOWN HEIGHTS-HAMILTON</t>
  </si>
  <si>
    <t>0000605</t>
  </si>
  <si>
    <t>MAYFIELD BIRMINGHAM GARDENS</t>
  </si>
  <si>
    <t>0000609</t>
  </si>
  <si>
    <t>CARRAMAR-SMITHFIELD</t>
  </si>
  <si>
    <t>0000610</t>
  </si>
  <si>
    <t>WILTON-APPIN</t>
  </si>
  <si>
    <t>0000611</t>
  </si>
  <si>
    <t>OAK FLATS-WARILLA</t>
  </si>
  <si>
    <t>0000612</t>
  </si>
  <si>
    <t>PHEASANTS NEST-OAKDALE</t>
  </si>
  <si>
    <t>0000613</t>
  </si>
  <si>
    <t>PORT KEMBLA-KEMBLA GRANGE</t>
  </si>
  <si>
    <t>0000615</t>
  </si>
  <si>
    <t>ETTALONG-DALEYS POINT</t>
  </si>
  <si>
    <t>0000616</t>
  </si>
  <si>
    <t>HILLSDALE-BANKSMEADOW</t>
  </si>
  <si>
    <t>0000617</t>
  </si>
  <si>
    <t>FORESHORE RD (BOTANY)</t>
  </si>
  <si>
    <t>0000618</t>
  </si>
  <si>
    <t>NR CASSILIS-COOLAH</t>
  </si>
  <si>
    <t>0000620</t>
  </si>
  <si>
    <t>YANDERRA-PRESTONS</t>
  </si>
  <si>
    <t>0000622</t>
  </si>
  <si>
    <t>MOUNT LINDESAY ROAD</t>
  </si>
  <si>
    <t>0000623</t>
  </si>
  <si>
    <t>BELLWOOD-NAMBUCCA HEADS</t>
  </si>
  <si>
    <t>0000624</t>
  </si>
  <si>
    <t>KOGARAH BAY-RAMSGATE</t>
  </si>
  <si>
    <t>0000625</t>
  </si>
  <si>
    <t>RUSHCUTTERS BAY-DARLINGHURST</t>
  </si>
  <si>
    <t>0000626</t>
  </si>
  <si>
    <t>MEMORIAL DRIVE</t>
  </si>
  <si>
    <t>0000627</t>
  </si>
  <si>
    <t>KHANCOBAN-BRINGENBRONG (ALPINE WAY)</t>
  </si>
  <si>
    <t>0000628</t>
  </si>
  <si>
    <t>TUMBARUMBA-KHANCOBAN</t>
  </si>
  <si>
    <t>0000629</t>
  </si>
  <si>
    <t>ERSKINE PARK-PLUMPTON</t>
  </si>
  <si>
    <t>0000630</t>
  </si>
  <si>
    <t>UPPER CASTLEREAGH-LLANDILO</t>
  </si>
  <si>
    <t>0000631</t>
  </si>
  <si>
    <t>RANDWICK-COOGEE</t>
  </si>
  <si>
    <t>0000632</t>
  </si>
  <si>
    <t>BRADFIELD HIGHWAY (HARBOUR BR)</t>
  </si>
  <si>
    <t>0000633</t>
  </si>
  <si>
    <t>MUDGEE - WELLINGTON</t>
  </si>
  <si>
    <t>0000634</t>
  </si>
  <si>
    <t>THE RIVER ROAD</t>
  </si>
  <si>
    <t>0000635</t>
  </si>
  <si>
    <t>OLD TOONGABBIE-SEVEN HILLS</t>
  </si>
  <si>
    <t>0000636</t>
  </si>
  <si>
    <t>JUNO PARADE &amp; BORONIA ROAD</t>
  </si>
  <si>
    <t>0000637</t>
  </si>
  <si>
    <t>PARRAMATTA-NORTH PARRAMATTA</t>
  </si>
  <si>
    <t>0000638</t>
  </si>
  <si>
    <t>BRUNKER ROAD (EASTERN SIDE)</t>
  </si>
  <si>
    <t>0000639</t>
  </si>
  <si>
    <t>WEST WYALONG HV BYPASS</t>
  </si>
  <si>
    <t>0000640</t>
  </si>
  <si>
    <t>VILLAWOOD-GRANVILLE</t>
  </si>
  <si>
    <t>0000641</t>
  </si>
  <si>
    <t>NAREMBURN-ROSEVILLE</t>
  </si>
  <si>
    <t>0000642</t>
  </si>
  <si>
    <t>BLACKTOWN-KELLYVILLE</t>
  </si>
  <si>
    <t>0000643</t>
  </si>
  <si>
    <t>BUNGARRIBEE ROAD - RICHMOND ROAD</t>
  </si>
  <si>
    <t>0000644</t>
  </si>
  <si>
    <t>PROSPECT-SEVEN HILLS</t>
  </si>
  <si>
    <t>0000645</t>
  </si>
  <si>
    <t>MEREWORTH-BERRIMA</t>
  </si>
  <si>
    <t>0000646</t>
  </si>
  <si>
    <t>SMITHFIELD-GREYSTANES</t>
  </si>
  <si>
    <t>0000647</t>
  </si>
  <si>
    <t>BRINGELLY ROAD</t>
  </si>
  <si>
    <t>0000648</t>
  </si>
  <si>
    <t>COWPASTURE ROAD</t>
  </si>
  <si>
    <t>0000649</t>
  </si>
  <si>
    <t>HABERFIELD-CONCORD</t>
  </si>
  <si>
    <t>0000650</t>
  </si>
  <si>
    <t>ASHFIELD-ROZELLE</t>
  </si>
  <si>
    <t>0000651</t>
  </si>
  <si>
    <t>NORTH SYDNEY-LANE COVE</t>
  </si>
  <si>
    <t>0000652</t>
  </si>
  <si>
    <t>HURLSTONE PARK-ROZELLE</t>
  </si>
  <si>
    <t>0000653</t>
  </si>
  <si>
    <t>POWER ROAD</t>
  </si>
  <si>
    <t>0000654</t>
  </si>
  <si>
    <t>WOODSTOCK AVENUE</t>
  </si>
  <si>
    <t>0000655</t>
  </si>
  <si>
    <t>ANNANDALE-ROZELLE</t>
  </si>
  <si>
    <t>0000656</t>
  </si>
  <si>
    <t>NEW LINE ROAD</t>
  </si>
  <si>
    <t>0000657</t>
  </si>
  <si>
    <t>MOOREBANK AVENUE (NORTH)</t>
  </si>
  <si>
    <t>0000658</t>
  </si>
  <si>
    <t>MASCOT-ZETLAND</t>
  </si>
  <si>
    <t>0000659</t>
  </si>
  <si>
    <t>MASCOT-ALEXANDRIA</t>
  </si>
  <si>
    <t>0000660</t>
  </si>
  <si>
    <t>KINGSFORD-BONDI JUNCTION</t>
  </si>
  <si>
    <t>0000661</t>
  </si>
  <si>
    <t>MAROUBRA-KINGSFORD</t>
  </si>
  <si>
    <t>0000662</t>
  </si>
  <si>
    <t>CARINGBAH-CRONULLA</t>
  </si>
  <si>
    <t>0000663</t>
  </si>
  <si>
    <t>SUTHERLAND-MENAI</t>
  </si>
  <si>
    <t>0000664</t>
  </si>
  <si>
    <t>SYDENHAM-LEWISHAM</t>
  </si>
  <si>
    <t>0000665</t>
  </si>
  <si>
    <t>BEXLEY-PEAKHURST</t>
  </si>
  <si>
    <t>0000666</t>
  </si>
  <si>
    <t>FOREST LODGE-ANNANDALE</t>
  </si>
  <si>
    <t>0000667</t>
  </si>
  <si>
    <t>BRIGHTON-LE-SANDS-KOGARAH</t>
  </si>
  <si>
    <t>0000668</t>
  </si>
  <si>
    <t>BELFIELD-RHODES</t>
  </si>
  <si>
    <t>0000669</t>
  </si>
  <si>
    <t>MIRANDA-SYLVANIA</t>
  </si>
  <si>
    <t>0000670</t>
  </si>
  <si>
    <t>BERNERA RD/JEDDA RD/JOADJA RD</t>
  </si>
  <si>
    <t>0000671</t>
  </si>
  <si>
    <t>PORT KEMBLA RD</t>
  </si>
  <si>
    <t>0000672</t>
  </si>
  <si>
    <t>WESTERN RING RD, PENNANT ST</t>
  </si>
  <si>
    <t>0000673</t>
  </si>
  <si>
    <t>HENRY PARRY DRIVE</t>
  </si>
  <si>
    <t>0000674</t>
  </si>
  <si>
    <t>CHARLESTOWN-SPEERS POINT</t>
  </si>
  <si>
    <t>0000675</t>
  </si>
  <si>
    <t>WALLARAH-BLUE HAVEN</t>
  </si>
  <si>
    <t>0000676</t>
  </si>
  <si>
    <t>OLD HUME HIGHWAY</t>
  </si>
  <si>
    <t>0000677</t>
  </si>
  <si>
    <t>JINDABYNE TO KOSCIUSKO NATIONAL PARK BOUNDARY</t>
  </si>
  <si>
    <t>0000678</t>
  </si>
  <si>
    <t>OLD PRINCES HIGHWAY</t>
  </si>
  <si>
    <t>0000679</t>
  </si>
  <si>
    <t>TWEED VALLEY WAY</t>
  </si>
  <si>
    <t>0000680</t>
  </si>
  <si>
    <t>LEUMEAH-GLENFIELD</t>
  </si>
  <si>
    <t>0000681</t>
  </si>
  <si>
    <t>HOXTON PARK ROAD</t>
  </si>
  <si>
    <t>0000682</t>
  </si>
  <si>
    <t>PALMER STREET / SIR JOHN YOUNG CRES</t>
  </si>
  <si>
    <t>0000683</t>
  </si>
  <si>
    <t>RESERVOIR RD, BALMORAL ST, THIRD AV, BLACKTOWN</t>
  </si>
  <si>
    <t>0000685</t>
  </si>
  <si>
    <t>HAWKESBURY FLOOD EVACUATION ROUTE</t>
  </si>
  <si>
    <t>0000686</t>
  </si>
  <si>
    <t>BEECH ROAD (CASULA)</t>
  </si>
  <si>
    <t>0000687</t>
  </si>
  <si>
    <t>SCHOFIELDS ROAD</t>
  </si>
  <si>
    <t>0000688</t>
  </si>
  <si>
    <t>OLD HUME HIGHWAY (ALBURY)</t>
  </si>
  <si>
    <t>0000689</t>
  </si>
  <si>
    <t>BRUNSWICK VALLEY WAY</t>
  </si>
  <si>
    <t>0000690</t>
  </si>
  <si>
    <t>NORWEST BOULEVARD</t>
  </si>
  <si>
    <t>0000691</t>
  </si>
  <si>
    <t>SEVEN HILLS RD</t>
  </si>
  <si>
    <t>0000692</t>
  </si>
  <si>
    <t>THE LAKES WAY / FAILFORD ROAD</t>
  </si>
  <si>
    <t>0000693</t>
  </si>
  <si>
    <t>ERSKINE PARK LINK ROAD</t>
  </si>
  <si>
    <t>0000694</t>
  </si>
  <si>
    <t>TOOLEYBUC-BALRANALD</t>
  </si>
  <si>
    <t>0000695</t>
  </si>
  <si>
    <t>BALLINA-CUMBALUM</t>
  </si>
  <si>
    <t>0000697</t>
  </si>
  <si>
    <t>HUNTER ST-SCOTT ST</t>
  </si>
  <si>
    <t>0000699</t>
  </si>
  <si>
    <t>NOT GAZETTED WERRINGTON ARTERIAL ROAD</t>
  </si>
  <si>
    <t>0000701</t>
  </si>
  <si>
    <t>NOT GAZETTED CAMPBELL RD - ST PETERS</t>
  </si>
  <si>
    <t>0000703</t>
  </si>
  <si>
    <t>BALD NOB RD - DUNDEE</t>
  </si>
  <si>
    <t>0000704</t>
  </si>
  <si>
    <t>BURRAWAY ST and DANDALOO ST - NARROMINE</t>
  </si>
  <si>
    <t>0000705</t>
  </si>
  <si>
    <t>BATHURST SUMMER WOODWARD MOLONG RDS - ORANGE</t>
  </si>
  <si>
    <t>0000706</t>
  </si>
  <si>
    <t>CHURCH ST - NORTH PARRAMATTA</t>
  </si>
  <si>
    <t>0000707</t>
  </si>
  <si>
    <t>PACKHAM DRIVE - MANILDRA to MOLONG</t>
  </si>
  <si>
    <t>0002005</t>
  </si>
  <si>
    <t>ALEXANDRIA-WATERLOO</t>
  </si>
  <si>
    <t>SR</t>
  </si>
  <si>
    <t>0002007</t>
  </si>
  <si>
    <t>MARRICKVILLE-PETERSHAM</t>
  </si>
  <si>
    <t>0002008</t>
  </si>
  <si>
    <t>ZETLAND-WATERLOO</t>
  </si>
  <si>
    <t>0002011</t>
  </si>
  <si>
    <t>ALEXANDRIA-REDFERN</t>
  </si>
  <si>
    <t>0002013</t>
  </si>
  <si>
    <t>ANNANDALE-FIVE DOCK</t>
  </si>
  <si>
    <t>0002014</t>
  </si>
  <si>
    <t>CANTERBURY-CROYDON</t>
  </si>
  <si>
    <t>0002019</t>
  </si>
  <si>
    <t>NORTH SYDNEY-CREMORNE</t>
  </si>
  <si>
    <t>0002021</t>
  </si>
  <si>
    <t>ENMORE-BEVERLY HILLS</t>
  </si>
  <si>
    <t>0002024</t>
  </si>
  <si>
    <t>EASTWOOD-MARSFIELD</t>
  </si>
  <si>
    <t>0002025</t>
  </si>
  <si>
    <t>MANLY-FAIRLIGHT</t>
  </si>
  <si>
    <t>0002027</t>
  </si>
  <si>
    <t>ASHFIELD-STRATHFIELD</t>
  </si>
  <si>
    <t>0002028</t>
  </si>
  <si>
    <t>PETERSHAM-ASHFIELD</t>
  </si>
  <si>
    <t>0002029</t>
  </si>
  <si>
    <t>CROWS NEST-NAREMBURN</t>
  </si>
  <si>
    <t>0002032</t>
  </si>
  <si>
    <t>KOGARAH-ARNCLIFFE</t>
  </si>
  <si>
    <t>0002033</t>
  </si>
  <si>
    <t>HUNTERS HILL-GLADESVILLE</t>
  </si>
  <si>
    <t>0002036</t>
  </si>
  <si>
    <t>SPIT JUNCTION-CAMMERAY</t>
  </si>
  <si>
    <t>0002039</t>
  </si>
  <si>
    <t>KATOOMBA-LEURA</t>
  </si>
  <si>
    <t>0002040</t>
  </si>
  <si>
    <t>CANTERBURY-ASHFIELD</t>
  </si>
  <si>
    <t>0002043</t>
  </si>
  <si>
    <t>ROSEVILLE-HORNSBY</t>
  </si>
  <si>
    <t>0002048</t>
  </si>
  <si>
    <t>ANDREWS RD (PENRITH)</t>
  </si>
  <si>
    <t>0002049</t>
  </si>
  <si>
    <t>ROSEHILL-PARRAMATTA</t>
  </si>
  <si>
    <t>0002050</t>
  </si>
  <si>
    <t>PEAKHURST-PUNCHBOWL</t>
  </si>
  <si>
    <t>0002052</t>
  </si>
  <si>
    <t>GLADESVILLE-NORTH RYDE</t>
  </si>
  <si>
    <t>0002057</t>
  </si>
  <si>
    <t>STRATHFIELD-LIDCOMBE</t>
  </si>
  <si>
    <t>0002058</t>
  </si>
  <si>
    <t>RYDE-NORTH RYDE</t>
  </si>
  <si>
    <t>0002063</t>
  </si>
  <si>
    <t>LLANDILO-RICHMOND</t>
  </si>
  <si>
    <t>0002064</t>
  </si>
  <si>
    <t>PART ELIZABETH ST (ASHFIELD)</t>
  </si>
  <si>
    <t>0002065</t>
  </si>
  <si>
    <t>ASHFIELD-CROYDON</t>
  </si>
  <si>
    <t>0002066</t>
  </si>
  <si>
    <t>0002068</t>
  </si>
  <si>
    <t>PICNIC POINT-REVESBY</t>
  </si>
  <si>
    <t>0002069</t>
  </si>
  <si>
    <t>PART RAWSON ST (AUBURN)</t>
  </si>
  <si>
    <t>0002070</t>
  </si>
  <si>
    <t>CROWS NEST-LANE COVE</t>
  </si>
  <si>
    <t>0002074</t>
  </si>
  <si>
    <t>LITTLE BAY-KINGSFORD</t>
  </si>
  <si>
    <t>0002075</t>
  </si>
  <si>
    <t>CRONULLA-SUTHERLAND</t>
  </si>
  <si>
    <t>0002083</t>
  </si>
  <si>
    <t>WATERLOO-REDFERN</t>
  </si>
  <si>
    <t>0002086</t>
  </si>
  <si>
    <t>ARNCLIFFE-BEXLEY</t>
  </si>
  <si>
    <t>0002089</t>
  </si>
  <si>
    <t>EDGECLIFFE-BELLEVUE HILL</t>
  </si>
  <si>
    <t>0002091</t>
  </si>
  <si>
    <t>ST LEONARDS-CROWS NEST</t>
  </si>
  <si>
    <t>0002092</t>
  </si>
  <si>
    <t>CASTLECRAG-LANE COVE</t>
  </si>
  <si>
    <t>0002093</t>
  </si>
  <si>
    <t>CROWS NEST-WILLOUGHBY</t>
  </si>
  <si>
    <t>0002096</t>
  </si>
  <si>
    <t>LIDCOMBE-GUILDFORD</t>
  </si>
  <si>
    <t>0002098</t>
  </si>
  <si>
    <t>MERRYLANDS-PARRAMATTA</t>
  </si>
  <si>
    <t>0002099</t>
  </si>
  <si>
    <t>ST PETERS-EARLWOOD</t>
  </si>
  <si>
    <t>0002100</t>
  </si>
  <si>
    <t>ROOKWOOD-LIDCOMBE</t>
  </si>
  <si>
    <t>0002101</t>
  </si>
  <si>
    <t>FOREST RD</t>
  </si>
  <si>
    <t>0002102</t>
  </si>
  <si>
    <t>NORTH MANLY-DEE WHY</t>
  </si>
  <si>
    <t>0002103</t>
  </si>
  <si>
    <t>OLD PACIFIC HIGHWAY</t>
  </si>
  <si>
    <t>0002104</t>
  </si>
  <si>
    <t>0002105</t>
  </si>
  <si>
    <t>THE HORSLEY DRIVE</t>
  </si>
  <si>
    <t>0002106</t>
  </si>
  <si>
    <t>HASSALL ST</t>
  </si>
  <si>
    <t>0002107</t>
  </si>
  <si>
    <t>BATHURST ST/MACQUARIE ST/PIRIE ST/MEMORIAL</t>
  </si>
  <si>
    <t>0002108</t>
  </si>
  <si>
    <t>BRADLEYS HEAD RD</t>
  </si>
  <si>
    <t>0002109</t>
  </si>
  <si>
    <t>CASTLEREAGH RD</t>
  </si>
  <si>
    <t>0002110</t>
  </si>
  <si>
    <t>PITTWATER RD / MC CARRS RD</t>
  </si>
  <si>
    <t>0002111</t>
  </si>
  <si>
    <t>MILLER ST (NORTH SYDNEY)</t>
  </si>
  <si>
    <t>0002112</t>
  </si>
  <si>
    <t>CONDAMINE ST (BALGOWLAH)</t>
  </si>
  <si>
    <t>0002113</t>
  </si>
  <si>
    <t>PENNANT ST (PARRAMATTA)</t>
  </si>
  <si>
    <t>0002114</t>
  </si>
  <si>
    <t>PENNANT HILLS RD (PARRAMATTA)</t>
  </si>
  <si>
    <t>0002119</t>
  </si>
  <si>
    <t>ALLANDALE RD / LOVEDALE RD</t>
  </si>
  <si>
    <t>TO</t>
  </si>
  <si>
    <t>0002120</t>
  </si>
  <si>
    <t>BUCHANAN RD / MT VINCENT RD</t>
  </si>
  <si>
    <t>0002121</t>
  </si>
  <si>
    <t>NOT GAZETTED - EDWARD ST / JONES AV / FROME ST</t>
  </si>
  <si>
    <t>0002122</t>
  </si>
  <si>
    <t>BROADWATER-EVANS HEAD RD (NORTH)</t>
  </si>
  <si>
    <t>0002123</t>
  </si>
  <si>
    <t>HART RD/GINGERS LN/FRAME DR/ORANGE ST - CESSNOCK CC</t>
  </si>
  <si>
    <t>0002124</t>
  </si>
  <si>
    <t>RUTTLEYS RD - DOYALSON to WYEE</t>
  </si>
  <si>
    <t>0002125</t>
  </si>
  <si>
    <t>GRAHAM ST/LORNE RD - KENDALL to COMBOYNE</t>
  </si>
  <si>
    <t>0002126</t>
  </si>
  <si>
    <t>EDMONSON AV - AUSTRAL</t>
  </si>
  <si>
    <t>0004002</t>
  </si>
  <si>
    <t>POINT LOOKOUT RD</t>
  </si>
  <si>
    <t>0004003</t>
  </si>
  <si>
    <t>WHO'D-A-THOUGHT-IT LOOKOUT RD</t>
  </si>
  <si>
    <t>0004004</t>
  </si>
  <si>
    <t>MOUNT YORK RD (MT VICTORIA)</t>
  </si>
  <si>
    <t>0004005</t>
  </si>
  <si>
    <t>WEST HEAD RD (KU-RING-GAI CHASE)</t>
  </si>
  <si>
    <t>0004006</t>
  </si>
  <si>
    <t>SACKVILLE-WEBBS CK FERRY</t>
  </si>
  <si>
    <t>0004007</t>
  </si>
  <si>
    <t>WOOLGOOLGA-WOOLGOOLGA LAKE</t>
  </si>
  <si>
    <t>0004009</t>
  </si>
  <si>
    <t>KINCUMBER-AVOCA BEACH</t>
  </si>
  <si>
    <t>0004010</t>
  </si>
  <si>
    <t>EBOR FALLS RD</t>
  </si>
  <si>
    <t>0004016</t>
  </si>
  <si>
    <t>SMIGGIN HOLES-NR PERISHER CK</t>
  </si>
  <si>
    <t>0004017</t>
  </si>
  <si>
    <t>SOMERSBY FALLS RD</t>
  </si>
  <si>
    <t>0004018</t>
  </si>
  <si>
    <t>SUBLIME POINT RD (LEURA)</t>
  </si>
  <si>
    <t>0004019</t>
  </si>
  <si>
    <t>EVANS LOOKOUT RD (BLACKHEATH)</t>
  </si>
  <si>
    <t>0004020</t>
  </si>
  <si>
    <t>WATTAMOLLA RD (ROYAL NATIONAL PK)</t>
  </si>
  <si>
    <t>0004021</t>
  </si>
  <si>
    <t>GLENBAWN DAM RD</t>
  </si>
  <si>
    <t>0004025</t>
  </si>
  <si>
    <t>GARIE RD (ROYAL NATIONAL PARK)</t>
  </si>
  <si>
    <t>0004026</t>
  </si>
  <si>
    <t>RIVERSIDE DR (LANE COVE NAT PK)</t>
  </si>
  <si>
    <t>0004027</t>
  </si>
  <si>
    <t>WRIGHTS LOOKOUT RD</t>
  </si>
  <si>
    <t>0004031</t>
  </si>
  <si>
    <t>KURNELL-CAPE SOLANDER</t>
  </si>
  <si>
    <t>0004033</t>
  </si>
  <si>
    <t>NR BOOKHAM-BURRINJUCK</t>
  </si>
  <si>
    <t>0004035</t>
  </si>
  <si>
    <t>BUNGWAHL-SEAL ROCKS</t>
  </si>
  <si>
    <t>0004039</t>
  </si>
  <si>
    <t>MITCHELL PASS RD (EMU PLAINS)</t>
  </si>
  <si>
    <t>0004045</t>
  </si>
  <si>
    <t>GAN GAN ROAD</t>
  </si>
  <si>
    <t>0004050</t>
  </si>
  <si>
    <t>WAGGA WAGGA-WILLANS HILL</t>
  </si>
  <si>
    <t>0004052</t>
  </si>
  <si>
    <t>SPRINGWOOD-FAULCONBRIDGE</t>
  </si>
  <si>
    <t>0004053</t>
  </si>
  <si>
    <t>COONABARABRAN-GUMIN</t>
  </si>
  <si>
    <t>0004055</t>
  </si>
  <si>
    <t>CORUNNA LAKE-MYSTERY BAY</t>
  </si>
  <si>
    <t>0004056</t>
  </si>
  <si>
    <t>WILLIS-KOSCIUSKO NAT PK BDY</t>
  </si>
  <si>
    <t>0004057</t>
  </si>
  <si>
    <t>LOVEDALE RD/ALLANDALE RD - LOVEDALE to ALLANDALE</t>
  </si>
  <si>
    <t>0004058</t>
  </si>
  <si>
    <t>BROADWATER-EVANS HEAD RD (SOUTH)</t>
  </si>
  <si>
    <t>0005501</t>
  </si>
  <si>
    <t>LOCH LILLY RD</t>
  </si>
  <si>
    <t>UU</t>
  </si>
  <si>
    <t>0005502</t>
  </si>
  <si>
    <t>PINNACLES RD</t>
  </si>
  <si>
    <t>0005503</t>
  </si>
  <si>
    <t>NINE MILE RD</t>
  </si>
  <si>
    <t>0005504</t>
  </si>
  <si>
    <t>WILANGEE RD</t>
  </si>
  <si>
    <t>0005505</t>
  </si>
  <si>
    <t>YANCO GLEN-WAKA</t>
  </si>
  <si>
    <t>0005506</t>
  </si>
  <si>
    <t>THE VELDT-MILPARINKA</t>
  </si>
  <si>
    <t>0005507</t>
  </si>
  <si>
    <t>MOUNT ARROWSMITH RD</t>
  </si>
  <si>
    <t>0005508</t>
  </si>
  <si>
    <t>TIBOOBURRA-FORTVILLE GATE</t>
  </si>
  <si>
    <t>0005509</t>
  </si>
  <si>
    <t>TIBOOBURRA-TOONA GATE</t>
  </si>
  <si>
    <t>0005510</t>
  </si>
  <si>
    <t>WOMPAH GATE ROAD</t>
  </si>
  <si>
    <t>0005511</t>
  </si>
  <si>
    <t>NARRIEARRA RD</t>
  </si>
  <si>
    <t>0005514</t>
  </si>
  <si>
    <t>QUESTA PARK-NINETY ONE MILE BORE</t>
  </si>
  <si>
    <t>0005515</t>
  </si>
  <si>
    <t>HENRY ROBERTS ROAD</t>
  </si>
  <si>
    <t>0005516</t>
  </si>
  <si>
    <t>NUNDORA-PETITA</t>
  </si>
  <si>
    <t>0005517</t>
  </si>
  <si>
    <t>KINALUNG RD</t>
  </si>
  <si>
    <t>0005518</t>
  </si>
  <si>
    <t>COONA POINT-BINDARA</t>
  </si>
  <si>
    <t>0005519</t>
  </si>
  <si>
    <t>DAYDREAM MINE ROAD</t>
  </si>
  <si>
    <t>0005520</t>
  </si>
  <si>
    <t>STEPHENS CREEK RESERVOIR RD</t>
  </si>
  <si>
    <t>0005521</t>
  </si>
  <si>
    <t>MOOTWINGEE RD</t>
  </si>
  <si>
    <t>0005523</t>
  </si>
  <si>
    <t>MULGA VALLEY-COBHAM</t>
  </si>
  <si>
    <t>0005524</t>
  </si>
  <si>
    <t>TIBOOBURRA TOWN STREETS</t>
  </si>
  <si>
    <t>0005526</t>
  </si>
  <si>
    <t>THE VELDT-WESTWOOD DOWNS</t>
  </si>
  <si>
    <t>0005528</t>
  </si>
  <si>
    <t>SILVERTON TOWN STREETS</t>
  </si>
  <si>
    <t>0005531</t>
  </si>
  <si>
    <t>WANAARING-HAMILTON GATE</t>
  </si>
  <si>
    <t>0005533</t>
  </si>
  <si>
    <t>NETLEY RD</t>
  </si>
  <si>
    <t>0005534</t>
  </si>
  <si>
    <t>LAKE TANDOU RD</t>
  </si>
  <si>
    <t>0005535</t>
  </si>
  <si>
    <t>FOWLERS GAP-BORDER DOWNS</t>
  </si>
  <si>
    <t>0005536</t>
  </si>
  <si>
    <t>MOUNT WOOWOOLAHRA RD</t>
  </si>
  <si>
    <t>0005537</t>
  </si>
  <si>
    <t>NOONAMAH-URISINO</t>
  </si>
  <si>
    <t>0005539</t>
  </si>
  <si>
    <t>WANAARING-WILLARA CROSSING</t>
  </si>
  <si>
    <t>0005540</t>
  </si>
  <si>
    <t>WATERBAG RD</t>
  </si>
  <si>
    <t>0005541</t>
  </si>
  <si>
    <t>WHYJONTA-MILPARINKA</t>
  </si>
  <si>
    <t>0005542</t>
  </si>
  <si>
    <t>MILPARINKA-YANDAMA</t>
  </si>
  <si>
    <t>0005543</t>
  </si>
  <si>
    <t>NUNTHERUNGIE-KAYRUNNERA</t>
  </si>
  <si>
    <t>0005546</t>
  </si>
  <si>
    <t>POOLE'S GRAVE RD</t>
  </si>
  <si>
    <t>0005547</t>
  </si>
  <si>
    <t>GUM VALE-HEWART DOWNS RD</t>
  </si>
  <si>
    <t>0005549</t>
  </si>
  <si>
    <t>WILCANNIA-WANAARING</t>
  </si>
  <si>
    <t>0005550</t>
  </si>
  <si>
    <t>MILPARINKA TOWN STREETS</t>
  </si>
  <si>
    <t>0006002</t>
  </si>
  <si>
    <t>M2 MOTORWAY</t>
  </si>
  <si>
    <t>FW</t>
  </si>
  <si>
    <t>0006003</t>
  </si>
  <si>
    <t>SYDNEY-NEWCASTLE FREEWAY</t>
  </si>
  <si>
    <t>0006004</t>
  </si>
  <si>
    <t>WESTERN FREEWAY</t>
  </si>
  <si>
    <t>0006005</t>
  </si>
  <si>
    <t>SOUTH WESTERN FREEWAY</t>
  </si>
  <si>
    <t>0006006</t>
  </si>
  <si>
    <t>SOUTHERN FREEWAY</t>
  </si>
  <si>
    <t>0006007</t>
  </si>
  <si>
    <t>EASTERN DISTRIBUTOR</t>
  </si>
  <si>
    <t>0006008</t>
  </si>
  <si>
    <t>NOT GAZETT M8 - WESTCONNEX ST PETERS - BEVERLY HILLS</t>
  </si>
  <si>
    <t>0006009</t>
  </si>
  <si>
    <t>M7 WESTLINK</t>
  </si>
  <si>
    <t>0006010</t>
  </si>
  <si>
    <t>CROSS CITY TUNNEL</t>
  </si>
  <si>
    <t>0006011</t>
  </si>
  <si>
    <t>HUNTER EXPRESSWAY</t>
  </si>
  <si>
    <t>0006012</t>
  </si>
  <si>
    <t>NORTHCONNEX</t>
  </si>
  <si>
    <t>0006092</t>
  </si>
  <si>
    <t>SYDNEY HARBOUR TUNNEL</t>
  </si>
  <si>
    <t>0007001</t>
  </si>
  <si>
    <t>MIRANDA-GYMEA</t>
  </si>
  <si>
    <t>0007002</t>
  </si>
  <si>
    <t>BATES DRIVE (KAREELA)</t>
  </si>
  <si>
    <t>0007003</t>
  </si>
  <si>
    <t>SAN SOUCI-BRIGHTON-LE-SANDS</t>
  </si>
  <si>
    <t>0007004</t>
  </si>
  <si>
    <t>HURSTVILLE-KOGARAH BAY</t>
  </si>
  <si>
    <t>0007006</t>
  </si>
  <si>
    <t>ROCKDALE-PUNCHBOWL</t>
  </si>
  <si>
    <t>0007008</t>
  </si>
  <si>
    <t>ALEXANDRIA-DARLINGHURST</t>
  </si>
  <si>
    <t>0007009</t>
  </si>
  <si>
    <t>BEXLEY-CARLTON/HURSTVILLE</t>
  </si>
  <si>
    <t>0007010</t>
  </si>
  <si>
    <t>HURSTVILLE-PENSHURST</t>
  </si>
  <si>
    <t>0007012</t>
  </si>
  <si>
    <t>HURSTVILLE-RIVERWOOD</t>
  </si>
  <si>
    <t>0007015</t>
  </si>
  <si>
    <t>HURSTVILLE-BEVERLY HILLS</t>
  </si>
  <si>
    <t>0007017</t>
  </si>
  <si>
    <t>ST PETERS-ENMORE</t>
  </si>
  <si>
    <t>0007018</t>
  </si>
  <si>
    <t>NEWTOWN-LEWISHAM</t>
  </si>
  <si>
    <t>0007022</t>
  </si>
  <si>
    <t>ROBEY STREET (MASCOT)</t>
  </si>
  <si>
    <t>0007023</t>
  </si>
  <si>
    <t>KING ST-MALONEY ST (MASCOT)</t>
  </si>
  <si>
    <t>0007030</t>
  </si>
  <si>
    <t>BEXLEY-EARLWOOD</t>
  </si>
  <si>
    <t>0007031</t>
  </si>
  <si>
    <t>CARINGBAH-KURNELL</t>
  </si>
  <si>
    <t>0007035</t>
  </si>
  <si>
    <t>KINGSGROVE-BEVERLY HILLS</t>
  </si>
  <si>
    <t>0007037</t>
  </si>
  <si>
    <t>KYEEMAGH-ROCKDALE</t>
  </si>
  <si>
    <t>0007038</t>
  </si>
  <si>
    <t>FLORA ST (ARNCLIFFE)</t>
  </si>
  <si>
    <t>0007044</t>
  </si>
  <si>
    <t>BANKSMEADOW-MAROUBRA</t>
  </si>
  <si>
    <t>0007045</t>
  </si>
  <si>
    <t>COWARD  ST (MASCOT)</t>
  </si>
  <si>
    <t>0007047</t>
  </si>
  <si>
    <t>BELMORE-STRATHFIELD</t>
  </si>
  <si>
    <t>0007048</t>
  </si>
  <si>
    <t>KOGARAH-BEXLEY</t>
  </si>
  <si>
    <t>0007051</t>
  </si>
  <si>
    <t>WILEY PARK-CAMPSIE</t>
  </si>
  <si>
    <t>0007053</t>
  </si>
  <si>
    <t>CANTERBURY-MARRICKVILLE</t>
  </si>
  <si>
    <t>0007054</t>
  </si>
  <si>
    <t>SYDENHAM-DULWICH HILL</t>
  </si>
  <si>
    <t>0007055</t>
  </si>
  <si>
    <t>CHATSWOOD WEST-LANE COVE WEST</t>
  </si>
  <si>
    <t>0007061</t>
  </si>
  <si>
    <t>BEACONSFIELD-ALEXANDRIA</t>
  </si>
  <si>
    <t>0007062</t>
  </si>
  <si>
    <t>BELFIELD-SOUTH STRATHFIELD</t>
  </si>
  <si>
    <t>0007067</t>
  </si>
  <si>
    <t>CAMPSIE-ENFIELD</t>
  </si>
  <si>
    <t>0007072</t>
  </si>
  <si>
    <t>MARRICKVILLE-DULWICH HILL</t>
  </si>
  <si>
    <t>0007078</t>
  </si>
  <si>
    <t>DULWICH HILL-LEWISHAM</t>
  </si>
  <si>
    <t>0007083</t>
  </si>
  <si>
    <t>WATERLOO-SYDNEY</t>
  </si>
  <si>
    <t>0007084</t>
  </si>
  <si>
    <t>LEWISHAM-LEICHHARDT</t>
  </si>
  <si>
    <t>0007085</t>
  </si>
  <si>
    <t>NEWTOWN-PETERSHAM</t>
  </si>
  <si>
    <t>0007086</t>
  </si>
  <si>
    <t>WOLLI CREEK RD (ROCKDALE)</t>
  </si>
  <si>
    <t>0007088</t>
  </si>
  <si>
    <t>BRIDGE RD (STANMORE)</t>
  </si>
  <si>
    <t>0007094</t>
  </si>
  <si>
    <t>MISSENDEN RD (NEWTOWN)</t>
  </si>
  <si>
    <t>0007097</t>
  </si>
  <si>
    <t>REDMYRE RD (STRATHFIELD)</t>
  </si>
  <si>
    <t>0007101</t>
  </si>
  <si>
    <t>HECTOR ST-BOLD ST</t>
  </si>
  <si>
    <t>0007102</t>
  </si>
  <si>
    <t>GRANVILLE-CARRAMAR</t>
  </si>
  <si>
    <t>0007103</t>
  </si>
  <si>
    <t>OLYMPIC DR-PARRAMATTA RD</t>
  </si>
  <si>
    <t>0007105</t>
  </si>
  <si>
    <t>HUME HWY-JOSEPH ST</t>
  </si>
  <si>
    <t>0007106</t>
  </si>
  <si>
    <t>FAIRFIELD ST-WOODVILLE RD</t>
  </si>
  <si>
    <t>0007115</t>
  </si>
  <si>
    <t>MILLER RD</t>
  </si>
  <si>
    <t>0007116</t>
  </si>
  <si>
    <t>BIRRONG-SEFTON</t>
  </si>
  <si>
    <t>0007117</t>
  </si>
  <si>
    <t>BRUNKER RD</t>
  </si>
  <si>
    <t>0007118</t>
  </si>
  <si>
    <t>WATERLOO RD</t>
  </si>
  <si>
    <t>0007119</t>
  </si>
  <si>
    <t>ROBERTS RD-WATTLE ST</t>
  </si>
  <si>
    <t>0007120</t>
  </si>
  <si>
    <t>QUEEN ST-EDGAR ST</t>
  </si>
  <si>
    <t>0007121</t>
  </si>
  <si>
    <t>MARION ST-HAIG AVE</t>
  </si>
  <si>
    <t>0007122</t>
  </si>
  <si>
    <t>CHAPEL ROAD</t>
  </si>
  <si>
    <t>0007123</t>
  </si>
  <si>
    <t>RICKARD RD</t>
  </si>
  <si>
    <t>0007124</t>
  </si>
  <si>
    <t>MACAULEY AVE, BANKSTOWN</t>
  </si>
  <si>
    <t>0007125</t>
  </si>
  <si>
    <t>BEACONSFIELD ST</t>
  </si>
  <si>
    <t>0007126</t>
  </si>
  <si>
    <t>PADSTOW-REVESBY</t>
  </si>
  <si>
    <t>0007127</t>
  </si>
  <si>
    <t>TOWER ST</t>
  </si>
  <si>
    <t>0007128</t>
  </si>
  <si>
    <t>ALMA RD-URANUS RD</t>
  </si>
  <si>
    <t>0007129</t>
  </si>
  <si>
    <t>WATTLE ST(PT)-KOALA RD(PT),PUNCHBOWL</t>
  </si>
  <si>
    <t>0007140</t>
  </si>
  <si>
    <t>GLENORIE-OAKVILLE</t>
  </si>
  <si>
    <t>0007141</t>
  </si>
  <si>
    <t>KENTHURST RD-ANNANGROVE RD</t>
  </si>
  <si>
    <t>0007142</t>
  </si>
  <si>
    <t>GLENHAVEN RD-SAMANTHA RILEY DR</t>
  </si>
  <si>
    <t>0007143</t>
  </si>
  <si>
    <t>BARCLAY RD-COOK ST</t>
  </si>
  <si>
    <t>0007144</t>
  </si>
  <si>
    <t>NORTH ROCKS RD</t>
  </si>
  <si>
    <t>0007145</t>
  </si>
  <si>
    <t>JENKINS RD-AIKEN RD</t>
  </si>
  <si>
    <t>0007146</t>
  </si>
  <si>
    <t>GILBERT RD (CASTLE HILL)</t>
  </si>
  <si>
    <t>0007150</t>
  </si>
  <si>
    <t>BLACKTOWN RD</t>
  </si>
  <si>
    <t>0007151</t>
  </si>
  <si>
    <t>BEST RD</t>
  </si>
  <si>
    <t>0007152</t>
  </si>
  <si>
    <t>BLACKTOWN RING ROAD</t>
  </si>
  <si>
    <t>0007153</t>
  </si>
  <si>
    <t>HORSLEY PARK-PARKLEA</t>
  </si>
  <si>
    <t>0007154</t>
  </si>
  <si>
    <t>PATRICK &amp; RICHMOND ROADS</t>
  </si>
  <si>
    <t>0007155</t>
  </si>
  <si>
    <t>NEWTON, MONASH ROADS</t>
  </si>
  <si>
    <t>0007156</t>
  </si>
  <si>
    <t>BUNGARIBEE RD</t>
  </si>
  <si>
    <t>0007157</t>
  </si>
  <si>
    <t>QUAKERS HILL-RIVERSTONE</t>
  </si>
  <si>
    <t>0007158</t>
  </si>
  <si>
    <t>SCHOFIELDS RD</t>
  </si>
  <si>
    <t>0007159</t>
  </si>
  <si>
    <t>POWER ST</t>
  </si>
  <si>
    <t>0007160</t>
  </si>
  <si>
    <t>WOODSTOCK, GLENDENNING RDS</t>
  </si>
  <si>
    <t>0007161</t>
  </si>
  <si>
    <t>LUXFORD ROAD</t>
  </si>
  <si>
    <t>0007162</t>
  </si>
  <si>
    <t>CARLISLE AVE</t>
  </si>
  <si>
    <t>0007163</t>
  </si>
  <si>
    <t>JERSEY-COPELAND-BOUGAINVILLE ROADS</t>
  </si>
  <si>
    <t>0007164</t>
  </si>
  <si>
    <t>PALMYRA AV-NINTH AV</t>
  </si>
  <si>
    <t>0007166</t>
  </si>
  <si>
    <t>SHANES PARK-BERKSHIRE PARK</t>
  </si>
  <si>
    <t>0007167</t>
  </si>
  <si>
    <t>GLOSSOP ST-FORRESTER RD</t>
  </si>
  <si>
    <t>0007168</t>
  </si>
  <si>
    <t>DEBRINCAT AV-AURORA DR</t>
  </si>
  <si>
    <t>0007169</t>
  </si>
  <si>
    <t>WOODSTOCK AV-CLUCAS RD-BAMBARA ST</t>
  </si>
  <si>
    <t>0007170</t>
  </si>
  <si>
    <t>EASTERN ROAD</t>
  </si>
  <si>
    <t>0007171</t>
  </si>
  <si>
    <t>RESERVOIR RD-BALMORAL ST (BLACKTOWN)</t>
  </si>
  <si>
    <t>0007180</t>
  </si>
  <si>
    <t>CAWDOR RD</t>
  </si>
  <si>
    <t>0007181</t>
  </si>
  <si>
    <t>OLD HUME HWY</t>
  </si>
  <si>
    <t>0007190</t>
  </si>
  <si>
    <t>BROUGHTON ST-LEUMEAH RD</t>
  </si>
  <si>
    <t>0007191</t>
  </si>
  <si>
    <t>THERRY RD-BLAXLAND RD</t>
  </si>
  <si>
    <t>0007192</t>
  </si>
  <si>
    <t>CAMPBELLTOWN-ESCHOL PARK</t>
  </si>
  <si>
    <t>0007193</t>
  </si>
  <si>
    <t>QUEEN ST</t>
  </si>
  <si>
    <t>0007194</t>
  </si>
  <si>
    <t>LEPPINGTON-ST ANDREWS</t>
  </si>
  <si>
    <t>0007195</t>
  </si>
  <si>
    <t>DENHAM COURT RD</t>
  </si>
  <si>
    <t>0007196</t>
  </si>
  <si>
    <t>BEN LOMOND RD</t>
  </si>
  <si>
    <t>0007197</t>
  </si>
  <si>
    <t>INGLEBURN-MACQUARIE FIELDS</t>
  </si>
  <si>
    <t>0007198</t>
  </si>
  <si>
    <t>CUMBERLAND RD-RAILWAY PDE</t>
  </si>
  <si>
    <t>0007199</t>
  </si>
  <si>
    <t>SAYWELL RD(PT), MACQUARIE FIELDS</t>
  </si>
  <si>
    <t>0007200</t>
  </si>
  <si>
    <t>BROUGHTON ST(PT),HURLEY ST,KELLICAR RD</t>
  </si>
  <si>
    <t>0007205</t>
  </si>
  <si>
    <t>VINEYARD-MARAYLYA</t>
  </si>
  <si>
    <t>0007207</t>
  </si>
  <si>
    <t>TERRACE RD</t>
  </si>
  <si>
    <t>0007208</t>
  </si>
  <si>
    <t>ARGYLE ST-BRABYN ST, STH WINDSOR</t>
  </si>
  <si>
    <t>0007209</t>
  </si>
  <si>
    <t>MARCH ST (PT), RICHMOND</t>
  </si>
  <si>
    <t>0007210</t>
  </si>
  <si>
    <t>LENNOX ST(PT),RICHMOND</t>
  </si>
  <si>
    <t>0007211</t>
  </si>
  <si>
    <t>BOURKE ST(PT),RICHMOND</t>
  </si>
  <si>
    <t>0007212</t>
  </si>
  <si>
    <t>GROSE VALE RD</t>
  </si>
  <si>
    <t>0007220</t>
  </si>
  <si>
    <t>SMITHFIELD ROAD</t>
  </si>
  <si>
    <t>0007221</t>
  </si>
  <si>
    <t>HUMPHRIES RD-SACKVILLE ST</t>
  </si>
  <si>
    <t>0007222</t>
  </si>
  <si>
    <t>FAIRFIELD, POLDING, PRAIRIE VALE, RESTWELL RDS</t>
  </si>
  <si>
    <t>0007223</t>
  </si>
  <si>
    <t>LAWSON ST-RICHARDS RD</t>
  </si>
  <si>
    <t>0007224</t>
  </si>
  <si>
    <t>CANLEY VALE RD</t>
  </si>
  <si>
    <t>0007225</t>
  </si>
  <si>
    <t>BARTLEY ST,CABRAMATTA</t>
  </si>
  <si>
    <t>0007226</t>
  </si>
  <si>
    <t>LANSDOWNE RD-BAREENA ST</t>
  </si>
  <si>
    <t>0007227</t>
  </si>
  <si>
    <t>GLADSTONE ST(PT),CABRAMATTA</t>
  </si>
  <si>
    <t>0007228</t>
  </si>
  <si>
    <t>MEADOWS RD-EDENSOR RD</t>
  </si>
  <si>
    <t>0007229</t>
  </si>
  <si>
    <t>GREENFIELD PARK-BOSSLEY PARK</t>
  </si>
  <si>
    <t>0007230</t>
  </si>
  <si>
    <t>WETHERILL ST,WETHERILL PARK</t>
  </si>
  <si>
    <t>0007231</t>
  </si>
  <si>
    <t>AVOCA RD-KING RD</t>
  </si>
  <si>
    <t>0007232</t>
  </si>
  <si>
    <t>FAIRFIELD ST-MITCHELL ST</t>
  </si>
  <si>
    <t>0007233</t>
  </si>
  <si>
    <t>CHURCH ST-RAILWAY PDE</t>
  </si>
  <si>
    <t>0007234</t>
  </si>
  <si>
    <t>SMITHFIELD-WETHERILL PARK</t>
  </si>
  <si>
    <t>0007240</t>
  </si>
  <si>
    <t>COPELAND RD (BEECROFT)</t>
  </si>
  <si>
    <t>0007241</t>
  </si>
  <si>
    <t>BELLAMY ST-STEVENS ST</t>
  </si>
  <si>
    <t>0007242</t>
  </si>
  <si>
    <t>NEW LINE RD</t>
  </si>
  <si>
    <t>0007243</t>
  </si>
  <si>
    <t>YARRARA RD-COLLEGE CRES</t>
  </si>
  <si>
    <t>0007244</t>
  </si>
  <si>
    <t>WEST PYMBLE-THORNLEIGH</t>
  </si>
  <si>
    <t>0007245</t>
  </si>
  <si>
    <t>SHERBROOK RD-ROYSTON PDE</t>
  </si>
  <si>
    <t>0007250</t>
  </si>
  <si>
    <t>MERRYLANDS RD</t>
  </si>
  <si>
    <t>0007251</t>
  </si>
  <si>
    <t>WOODPARK, SHERWOOD, CENTENARY RDS</t>
  </si>
  <si>
    <t>0007252</t>
  </si>
  <si>
    <t>MC CREDIE, FOWLER, BURNETT STS</t>
  </si>
  <si>
    <t>0007253</t>
  </si>
  <si>
    <t>OXFORD &amp; HAWKSVIEW ST'S</t>
  </si>
  <si>
    <t>0007255</t>
  </si>
  <si>
    <t>MERRYLANDS RD (PT), MERRYLANDS</t>
  </si>
  <si>
    <t>0007256</t>
  </si>
  <si>
    <t>TOONGABBIE, PORTIA, CORNELIA RDS</t>
  </si>
  <si>
    <t>0007257</t>
  </si>
  <si>
    <t>DUNMORE, GOODALL ST'S</t>
  </si>
  <si>
    <t>0007260</t>
  </si>
  <si>
    <t>BRINGELLY-BADGERYS CREEK</t>
  </si>
  <si>
    <t>0007261</t>
  </si>
  <si>
    <t>KING ST-DEVONSHIRE RD</t>
  </si>
  <si>
    <t>0007262</t>
  </si>
  <si>
    <t>PRESTONS-CARTWRIGHT</t>
  </si>
  <si>
    <t>0007263</t>
  </si>
  <si>
    <t>KURRAJONG RD,PRESTONS</t>
  </si>
  <si>
    <t>0007264</t>
  </si>
  <si>
    <t>0007265</t>
  </si>
  <si>
    <t>WONGA RD-HILL RD</t>
  </si>
  <si>
    <t>0007266</t>
  </si>
  <si>
    <t>FLOWERDALE</t>
  </si>
  <si>
    <t>0007267</t>
  </si>
  <si>
    <t>NORTH LIVERPOOL RD</t>
  </si>
  <si>
    <t>0007268</t>
  </si>
  <si>
    <t>GOVERNOR MACQUARIE DR</t>
  </si>
  <si>
    <t>0007269</t>
  </si>
  <si>
    <t>NUWARRA RD</t>
  </si>
  <si>
    <t>0007270</t>
  </si>
  <si>
    <t>LYN PDE, PRESTONS</t>
  </si>
  <si>
    <t>0007273</t>
  </si>
  <si>
    <t>ALBERT ST-PENNANT HILLS RD</t>
  </si>
  <si>
    <t>0007276</t>
  </si>
  <si>
    <t>VICTORIA RD(PT),PARAMATTA</t>
  </si>
  <si>
    <t>0007277</t>
  </si>
  <si>
    <t>BETTINGTON RD</t>
  </si>
  <si>
    <t>0007278</t>
  </si>
  <si>
    <t>BARNEY ST</t>
  </si>
  <si>
    <t>0007279</t>
  </si>
  <si>
    <t>WENTWORTH AVE</t>
  </si>
  <si>
    <t>0007285</t>
  </si>
  <si>
    <t>SILVERDALE RD</t>
  </si>
  <si>
    <t>0007286</t>
  </si>
  <si>
    <t>LUDDENHAM RD</t>
  </si>
  <si>
    <t>0007287</t>
  </si>
  <si>
    <t>LLANDILO-BERKSHIRE PARK</t>
  </si>
  <si>
    <t>0007288</t>
  </si>
  <si>
    <t>WERRINGTON RD-DUNHEVED RD</t>
  </si>
  <si>
    <t>0007289</t>
  </si>
  <si>
    <t>COREEN AVE</t>
  </si>
  <si>
    <t>0007290</t>
  </si>
  <si>
    <t>JAMISON RD</t>
  </si>
  <si>
    <t>0007291</t>
  </si>
  <si>
    <t>OLD BATHURST RD</t>
  </si>
  <si>
    <t>0007292</t>
  </si>
  <si>
    <t>RUSSELL ST(PT), EMU PLAINS</t>
  </si>
  <si>
    <t>0007293</t>
  </si>
  <si>
    <t>HEWITT ST(PT)/ROPER RD(PT),COLYTON</t>
  </si>
  <si>
    <t>0007299</t>
  </si>
  <si>
    <t>LEURA-KATOOMBA</t>
  </si>
  <si>
    <t>0007300</t>
  </si>
  <si>
    <t>SYDNEY-HAYMARKET</t>
  </si>
  <si>
    <t>0007301</t>
  </si>
  <si>
    <t>PADDINGTON-HAYMARKET</t>
  </si>
  <si>
    <t>0007302</t>
  </si>
  <si>
    <t>ALBION ST (SURRY HILLS)</t>
  </si>
  <si>
    <t>0007303</t>
  </si>
  <si>
    <t>HAYMARKET-DARLING HARBOUR</t>
  </si>
  <si>
    <t>0007304</t>
  </si>
  <si>
    <t>SURRY HILLS-CIRCULAR QUAY</t>
  </si>
  <si>
    <t>0007305</t>
  </si>
  <si>
    <t>SURRY HILLS-ULTIMO</t>
  </si>
  <si>
    <t>0007306</t>
  </si>
  <si>
    <t>BATHURST ST-SYDNEY</t>
  </si>
  <si>
    <t>0007307</t>
  </si>
  <si>
    <t>EAST SYDNEY-DARLING HARBOUR</t>
  </si>
  <si>
    <t>0007308</t>
  </si>
  <si>
    <t>KING ST (SYDNEY)</t>
  </si>
  <si>
    <t>0007309</t>
  </si>
  <si>
    <t>HURSTVILLE-BELMORE</t>
  </si>
  <si>
    <t>0007310</t>
  </si>
  <si>
    <t>OXFORD ST (DARLINGHURST)</t>
  </si>
  <si>
    <t>0007311</t>
  </si>
  <si>
    <t>WOOLLOOM00L00-GARDEN ISLAND</t>
  </si>
  <si>
    <t>0007312</t>
  </si>
  <si>
    <t>DARLING HARBOUR-DAWES POINT</t>
  </si>
  <si>
    <t>0007313</t>
  </si>
  <si>
    <t>GLEBE POINT RD (GLEBE)</t>
  </si>
  <si>
    <t>0007314</t>
  </si>
  <si>
    <t>CAMPERDOWN-LEICHHARDT</t>
  </si>
  <si>
    <t>0007315</t>
  </si>
  <si>
    <t>LEICHHARDT-LILYFIELD</t>
  </si>
  <si>
    <t>0007316</t>
  </si>
  <si>
    <t>LILYFIELD RD (ROZELLE)</t>
  </si>
  <si>
    <t>0007317</t>
  </si>
  <si>
    <t>WHITE BAY-BALMAIN</t>
  </si>
  <si>
    <t>0007318</t>
  </si>
  <si>
    <t>ROZELLE-BALMAIN</t>
  </si>
  <si>
    <t>0007319</t>
  </si>
  <si>
    <t>DOBROYD POINT-RUSSELL LEA</t>
  </si>
  <si>
    <t>0007320</t>
  </si>
  <si>
    <t>HARRIS STREET-FIVE DOCK</t>
  </si>
  <si>
    <t>0007321</t>
  </si>
  <si>
    <t>BURWOOD RD-CONCORD</t>
  </si>
  <si>
    <t>0007322</t>
  </si>
  <si>
    <t>BROUGHTON STREET-CONCORD</t>
  </si>
  <si>
    <t>0007323</t>
  </si>
  <si>
    <t>UNDERWOOD ROAD (HOMEBUSH)</t>
  </si>
  <si>
    <t>0007324</t>
  </si>
  <si>
    <t>CONCORD-HOMEBUSH</t>
  </si>
  <si>
    <t>0007325</t>
  </si>
  <si>
    <t>RUSSELL LEA-CONCORD WEST</t>
  </si>
  <si>
    <t>0007326</t>
  </si>
  <si>
    <t>GREAT NORTH ROAD-ABBOTSFORD</t>
  </si>
  <si>
    <t>0007328</t>
  </si>
  <si>
    <t>COOGEE-BRONTE</t>
  </si>
  <si>
    <t>0007329</t>
  </si>
  <si>
    <t>BRONTE-RANDWICK</t>
  </si>
  <si>
    <t>0007330</t>
  </si>
  <si>
    <t>RANDWICK-EDGECLIFF</t>
  </si>
  <si>
    <t>0007331</t>
  </si>
  <si>
    <t>ZETLAND-CENTENNIAL PARK</t>
  </si>
  <si>
    <t>0007332</t>
  </si>
  <si>
    <t>RANDWICK-BRONTE</t>
  </si>
  <si>
    <t>0007334</t>
  </si>
  <si>
    <t>BRONTE-WAVERLEY</t>
  </si>
  <si>
    <t>0007335</t>
  </si>
  <si>
    <t>CENTENNIAL PARK-BONDI</t>
  </si>
  <si>
    <t>0007336</t>
  </si>
  <si>
    <t>BONDI BEACH-ROSE BAY</t>
  </si>
  <si>
    <t>0007337</t>
  </si>
  <si>
    <t>NORTON ST (LEICHHARDT)</t>
  </si>
  <si>
    <t>0007338</t>
  </si>
  <si>
    <t>ERNEST ST (CAMMERAY)</t>
  </si>
  <si>
    <t>0007340</t>
  </si>
  <si>
    <t>BRONTE-HILLSDALE</t>
  </si>
  <si>
    <t>0007341</t>
  </si>
  <si>
    <t>GREENWICH-ST LEONARDS</t>
  </si>
  <si>
    <t>0007342</t>
  </si>
  <si>
    <t>CHATSWOOD WEST-WEST KILLARA</t>
  </si>
  <si>
    <t>0007343</t>
  </si>
  <si>
    <t>MANLY-BROOKVALE</t>
  </si>
  <si>
    <t>0007344</t>
  </si>
  <si>
    <t>MANLY VALE-MANLY</t>
  </si>
  <si>
    <t>0007345</t>
  </si>
  <si>
    <t>NORTH MANLY-FRENCHS FOREST</t>
  </si>
  <si>
    <t>0007346</t>
  </si>
  <si>
    <t>NORTH CURL CURL-BEACON HILL</t>
  </si>
  <si>
    <t>0007347</t>
  </si>
  <si>
    <t>DEE WHY-BEACON HILL</t>
  </si>
  <si>
    <t>0007348</t>
  </si>
  <si>
    <t>FISHER RD, DEE WHY</t>
  </si>
  <si>
    <t>0007349</t>
  </si>
  <si>
    <t>KILLARA-EAST KILLARA</t>
  </si>
  <si>
    <t>0007350</t>
  </si>
  <si>
    <t>FOX VALLEY RD (WAHROONGA)</t>
  </si>
  <si>
    <t>0007351</t>
  </si>
  <si>
    <t>TURRAMURRA-EAST WAHROONGA</t>
  </si>
  <si>
    <t>0007352</t>
  </si>
  <si>
    <t>INGLESIDE-NORTH NARRABEEN</t>
  </si>
  <si>
    <t>0007353</t>
  </si>
  <si>
    <t>DARLEY ST (MONA VALE)</t>
  </si>
  <si>
    <t>0007354</t>
  </si>
  <si>
    <t>SURRY HILLS-SYDNEY</t>
  </si>
  <si>
    <t>0007365</t>
  </si>
  <si>
    <t>COLLAROY-BEACON HILL</t>
  </si>
  <si>
    <t>0007421</t>
  </si>
  <si>
    <t>SOUTH TURRAMURRA-TURRAMURRA</t>
  </si>
  <si>
    <t>0007464</t>
  </si>
  <si>
    <t>BLUE ST/MILLER ST,NORTH SYDNEY</t>
  </si>
  <si>
    <t>0007465</t>
  </si>
  <si>
    <t>BUNGARRIBEE RD/LANCASTER ST/LYTON ST (BLACKTOWN)</t>
  </si>
  <si>
    <t>0007466</t>
  </si>
  <si>
    <t>HILL RD / HOLKER ST</t>
  </si>
  <si>
    <t>0007467</t>
  </si>
  <si>
    <t>CHRISHOLM RD / MANCHESTER RD</t>
  </si>
  <si>
    <t>0007468</t>
  </si>
  <si>
    <t>PARK RD / CUMBERLAND RD</t>
  </si>
  <si>
    <t>0007469</t>
  </si>
  <si>
    <t>BULLECOURT AVE</t>
  </si>
  <si>
    <t>0007470</t>
  </si>
  <si>
    <t>GREEN ROAD/VICTORIA AVE</t>
  </si>
  <si>
    <t>0007471</t>
  </si>
  <si>
    <t>CARRINGTON RD</t>
  </si>
  <si>
    <t>0007472</t>
  </si>
  <si>
    <t>FALMOUTH RD</t>
  </si>
  <si>
    <t>0007473</t>
  </si>
  <si>
    <t>LAMB ST</t>
  </si>
  <si>
    <t>0007474</t>
  </si>
  <si>
    <t>POWERS RD</t>
  </si>
  <si>
    <t>0007475</t>
  </si>
  <si>
    <t>QUAKERS RD</t>
  </si>
  <si>
    <t>0007476</t>
  </si>
  <si>
    <t>HARLEY AVE, MOUNT VICTORIA</t>
  </si>
  <si>
    <t>0007477</t>
  </si>
  <si>
    <t>BROOKS RD, INGLEBURN</t>
  </si>
  <si>
    <t>0007478</t>
  </si>
  <si>
    <t>CAMBRIDGE RD / MOOREBANK AVE</t>
  </si>
  <si>
    <t>0007479</t>
  </si>
  <si>
    <t>BROAD ARROW RD</t>
  </si>
  <si>
    <t>0007480</t>
  </si>
  <si>
    <t>VICTORIA ST / COWPASTURE RD</t>
  </si>
  <si>
    <t>0007481</t>
  </si>
  <si>
    <t>DARCY RD/HAWKESBURY RD/PARK PDE</t>
  </si>
  <si>
    <t>0007482</t>
  </si>
  <si>
    <t>COUNTY DRIVE</t>
  </si>
  <si>
    <t>0007483</t>
  </si>
  <si>
    <t>DUFFY AVE</t>
  </si>
  <si>
    <t>0007484</t>
  </si>
  <si>
    <t>MACARTHUR ST / HARRIS ST</t>
  </si>
  <si>
    <t>0007485</t>
  </si>
  <si>
    <t>CHRISTIE ST, ST MARYS</t>
  </si>
  <si>
    <t>0007486</t>
  </si>
  <si>
    <t>HERRING RD</t>
  </si>
  <si>
    <t>0007487</t>
  </si>
  <si>
    <t>TALAVERA RD/ CHRISTIE ST</t>
  </si>
  <si>
    <t>0007488</t>
  </si>
  <si>
    <t>KIORA RD</t>
  </si>
  <si>
    <t>0007489</t>
  </si>
  <si>
    <t>ALBERT AVE</t>
  </si>
  <si>
    <t>0007490</t>
  </si>
  <si>
    <t>ARCHER ST(NORTH)</t>
  </si>
  <si>
    <t>0007502</t>
  </si>
  <si>
    <t>DARLING ST (DUBBO)</t>
  </si>
  <si>
    <t>0007507</t>
  </si>
  <si>
    <t>KANANDAH RD-CREEDON ST ARTERIAL</t>
  </si>
  <si>
    <t>0007508</t>
  </si>
  <si>
    <t>MANILDRA ST (NARROMINE)</t>
  </si>
  <si>
    <t>0007509</t>
  </si>
  <si>
    <t>TITANIA ST (OBERON)</t>
  </si>
  <si>
    <t>0007510</t>
  </si>
  <si>
    <t>ALBION ST (OBERON)</t>
  </si>
  <si>
    <t>0007511</t>
  </si>
  <si>
    <t>MANDURAMA-CANOWINDRA</t>
  </si>
  <si>
    <t>0007512</t>
  </si>
  <si>
    <t>GOOLMA-BALLIMORE</t>
  </si>
  <si>
    <t>0007513</t>
  </si>
  <si>
    <t>CONDOBOLIN-LAKE CARGELLIGO</t>
  </si>
  <si>
    <t>0007514</t>
  </si>
  <si>
    <t>MELROSE-MUDALL</t>
  </si>
  <si>
    <t>0007515</t>
  </si>
  <si>
    <t>WARREN-COMBARA</t>
  </si>
  <si>
    <t>0007516</t>
  </si>
  <si>
    <t>NR CARINDA-NR BILLYBINGBONE</t>
  </si>
  <si>
    <t>0007517</t>
  </si>
  <si>
    <t>BREWARRINA-WEILMORINGLE</t>
  </si>
  <si>
    <t>0007518</t>
  </si>
  <si>
    <t>BARNATO-TILPA</t>
  </si>
  <si>
    <t>0007519</t>
  </si>
  <si>
    <t>MENDOORAN-DUBBO</t>
  </si>
  <si>
    <t>0007521</t>
  </si>
  <si>
    <t>CONDOBOLIN-EUABALONG</t>
  </si>
  <si>
    <t>0007522</t>
  </si>
  <si>
    <t>IVANHOE-BELARABON</t>
  </si>
  <si>
    <t>0007523</t>
  </si>
  <si>
    <t>MARSHALLS LANE / GERTY ST, BLAYNEY</t>
  </si>
  <si>
    <t>0007524</t>
  </si>
  <si>
    <t>FREDERICK ST, COBAR</t>
  </si>
  <si>
    <t>0007525</t>
  </si>
  <si>
    <t>THOMPSON ST, DUBBO</t>
  </si>
  <si>
    <t>0007526</t>
  </si>
  <si>
    <t>HARGRAVES LANE, GILGANDRA</t>
  </si>
  <si>
    <t>0007527</t>
  </si>
  <si>
    <t>BULLUS DRIVE / TYCANNAH ST, MOREE</t>
  </si>
  <si>
    <t>0007602</t>
  </si>
  <si>
    <t>BROADLEAF PARK ROAD</t>
  </si>
  <si>
    <t>0007603</t>
  </si>
  <si>
    <t>ELLIOTT WAY</t>
  </si>
  <si>
    <t>0007604</t>
  </si>
  <si>
    <t>KHANCOBAN-CABRAMURRA</t>
  </si>
  <si>
    <t>0007605</t>
  </si>
  <si>
    <t>DENILIQUIN-BARHAM</t>
  </si>
  <si>
    <t>0007606</t>
  </si>
  <si>
    <t>TABBITA LANE</t>
  </si>
  <si>
    <t>0007607</t>
  </si>
  <si>
    <t>MACS REEF RD</t>
  </si>
  <si>
    <t>0007608</t>
  </si>
  <si>
    <t>NARRANDERA TO BARELLAN ROAD</t>
  </si>
  <si>
    <t>0007609</t>
  </si>
  <si>
    <t>FROM GUNDAROO-SUTTON RD TO BARTON HWY AT MURRUMBATEM</t>
  </si>
  <si>
    <t>0007610</t>
  </si>
  <si>
    <t>YASS VALLEY WAY</t>
  </si>
  <si>
    <t>0007621</t>
  </si>
  <si>
    <t>SAPPHIRE COAST DR</t>
  </si>
  <si>
    <t>0007622</t>
  </si>
  <si>
    <t>MERIMBULA-PAMBULA</t>
  </si>
  <si>
    <t>0007623</t>
  </si>
  <si>
    <t>WOLUMLA-BEMBOKA</t>
  </si>
  <si>
    <t>0007624</t>
  </si>
  <si>
    <t>CARLAMINDA RD/ POLO FLAT RD</t>
  </si>
  <si>
    <t>0007625</t>
  </si>
  <si>
    <t>COOMA-BRAIDWOOD</t>
  </si>
  <si>
    <t>0007626</t>
  </si>
  <si>
    <t>JYNDABYNE-DALGETY</t>
  </si>
  <si>
    <t>0007627</t>
  </si>
  <si>
    <t>DALMENY RD</t>
  </si>
  <si>
    <t>0007628</t>
  </si>
  <si>
    <t>TUROSS HEADS RD</t>
  </si>
  <si>
    <t>0007629</t>
  </si>
  <si>
    <t>LONG BEACH RD</t>
  </si>
  <si>
    <t>0007630</t>
  </si>
  <si>
    <t>BATEMANS BAY-MORUYA</t>
  </si>
  <si>
    <t>0007631</t>
  </si>
  <si>
    <t>BEWONG TO VINCENTIA RD</t>
  </si>
  <si>
    <t>0007632</t>
  </si>
  <si>
    <t>CULBURRA RD</t>
  </si>
  <si>
    <t>0007633</t>
  </si>
  <si>
    <t>SUSSEX INLET RD</t>
  </si>
  <si>
    <t>0007634</t>
  </si>
  <si>
    <t>NAVAL COLLEGE ROAD</t>
  </si>
  <si>
    <t>0007635</t>
  </si>
  <si>
    <t>WILSON DRIVE</t>
  </si>
  <si>
    <t>0007636</t>
  </si>
  <si>
    <t>PENROSE-WINGELLO-MARULAN</t>
  </si>
  <si>
    <t>0007637</t>
  </si>
  <si>
    <t>MERRIMBULA DRIVE</t>
  </si>
  <si>
    <t>0007638</t>
  </si>
  <si>
    <t>GUNNING OFF RAMPS</t>
  </si>
  <si>
    <t>0007639</t>
  </si>
  <si>
    <t>STATION-FUNSTON STREET</t>
  </si>
  <si>
    <t>0007640</t>
  </si>
  <si>
    <t>MONTPELIER DRIVE - SILVERDALE ROAD</t>
  </si>
  <si>
    <t>0007641</t>
  </si>
  <si>
    <t>THROSBY DRIVE - BRIDGE STREET</t>
  </si>
  <si>
    <t>0007642</t>
  </si>
  <si>
    <t>TOWRADGI- PIONEER ROAD</t>
  </si>
  <si>
    <t>0007643</t>
  </si>
  <si>
    <t>CROOKED RIVER ROAD</t>
  </si>
  <si>
    <t>0007705</t>
  </si>
  <si>
    <t>NR WARIALDA-NR BOGGABILLA</t>
  </si>
  <si>
    <t>0007706</t>
  </si>
  <si>
    <t>GLEN INNES-EMMAVILLE</t>
  </si>
  <si>
    <t>0007707</t>
  </si>
  <si>
    <t>GOONOO GOONOO ROAD</t>
  </si>
  <si>
    <t>0007708</t>
  </si>
  <si>
    <t>OLD NEW ENGLAND HWY</t>
  </si>
  <si>
    <t>0007709</t>
  </si>
  <si>
    <t>MULLALEY-BOGGABRI</t>
  </si>
  <si>
    <t>0007710</t>
  </si>
  <si>
    <t>KAMILAROI HIGHWAY-CAROONA</t>
  </si>
  <si>
    <t>0007711</t>
  </si>
  <si>
    <t>OXLEY HIGHWAY-MANILLA</t>
  </si>
  <si>
    <t>0007716</t>
  </si>
  <si>
    <t>PILLIGA-WALGETT</t>
  </si>
  <si>
    <t>0007718</t>
  </si>
  <si>
    <t>NR NOWENDOC-DUNGOWAN</t>
  </si>
  <si>
    <t>0007719</t>
  </si>
  <si>
    <t>GLOUCESTER-WALCHA</t>
  </si>
  <si>
    <t>0007731</t>
  </si>
  <si>
    <t>PACIFIC HWY-ILUKA</t>
  </si>
  <si>
    <t>0007732</t>
  </si>
  <si>
    <t>GOODWOOD ISLAND ROAD</t>
  </si>
  <si>
    <t>0007733</t>
  </si>
  <si>
    <t>OLD SH10 WHARF ST TO TWEED HEADS</t>
  </si>
  <si>
    <t>0007734</t>
  </si>
  <si>
    <t>TINTENBAR-WOLLONGBAR</t>
  </si>
  <si>
    <t>0007735</t>
  </si>
  <si>
    <t>ROSS LANE</t>
  </si>
  <si>
    <t>0007736</t>
  </si>
  <si>
    <t>PACIFIC HWY-SCOTTS HEAD</t>
  </si>
  <si>
    <t>0007737</t>
  </si>
  <si>
    <t>KEMPSEY-CRESCENT HEAD</t>
  </si>
  <si>
    <t>0007738</t>
  </si>
  <si>
    <t>GLENUGIE-PILLAR VALLEY-WOOLI</t>
  </si>
  <si>
    <t>0007739</t>
  </si>
  <si>
    <t>SH10-OLD COAST RD-WIRRIMBI RD</t>
  </si>
  <si>
    <t>0007740</t>
  </si>
  <si>
    <t>EUNGAI-STUARTS POINT</t>
  </si>
  <si>
    <t>0007741</t>
  </si>
  <si>
    <t>STADIUM DRIVE</t>
  </si>
  <si>
    <t>0007742</t>
  </si>
  <si>
    <t>WOODBURN - LISMORE</t>
  </si>
  <si>
    <t>0007743</t>
  </si>
  <si>
    <t>COMBOYNE ROAD</t>
  </si>
  <si>
    <t>0007744</t>
  </si>
  <si>
    <t>DAMPIER ST - JEWRY ST, TAMWORTH</t>
  </si>
  <si>
    <t>0007745</t>
  </si>
  <si>
    <t>HOGBIN DRIVE NORTH</t>
  </si>
  <si>
    <t>0007746</t>
  </si>
  <si>
    <t>GORDON ST, PORT MACQUARIE</t>
  </si>
  <si>
    <t>0007751</t>
  </si>
  <si>
    <t>KARIONG WOY WOY RD</t>
  </si>
  <si>
    <t>0007752</t>
  </si>
  <si>
    <t>OCEAN BEACH ROAD</t>
  </si>
  <si>
    <t>0007753</t>
  </si>
  <si>
    <t>WOY WOY KINCUMBER RD</t>
  </si>
  <si>
    <t>0007754</t>
  </si>
  <si>
    <t>KINCUMBER - TERRIGAL ROAD</t>
  </si>
  <si>
    <t>0007755</t>
  </si>
  <si>
    <t>TERRIGAL - WAMBERAL ROAD</t>
  </si>
  <si>
    <t>0007756</t>
  </si>
  <si>
    <t>TUMBI ROAD</t>
  </si>
  <si>
    <t>0007757</t>
  </si>
  <si>
    <t>RACECOURSE ROAD</t>
  </si>
  <si>
    <t>0007758</t>
  </si>
  <si>
    <t>OURIMBAH - BERKELEY VALE ROAD</t>
  </si>
  <si>
    <t>0007759</t>
  </si>
  <si>
    <t>BUDGEWOI - LAKE MUNMORAH ROAD</t>
  </si>
  <si>
    <t>0007760</t>
  </si>
  <si>
    <t>NARARA VALLEY DRIVE</t>
  </si>
  <si>
    <t>0007761</t>
  </si>
  <si>
    <t>OLD BAR ROAD</t>
  </si>
  <si>
    <t>0007763</t>
  </si>
  <si>
    <t>FAILFORD ROAD</t>
  </si>
  <si>
    <t>0007764</t>
  </si>
  <si>
    <t>DUNGOG - EAST GRESFORD ROAD</t>
  </si>
  <si>
    <t>0007765</t>
  </si>
  <si>
    <t>LEMON TREE PASSAGE ROAD</t>
  </si>
  <si>
    <t>0007766</t>
  </si>
  <si>
    <t>KURRI KURRI - GRETA RD</t>
  </si>
  <si>
    <t>0007767</t>
  </si>
  <si>
    <t>BROKE ROAD</t>
  </si>
  <si>
    <t>0007768</t>
  </si>
  <si>
    <t>CAMERON PARK RDIVE</t>
  </si>
  <si>
    <t>0007769</t>
  </si>
  <si>
    <t>MYALL ROAD</t>
  </si>
  <si>
    <t>0007770</t>
  </si>
  <si>
    <t>MCCAFFREY DR/CROUDACE RD</t>
  </si>
  <si>
    <t>0007771</t>
  </si>
  <si>
    <t>MINMI ROAD</t>
  </si>
  <si>
    <t>0007772</t>
  </si>
  <si>
    <t>CARRINGTON PORT ACCESS ROAD</t>
  </si>
  <si>
    <t>0007773</t>
  </si>
  <si>
    <t>FREDERICK STREET</t>
  </si>
  <si>
    <t>0007774</t>
  </si>
  <si>
    <t>DUNOLLY BRIDGE</t>
  </si>
  <si>
    <t>0007775</t>
  </si>
  <si>
    <t>ALISON ROAD WYONG</t>
  </si>
  <si>
    <t>0007776</t>
  </si>
  <si>
    <t>OLD SH10 ROUTE THROUGH TAREE</t>
  </si>
  <si>
    <t>0007777</t>
  </si>
  <si>
    <t>SCENIC DRIVE</t>
  </si>
  <si>
    <t>0007778</t>
  </si>
  <si>
    <t>TOCAL ROAD</t>
  </si>
  <si>
    <t>0007779</t>
  </si>
  <si>
    <t>BEACH SUBURBS ROUTE</t>
  </si>
  <si>
    <t>0007780</t>
  </si>
  <si>
    <t>WELL ST / BARRALONG RD</t>
  </si>
  <si>
    <t>0007781</t>
  </si>
  <si>
    <t>EVANS STREET</t>
  </si>
  <si>
    <t>0007782</t>
  </si>
  <si>
    <t>CHURCH ST / KEN TUBMAN ST</t>
  </si>
  <si>
    <t>0007784</t>
  </si>
  <si>
    <t>JONES AV / EDWARDS ST, MOREE</t>
  </si>
  <si>
    <t>0007785</t>
  </si>
  <si>
    <t>BLOOMFIELD / WARRABUNGLE ST, GUNNEDAH</t>
  </si>
  <si>
    <t>0007786</t>
  </si>
  <si>
    <t>ALLANDALE / LOVEDALE RD, CESSNOCK</t>
  </si>
  <si>
    <t>0007787</t>
  </si>
  <si>
    <t>BUCHANAN RD - HIGH ST, CESSNOCK - MAITLAND</t>
  </si>
  <si>
    <t>0007789</t>
  </si>
  <si>
    <t>BROADWATER EVANS HEAD RD</t>
  </si>
  <si>
    <t>0007790</t>
  </si>
  <si>
    <t>DEPROCLAIM - BYRNES RD / DUCKER ST</t>
  </si>
  <si>
    <t>0007791</t>
  </si>
  <si>
    <t>HART RD / FRAME DR / ORANGE ST</t>
  </si>
  <si>
    <t>0007792</t>
  </si>
  <si>
    <t>RUTTLEYS RD</t>
  </si>
  <si>
    <t>0008001</t>
  </si>
  <si>
    <t>PATRICK ST-RICHMOND RD, BLACKTOWN</t>
  </si>
  <si>
    <t>TW</t>
  </si>
  <si>
    <t>0008002</t>
  </si>
  <si>
    <t>LIVERPOOL TO PARRAMATTA</t>
  </si>
  <si>
    <t>0008005</t>
  </si>
  <si>
    <t>BLACKTOWN - CASTLE HILL</t>
  </si>
  <si>
    <t>0008007</t>
  </si>
  <si>
    <t>PARRAMATTA - ROUSE HILL</t>
  </si>
  <si>
    <t>0008009</t>
  </si>
  <si>
    <t>SYDNEY CBD and SOUTH EAST LIGHT RAIL</t>
  </si>
  <si>
    <t>0008011</t>
  </si>
  <si>
    <t>NEWCASTLE LIGHT RAIL</t>
  </si>
  <si>
    <t>0008500</t>
  </si>
  <si>
    <t>MOORE PARK BUS RD WEST</t>
  </si>
  <si>
    <t>0008501</t>
  </si>
  <si>
    <t>MOORE PARK BUS RD SW</t>
  </si>
  <si>
    <t>0040001</t>
  </si>
  <si>
    <t>WODONGA RD</t>
  </si>
  <si>
    <t>LR</t>
  </si>
  <si>
    <t>0040002</t>
  </si>
  <si>
    <t>WATERWORKS RD</t>
  </si>
  <si>
    <t>0040029</t>
  </si>
  <si>
    <t>FALLON ST</t>
  </si>
  <si>
    <t>0040042</t>
  </si>
  <si>
    <t>NORTH ST</t>
  </si>
  <si>
    <t>0040228</t>
  </si>
  <si>
    <t>DEAN ST</t>
  </si>
  <si>
    <t>0040242</t>
  </si>
  <si>
    <t>SMOLLETT ST</t>
  </si>
  <si>
    <t>0040269</t>
  </si>
  <si>
    <t>GUINEA ST</t>
  </si>
  <si>
    <t>0040433</t>
  </si>
  <si>
    <t>THURGOONA DR</t>
  </si>
  <si>
    <t>0041002</t>
  </si>
  <si>
    <t>0041916</t>
  </si>
  <si>
    <t>WAGGA / DAVEY RD (ALBURY)</t>
  </si>
  <si>
    <t>0042195</t>
  </si>
  <si>
    <t>RACECOURSE RD</t>
  </si>
  <si>
    <t>0099900</t>
  </si>
  <si>
    <t>DONNELLY ST</t>
  </si>
  <si>
    <t>0100011</t>
  </si>
  <si>
    <t>ARTHUR ST (ASHFIELD)</t>
  </si>
  <si>
    <t>0100053</t>
  </si>
  <si>
    <t>CROYDON RD (CROYDON)</t>
  </si>
  <si>
    <t>0100093</t>
  </si>
  <si>
    <t>GROSVENOR CRES (LEWISHAM)</t>
  </si>
  <si>
    <t>0100115</t>
  </si>
  <si>
    <t>HOLDEN ST (ASHFIELD)</t>
  </si>
  <si>
    <t>0100189</t>
  </si>
  <si>
    <t>QUEEN ST (ASHFIELD)</t>
  </si>
  <si>
    <t>0100207</t>
  </si>
  <si>
    <t>SMITH ST (SUMMER HILL)</t>
  </si>
  <si>
    <t>0120001</t>
  </si>
  <si>
    <t>CHILDS ST</t>
  </si>
  <si>
    <t>0120003</t>
  </si>
  <si>
    <t>KERRS RD</t>
  </si>
  <si>
    <t>0120004</t>
  </si>
  <si>
    <t>0120005</t>
  </si>
  <si>
    <t>STATION RD</t>
  </si>
  <si>
    <t>0120006</t>
  </si>
  <si>
    <t>WATER ST</t>
  </si>
  <si>
    <t>0120007</t>
  </si>
  <si>
    <t>WOODBURN RD</t>
  </si>
  <si>
    <t>0122057</t>
  </si>
  <si>
    <t>GEORGES AVE</t>
  </si>
  <si>
    <t>0127102</t>
  </si>
  <si>
    <t>PARK /CUMBERLAND/ MONA RD</t>
  </si>
  <si>
    <t>0230010</t>
  </si>
  <si>
    <t>OLD PACIFIC HWY-BALLINA TO NEWRYBAR</t>
  </si>
  <si>
    <t>0230146</t>
  </si>
  <si>
    <t>0230312</t>
  </si>
  <si>
    <t>BENTINCK STREET</t>
  </si>
  <si>
    <t>0230555</t>
  </si>
  <si>
    <t>0267129</t>
  </si>
  <si>
    <t>WATTLE ST</t>
  </si>
  <si>
    <t>0290006</t>
  </si>
  <si>
    <t>TREVALLYN RD</t>
  </si>
  <si>
    <t>0290132</t>
  </si>
  <si>
    <t>0290360</t>
  </si>
  <si>
    <t>COBBADAH-CARODA JUNCTION</t>
  </si>
  <si>
    <t>0291208</t>
  </si>
  <si>
    <t>BARRABA-KINGSTOWN RD</t>
  </si>
  <si>
    <t>0300001</t>
  </si>
  <si>
    <t>DURHAM ST (BATHURST)</t>
  </si>
  <si>
    <t>0300002</t>
  </si>
  <si>
    <t>MT. PLEASANT RD (DUNKELD)</t>
  </si>
  <si>
    <t>0300003</t>
  </si>
  <si>
    <t>EGLINTON RD (BATHURST)</t>
  </si>
  <si>
    <t>0300252</t>
  </si>
  <si>
    <t>0310001</t>
  </si>
  <si>
    <t>CROSS ST</t>
  </si>
  <si>
    <t>0310002</t>
  </si>
  <si>
    <t>EDWARD ST</t>
  </si>
  <si>
    <t>0310003</t>
  </si>
  <si>
    <t>HIGHS RD</t>
  </si>
  <si>
    <t>0310004</t>
  </si>
  <si>
    <t>KENTHURST RD</t>
  </si>
  <si>
    <t>0310005</t>
  </si>
  <si>
    <t>LANGDON RD</t>
  </si>
  <si>
    <t>0310006</t>
  </si>
  <si>
    <t>NEW NORTH ROCKS RD</t>
  </si>
  <si>
    <t>0310007</t>
  </si>
  <si>
    <t>STATHAM AVE</t>
  </si>
  <si>
    <t>0310160</t>
  </si>
  <si>
    <t>OLD NORTHERN RD, CASTLE HILL</t>
  </si>
  <si>
    <t>0320001</t>
  </si>
  <si>
    <t>OLD PRINCES HWY, BEGA</t>
  </si>
  <si>
    <t>0330010</t>
  </si>
  <si>
    <t>OLD PACIFIC HWY-Valla to Raleigh</t>
  </si>
  <si>
    <t>0330047</t>
  </si>
  <si>
    <t>BELLINGEN/KALANG RD</t>
  </si>
  <si>
    <t>0330080</t>
  </si>
  <si>
    <t>THORA/ORAMA RD</t>
  </si>
  <si>
    <t>0330120</t>
  </si>
  <si>
    <t>ULONG - MEGAN</t>
  </si>
  <si>
    <t>0380360</t>
  </si>
  <si>
    <t>0400001</t>
  </si>
  <si>
    <t>BEAMES AVE</t>
  </si>
  <si>
    <t>0400002</t>
  </si>
  <si>
    <t>BELMORE AVE</t>
  </si>
  <si>
    <t>0400003</t>
  </si>
  <si>
    <t>DURHAM ST</t>
  </si>
  <si>
    <t>0400004</t>
  </si>
  <si>
    <t>FLUSHCOMBE RD</t>
  </si>
  <si>
    <t>0400005</t>
  </si>
  <si>
    <t>HILL END RD</t>
  </si>
  <si>
    <t>0400006</t>
  </si>
  <si>
    <t>JOSEPH BANKS DR</t>
  </si>
  <si>
    <t>0400007</t>
  </si>
  <si>
    <t>BALMORAL ST(PT)/THIRD AVE, BLACKTOWN</t>
  </si>
  <si>
    <t>0400008</t>
  </si>
  <si>
    <t>KILDARE ST</t>
  </si>
  <si>
    <t>0400009</t>
  </si>
  <si>
    <t>LANCELOT ST</t>
  </si>
  <si>
    <t>0400010</t>
  </si>
  <si>
    <t>LUCAS RD</t>
  </si>
  <si>
    <t>0400011</t>
  </si>
  <si>
    <t>MAIN ST</t>
  </si>
  <si>
    <t>0400013</t>
  </si>
  <si>
    <t>0400014</t>
  </si>
  <si>
    <t>SACKVILLE ST</t>
  </si>
  <si>
    <t>0400015</t>
  </si>
  <si>
    <t>SEVEN HILLS RD STH</t>
  </si>
  <si>
    <t>0400016</t>
  </si>
  <si>
    <t>TURNER ST</t>
  </si>
  <si>
    <t>0400017</t>
  </si>
  <si>
    <t>WALTERS RD</t>
  </si>
  <si>
    <t>0400018</t>
  </si>
  <si>
    <t>WOODSTOCK AVE</t>
  </si>
  <si>
    <t>0400019</t>
  </si>
  <si>
    <t>RAILWAY PDE</t>
  </si>
  <si>
    <t>0400020</t>
  </si>
  <si>
    <t>BIRDWOOD AVE (DOONSIDE)</t>
  </si>
  <si>
    <t>0407155</t>
  </si>
  <si>
    <t>MONASH RD, BLACKTOWN</t>
  </si>
  <si>
    <t>0407160</t>
  </si>
  <si>
    <t>GOLDING DR, GLENDENNING</t>
  </si>
  <si>
    <t>0410007</t>
  </si>
  <si>
    <t>YALGOGRIN TO WINNUNGRA RD</t>
  </si>
  <si>
    <t>0410008</t>
  </si>
  <si>
    <t>SHOWGROUND RD</t>
  </si>
  <si>
    <t>0410009</t>
  </si>
  <si>
    <t>WEST WYALONG TO TALIMBA RD</t>
  </si>
  <si>
    <t>0410014</t>
  </si>
  <si>
    <t>NARRIAH TO THULLOO RD</t>
  </si>
  <si>
    <t>0410020</t>
  </si>
  <si>
    <t>WYALONG TO QUANDIALLA RD</t>
  </si>
  <si>
    <t>0410038</t>
  </si>
  <si>
    <t>WYALONG BY-PASS RD</t>
  </si>
  <si>
    <t>0450208</t>
  </si>
  <si>
    <t>NYMAGEE STREET (NYNGAN)</t>
  </si>
  <si>
    <t>0450210</t>
  </si>
  <si>
    <t>NYNGAN-MUNDADOO</t>
  </si>
  <si>
    <t>0510015</t>
  </si>
  <si>
    <t>BANKSIA ST (BOTANY)</t>
  </si>
  <si>
    <t>0510060</t>
  </si>
  <si>
    <t>COWARD ST (MASCOT)</t>
  </si>
  <si>
    <t>0510182</t>
  </si>
  <si>
    <t>KING ST (MASCOT)</t>
  </si>
  <si>
    <t>0510258</t>
  </si>
  <si>
    <t>QANTAS DR (MASCOT)</t>
  </si>
  <si>
    <t>0510263</t>
  </si>
  <si>
    <t>RACECOURSE PL (EASTLAKES)</t>
  </si>
  <si>
    <t>0510295</t>
  </si>
  <si>
    <t>SUTHERLAND ST (MASCOT)</t>
  </si>
  <si>
    <t>0510302</t>
  </si>
  <si>
    <t>TENTH ST-KEITH SMITH AVE (MASCOT)</t>
  </si>
  <si>
    <t>0517022</t>
  </si>
  <si>
    <t>ROBEY ST, MASCOT</t>
  </si>
  <si>
    <t>0550024</t>
  </si>
  <si>
    <t>GOODOOGA-WEETALIBAH WATERHOLES RD</t>
  </si>
  <si>
    <t>0550403</t>
  </si>
  <si>
    <t>NR BREWARRINA-COLLERINA</t>
  </si>
  <si>
    <t>0550425</t>
  </si>
  <si>
    <t>WEILMORINGLE-QLD BORDER</t>
  </si>
  <si>
    <t>0560577</t>
  </si>
  <si>
    <t>EYRE ST-HOLTEN DRIVE</t>
  </si>
  <si>
    <t>0565503</t>
  </si>
  <si>
    <t>NINE MILE RD (BHCC)</t>
  </si>
  <si>
    <t>0565527</t>
  </si>
  <si>
    <t>0567500</t>
  </si>
  <si>
    <t>BERYL-BLENDE-WILLS ARTERIAL</t>
  </si>
  <si>
    <t>0567501</t>
  </si>
  <si>
    <t>GALENA ST</t>
  </si>
  <si>
    <t>0610040</t>
  </si>
  <si>
    <t>BURWOOD RD (BURWOOD)</t>
  </si>
  <si>
    <t>0610202</t>
  </si>
  <si>
    <t>SHAFTSBURY RD (BURWOOD)</t>
  </si>
  <si>
    <t>0620010</t>
  </si>
  <si>
    <t>OLD PACIFIC HWY-NEWRYBAR TO EWINGSDALE</t>
  </si>
  <si>
    <t>0620306</t>
  </si>
  <si>
    <t>DUNOON - MULLUMBIMBY</t>
  </si>
  <si>
    <t>0620385</t>
  </si>
  <si>
    <t>BROKEN HEAD ROAD</t>
  </si>
  <si>
    <t>0620910</t>
  </si>
  <si>
    <t>FEDERAL ROAD</t>
  </si>
  <si>
    <t>0621450</t>
  </si>
  <si>
    <t>LIGHTHOUSE ROAD</t>
  </si>
  <si>
    <t>0621500</t>
  </si>
  <si>
    <t>MAIN ARM ROAD</t>
  </si>
  <si>
    <t>0622825</t>
  </si>
  <si>
    <t>WILSONS CREEK ROAD</t>
  </si>
  <si>
    <t>0635517</t>
  </si>
  <si>
    <t>KINALUNG ROAD</t>
  </si>
  <si>
    <t>0635547</t>
  </si>
  <si>
    <t>0700010</t>
  </si>
  <si>
    <t>PACIFIC HWY - QUEENSLAND</t>
  </si>
  <si>
    <t>UI</t>
  </si>
  <si>
    <t>0720006</t>
  </si>
  <si>
    <t>MANILDRA ROAD (MOLONG)</t>
  </si>
  <si>
    <t>0720007</t>
  </si>
  <si>
    <t>PACKHAM DRIVE</t>
  </si>
  <si>
    <t>0720205</t>
  </si>
  <si>
    <t>NANIMA STREET (EUGOWRA)</t>
  </si>
  <si>
    <t>0720310</t>
  </si>
  <si>
    <t>GASKILL STREET (CANOWINDRA)</t>
  </si>
  <si>
    <t>0750001</t>
  </si>
  <si>
    <t>COBBITY RD</t>
  </si>
  <si>
    <t>0750002</t>
  </si>
  <si>
    <t>GREENDALE RD</t>
  </si>
  <si>
    <t>0750003</t>
  </si>
  <si>
    <t>MACARTHUR RD</t>
  </si>
  <si>
    <t>0750004</t>
  </si>
  <si>
    <t>MACQUARIE GROVE RD</t>
  </si>
  <si>
    <t>0760014</t>
  </si>
  <si>
    <t>CAMDEN RD, CAMPBELLTOWN</t>
  </si>
  <si>
    <t>0760015</t>
  </si>
  <si>
    <t>MENANGLE RD, CAMPBELLTOWN</t>
  </si>
  <si>
    <t>0767190</t>
  </si>
  <si>
    <t>OLD LEUMEAH RD</t>
  </si>
  <si>
    <t>0767199</t>
  </si>
  <si>
    <t>SAYWELL RD</t>
  </si>
  <si>
    <t>0780121</t>
  </si>
  <si>
    <t>BRIDGE RD (BELMORE)</t>
  </si>
  <si>
    <t>0780168</t>
  </si>
  <si>
    <t>CHAPEL ST (LAKEMBA)</t>
  </si>
  <si>
    <t>0780219</t>
  </si>
  <si>
    <t>CRINAN ST (HURLSTONE PARK)</t>
  </si>
  <si>
    <t>0780396</t>
  </si>
  <si>
    <t>RIVERWOOD-NARWEE</t>
  </si>
  <si>
    <t>0780428</t>
  </si>
  <si>
    <t>KINGSGROVE-EARLWOOD</t>
  </si>
  <si>
    <t>0780681</t>
  </si>
  <si>
    <t>PAYTEN AVE (ROSELANDS)</t>
  </si>
  <si>
    <t>0780770</t>
  </si>
  <si>
    <t>ROSSMORE AVE (PUNCHBOWL)</t>
  </si>
  <si>
    <t>0780802</t>
  </si>
  <si>
    <t>SHARP ST (BELMORE)</t>
  </si>
  <si>
    <t>0780848</t>
  </si>
  <si>
    <t>PUNCHBOWL-WILEY PARK</t>
  </si>
  <si>
    <t>0780916</t>
  </si>
  <si>
    <t>WANGEE RD (LAKEMBA)</t>
  </si>
  <si>
    <t>0780923</t>
  </si>
  <si>
    <t>WARDELL RD (EARLWOOD)</t>
  </si>
  <si>
    <t>0780973</t>
  </si>
  <si>
    <t>WOOLCOTT ST (EARLWOOD)</t>
  </si>
  <si>
    <t>0820355</t>
  </si>
  <si>
    <t>EAST STREET</t>
  </si>
  <si>
    <t>0820800</t>
  </si>
  <si>
    <t>SEXTONVILLE ROAD</t>
  </si>
  <si>
    <t>0853700</t>
  </si>
  <si>
    <t>BOUNDARY STREET</t>
  </si>
  <si>
    <t>0853950</t>
  </si>
  <si>
    <t>MULBRING STREET</t>
  </si>
  <si>
    <t>0858000</t>
  </si>
  <si>
    <t>OLD 195</t>
  </si>
  <si>
    <t>0860001</t>
  </si>
  <si>
    <t>POUND ST</t>
  </si>
  <si>
    <t>0860002</t>
  </si>
  <si>
    <t>VILLIERS-DOBIE STREET</t>
  </si>
  <si>
    <t>0860010</t>
  </si>
  <si>
    <t>KUNGULA / LUTHERS RD</t>
  </si>
  <si>
    <t>0860083</t>
  </si>
  <si>
    <t>OLD SUMMERLAND HWY</t>
  </si>
  <si>
    <t>0880411</t>
  </si>
  <si>
    <t>EUABALONG-MT HOPE RD</t>
  </si>
  <si>
    <t>0880450</t>
  </si>
  <si>
    <t>WILCANNIA-BOURKE LOCAL RD</t>
  </si>
  <si>
    <t>0910003</t>
  </si>
  <si>
    <t>LOWER PORTLAND RD</t>
  </si>
  <si>
    <t>0910004</t>
  </si>
  <si>
    <t>MITCHELLS PARK RD</t>
  </si>
  <si>
    <t>0910005</t>
  </si>
  <si>
    <t>MT IRVINE RD</t>
  </si>
  <si>
    <t>0910006</t>
  </si>
  <si>
    <t>OLD BELLS LINE OF RD</t>
  </si>
  <si>
    <t>0910007</t>
  </si>
  <si>
    <t>ONUS LANE</t>
  </si>
  <si>
    <t>0910008</t>
  </si>
  <si>
    <t>SETTLERS RD</t>
  </si>
  <si>
    <t>0910010</t>
  </si>
  <si>
    <t>WINDSOR ST</t>
  </si>
  <si>
    <t>0930057</t>
  </si>
  <si>
    <t>CORREYS AVE, CONCORD</t>
  </si>
  <si>
    <t>0930109</t>
  </si>
  <si>
    <t>MORTLAKE-MORTLAKE POINT</t>
  </si>
  <si>
    <t>0930183</t>
  </si>
  <si>
    <t>QUEEN ST, NORTH STRATHFIELD</t>
  </si>
  <si>
    <t>0950028</t>
  </si>
  <si>
    <t>COOLAH-NEILREX RD</t>
  </si>
  <si>
    <t>0950034</t>
  </si>
  <si>
    <t>CONNEMARRA-BINNAWAY RD</t>
  </si>
  <si>
    <t>0950139</t>
  </si>
  <si>
    <t>0950205</t>
  </si>
  <si>
    <t>MENDOORAN-TOORAWEENAH</t>
  </si>
  <si>
    <t>0981170</t>
  </si>
  <si>
    <t>MOLLYAN RD</t>
  </si>
  <si>
    <t>0990001</t>
  </si>
  <si>
    <t>1010062</t>
  </si>
  <si>
    <t>SOUTHGATE FERRY RD</t>
  </si>
  <si>
    <t>1040086</t>
  </si>
  <si>
    <t>BRIDGE ROAD</t>
  </si>
  <si>
    <t>1040250</t>
  </si>
  <si>
    <t>EDWARD STREET</t>
  </si>
  <si>
    <t>1042060</t>
  </si>
  <si>
    <t>HOPEFIELD TO RAND ROAD</t>
  </si>
  <si>
    <t>1060051</t>
  </si>
  <si>
    <t>BIGGA ROAD</t>
  </si>
  <si>
    <t>1060075</t>
  </si>
  <si>
    <t>TUENA TO PEELWOOD ROAD</t>
  </si>
  <si>
    <t>1080002</t>
  </si>
  <si>
    <t>COOKADINIA TO MORVEN RD</t>
  </si>
  <si>
    <t>1080200</t>
  </si>
  <si>
    <t>RAILWAY PARADE-CULCAIRN</t>
  </si>
  <si>
    <t>1090003</t>
  </si>
  <si>
    <t>COLLERINA MAIL ROUTE RD.</t>
  </si>
  <si>
    <t>1090011</t>
  </si>
  <si>
    <t>LOUTH-PAKA TANK RD</t>
  </si>
  <si>
    <t>1090027</t>
  </si>
  <si>
    <t>YANTABULLA-ENNGONIA RD</t>
  </si>
  <si>
    <t>1090039</t>
  </si>
  <si>
    <t>BYROCK-BREWARRINA</t>
  </si>
  <si>
    <t>1100010</t>
  </si>
  <si>
    <t>OLD PACIFIC HWY, COFFS HARBOUR</t>
  </si>
  <si>
    <t>1101730</t>
  </si>
  <si>
    <t>HOGBIN DRIVE</t>
  </si>
  <si>
    <t>1102275</t>
  </si>
  <si>
    <t>LOWER BUCCA RD</t>
  </si>
  <si>
    <t>1103490</t>
  </si>
  <si>
    <t>RIVER STREET</t>
  </si>
  <si>
    <t>1110001</t>
  </si>
  <si>
    <t>WILCANNIA-TILPA</t>
  </si>
  <si>
    <t>1110004</t>
  </si>
  <si>
    <t>WHITE CLIFFS-MONOLON</t>
  </si>
  <si>
    <t>1110005</t>
  </si>
  <si>
    <t>1110006</t>
  </si>
  <si>
    <t>WHITE CLIFFS-MANDALAY</t>
  </si>
  <si>
    <t>1110007</t>
  </si>
  <si>
    <t>DRY LAKE ROAD</t>
  </si>
  <si>
    <t>1110049</t>
  </si>
  <si>
    <t>CARADOC-YANCANNIA</t>
  </si>
  <si>
    <t>1190075</t>
  </si>
  <si>
    <t>ROAD TO OLD ADAMINABY</t>
  </si>
  <si>
    <t>1190077</t>
  </si>
  <si>
    <t>ROCKY PLAINS ROAD</t>
  </si>
  <si>
    <t>1190082</t>
  </si>
  <si>
    <t>SLACKS CREEK ROAD, COOMA</t>
  </si>
  <si>
    <t>1190093</t>
  </si>
  <si>
    <t>ROAD TO EUCUMBENE DAM</t>
  </si>
  <si>
    <t>1190097</t>
  </si>
  <si>
    <t>BUCKENDERRA ROAD, MIDDLINGBANK</t>
  </si>
  <si>
    <t>1194016</t>
  </si>
  <si>
    <t>GUTHEGA TO ISLAND POINT ROAD (LOCAL)</t>
  </si>
  <si>
    <t>1194056</t>
  </si>
  <si>
    <t>THE BARRY WAY (LOCAL ROAD SECTION)</t>
  </si>
  <si>
    <t>1240116</t>
  </si>
  <si>
    <t>WILLIAM ST,FIVE DOCK</t>
  </si>
  <si>
    <t>1240703</t>
  </si>
  <si>
    <t>HENLEY MARINE DR,DRUMMOYNE</t>
  </si>
  <si>
    <t>1250124</t>
  </si>
  <si>
    <t>RAWSONVILLE BRIDGE RD.</t>
  </si>
  <si>
    <t>1257502</t>
  </si>
  <si>
    <t>DARLING STREET, DUBBO</t>
  </si>
  <si>
    <t>1280100</t>
  </si>
  <si>
    <t>DUNGOG ROAD</t>
  </si>
  <si>
    <t>1280567</t>
  </si>
  <si>
    <t>1455226</t>
  </si>
  <si>
    <t>SOUTH HEAD RD, MORUYA</t>
  </si>
  <si>
    <t>1457401</t>
  </si>
  <si>
    <t>CORUNNA LAKE - MYSTERY BAY ROAD</t>
  </si>
  <si>
    <t>1458014</t>
  </si>
  <si>
    <t>ARALUEN ROAD, MORUYA-BRAIDWOOD</t>
  </si>
  <si>
    <t>1458036</t>
  </si>
  <si>
    <t>BROULEE RD, MORUYA</t>
  </si>
  <si>
    <t>1458181</t>
  </si>
  <si>
    <t>CORKHILL DRIVE (OLD PRINCES HWY TILBA)</t>
  </si>
  <si>
    <t>1460128</t>
  </si>
  <si>
    <t>WINDEYER RD (SALLY'S FLAT)</t>
  </si>
  <si>
    <t>1460130</t>
  </si>
  <si>
    <t>ABERCROMBIE CAVES LOOP RD</t>
  </si>
  <si>
    <t>1560001</t>
  </si>
  <si>
    <t>HUMPHRIES RD</t>
  </si>
  <si>
    <t>1567232</t>
  </si>
  <si>
    <t>BLAND / MITCHELL ST</t>
  </si>
  <si>
    <t>1570001</t>
  </si>
  <si>
    <t>LACHLAN STREET (FORBES)</t>
  </si>
  <si>
    <t>1570002</t>
  </si>
  <si>
    <t>WARROO BRIDGE RD</t>
  </si>
  <si>
    <t>1570003</t>
  </si>
  <si>
    <t>GRENFELL - EUGOWRA ROAD</t>
  </si>
  <si>
    <t>1570017</t>
  </si>
  <si>
    <t>OLD NEWELL HIGHWAY</t>
  </si>
  <si>
    <t>1650001</t>
  </si>
  <si>
    <t>MEENDORAN - COONAMBLE RD</t>
  </si>
  <si>
    <t>1650002</t>
  </si>
  <si>
    <t>MENDOORAN - COONAMBLE RD</t>
  </si>
  <si>
    <t>1670382</t>
  </si>
  <si>
    <t>GLEN INNES-BONSHAW</t>
  </si>
  <si>
    <t>1670560</t>
  </si>
  <si>
    <t>MEADE STREET</t>
  </si>
  <si>
    <t>1680002</t>
  </si>
  <si>
    <t>NR BARRINGTON-NR NOWENDOC RD</t>
  </si>
  <si>
    <t>1680004</t>
  </si>
  <si>
    <t>BOWMAN RIVER RD</t>
  </si>
  <si>
    <t>1680005</t>
  </si>
  <si>
    <t>BARRINGTON RD</t>
  </si>
  <si>
    <t>1680061</t>
  </si>
  <si>
    <t>RD TO BRETTI</t>
  </si>
  <si>
    <t>1720051</t>
  </si>
  <si>
    <t>RANGE ROAD, GOULBURN TO GRABBEN GULLEN</t>
  </si>
  <si>
    <t>1720095</t>
  </si>
  <si>
    <t>MCDERMOTT DR</t>
  </si>
  <si>
    <t>1720100</t>
  </si>
  <si>
    <t>BUNGONIA ROAD</t>
  </si>
  <si>
    <t>1720302</t>
  </si>
  <si>
    <t>SLOANE STREET</t>
  </si>
  <si>
    <t>1730008</t>
  </si>
  <si>
    <t>DOBIE STREET</t>
  </si>
  <si>
    <t>1730012</t>
  </si>
  <si>
    <t>POUND STREET</t>
  </si>
  <si>
    <t>1730013</t>
  </si>
  <si>
    <t>FITZROY STREET</t>
  </si>
  <si>
    <t>1730043</t>
  </si>
  <si>
    <t>TURF STREET</t>
  </si>
  <si>
    <t>1730059</t>
  </si>
  <si>
    <t>PRINCE STREET</t>
  </si>
  <si>
    <t>1730135</t>
  </si>
  <si>
    <t>BENT STREET</t>
  </si>
  <si>
    <t>1730170</t>
  </si>
  <si>
    <t>CENTENARY DRIVE</t>
  </si>
  <si>
    <t>1780002</t>
  </si>
  <si>
    <t>1780150</t>
  </si>
  <si>
    <t>MIDDLE ST</t>
  </si>
  <si>
    <t>1780279</t>
  </si>
  <si>
    <t>LR 279</t>
  </si>
  <si>
    <t>1780565</t>
  </si>
  <si>
    <t>O'HAGAN ST</t>
  </si>
  <si>
    <t>1800005</t>
  </si>
  <si>
    <t>GUNNEDAH-KELVIN</t>
  </si>
  <si>
    <t>1800017</t>
  </si>
  <si>
    <t>GUNNEMBENE LANE</t>
  </si>
  <si>
    <t>1800030</t>
  </si>
  <si>
    <t>1800039</t>
  </si>
  <si>
    <t>MITCHELL SPRINGS RD</t>
  </si>
  <si>
    <t>1809900</t>
  </si>
  <si>
    <t>MARQUIS ST</t>
  </si>
  <si>
    <t>1810251</t>
  </si>
  <si>
    <t>DALTON - NARRAWA ROAD (OLD MR251)</t>
  </si>
  <si>
    <t>1810283</t>
  </si>
  <si>
    <t>COLLECTOR TO GUNNING ROAD</t>
  </si>
  <si>
    <t>1820239</t>
  </si>
  <si>
    <t>GUYRA TO BLACK MOUNTAIN ROAD</t>
  </si>
  <si>
    <t>1840225</t>
  </si>
  <si>
    <t>LACKERSTEENS ROAD-WISEMANS FERRY ROAD</t>
  </si>
  <si>
    <t>1843095</t>
  </si>
  <si>
    <t>EMPIRE BAY DRIVE</t>
  </si>
  <si>
    <t>1844017</t>
  </si>
  <si>
    <t>1845430</t>
  </si>
  <si>
    <t>1845640</t>
  </si>
  <si>
    <t>1846125</t>
  </si>
  <si>
    <t>1846140</t>
  </si>
  <si>
    <t>RAILWAY STREET</t>
  </si>
  <si>
    <t>1846150</t>
  </si>
  <si>
    <t>RAWSON ROAD</t>
  </si>
  <si>
    <t>1846480</t>
  </si>
  <si>
    <t>SHOWGROUND ROAD</t>
  </si>
  <si>
    <t>1846920</t>
  </si>
  <si>
    <t>THE SCENIC ROAD</t>
  </si>
  <si>
    <t>1847030</t>
  </si>
  <si>
    <t>1847300</t>
  </si>
  <si>
    <t>MANGROVE ROAD</t>
  </si>
  <si>
    <t>1847595</t>
  </si>
  <si>
    <t>WOY WOY ROAD</t>
  </si>
  <si>
    <t>1847600</t>
  </si>
  <si>
    <t>REEVES ROAD</t>
  </si>
  <si>
    <t>1847650</t>
  </si>
  <si>
    <t>OLD PEATS RIDGE RD</t>
  </si>
  <si>
    <t>1848000</t>
  </si>
  <si>
    <t>DANE DRV SH10 TO MASON PDE.</t>
  </si>
  <si>
    <t>1848001</t>
  </si>
  <si>
    <t>OLD SH10 CALGA INTER TO GOSFORD INTER</t>
  </si>
  <si>
    <t>1848002</t>
  </si>
  <si>
    <t>WILMENIA ST - RACECOURSE RD (OLD SH10)</t>
  </si>
  <si>
    <t>1848003</t>
  </si>
  <si>
    <t>OLD 336</t>
  </si>
  <si>
    <t>1848004</t>
  </si>
  <si>
    <t>OLD MR504</t>
  </si>
  <si>
    <t>1848005</t>
  </si>
  <si>
    <t>OLD MR505</t>
  </si>
  <si>
    <t>1850001</t>
  </si>
  <si>
    <t>SLOANE ST, GRAFTON ST, REYNOLDS ST</t>
  </si>
  <si>
    <t>1850676</t>
  </si>
  <si>
    <t>AUBURN ST, GOULBURN</t>
  </si>
  <si>
    <t>1860282</t>
  </si>
  <si>
    <t>BOWNA - WYMAH FERRY</t>
  </si>
  <si>
    <t>1960003</t>
  </si>
  <si>
    <t>HOUSTON MITCHELL DR</t>
  </si>
  <si>
    <t>1960004</t>
  </si>
  <si>
    <t>BAGO RD</t>
  </si>
  <si>
    <t>1960010</t>
  </si>
  <si>
    <t>PORT MACQUARIE - KUNDABUNG</t>
  </si>
  <si>
    <t>1960015</t>
  </si>
  <si>
    <t>TOMS CREEK RD</t>
  </si>
  <si>
    <t>1960020</t>
  </si>
  <si>
    <t>KINDEE RD</t>
  </si>
  <si>
    <t>1960195</t>
  </si>
  <si>
    <t>PEMBROOKE ROAD</t>
  </si>
  <si>
    <t>1960538</t>
  </si>
  <si>
    <t>1960600</t>
  </si>
  <si>
    <t>GORDAN ST</t>
  </si>
  <si>
    <t>1961103</t>
  </si>
  <si>
    <t>PACIFIC DRIVE</t>
  </si>
  <si>
    <t>1961129</t>
  </si>
  <si>
    <t>KENNEDY DRIVE</t>
  </si>
  <si>
    <t>1961201</t>
  </si>
  <si>
    <t>WILLIAM STREET</t>
  </si>
  <si>
    <t>1961213</t>
  </si>
  <si>
    <t>GORDON STREET</t>
  </si>
  <si>
    <t>1965000</t>
  </si>
  <si>
    <t>BURRAWAN FOREST DRIVE</t>
  </si>
  <si>
    <t>1968000</t>
  </si>
  <si>
    <t>OLD 538 LINK 70</t>
  </si>
  <si>
    <t>1969927</t>
  </si>
  <si>
    <t>CAMERON ST</t>
  </si>
  <si>
    <t>2010010</t>
  </si>
  <si>
    <t>Old Peats Ferry Road</t>
  </si>
  <si>
    <t>2017240</t>
  </si>
  <si>
    <t>LANGSTON RD-COPELAND RD (CHELTENHAM)</t>
  </si>
  <si>
    <t>2031115</t>
  </si>
  <si>
    <t>CHURCH ST, HUNTERS HILL</t>
  </si>
  <si>
    <t>2031285</t>
  </si>
  <si>
    <t>GLADESVILLE RD, HUNTERS HILL</t>
  </si>
  <si>
    <t>2040056</t>
  </si>
  <si>
    <t>BELMORE RD/FOREST RD, PEAKHURST</t>
  </si>
  <si>
    <t>2040088</t>
  </si>
  <si>
    <t>BEVERLY HILLS-NARWEE</t>
  </si>
  <si>
    <t>2040382</t>
  </si>
  <si>
    <t>MORGAN ST, KINGSGROVE</t>
  </si>
  <si>
    <t>2040474</t>
  </si>
  <si>
    <t>ROBERTS AVE, MORTDALE</t>
  </si>
  <si>
    <t>2040507</t>
  </si>
  <si>
    <t>STANLEY ST,PEAKHURST</t>
  </si>
  <si>
    <t>2040548</t>
  </si>
  <si>
    <t>RAILWAY OVERPASS, HURSTVILLE</t>
  </si>
  <si>
    <t>2040567</t>
  </si>
  <si>
    <t>PENSHURST-MORTDALE</t>
  </si>
  <si>
    <t>2180017</t>
  </si>
  <si>
    <t>YETMAN-YELARBON</t>
  </si>
  <si>
    <t>2180134</t>
  </si>
  <si>
    <t>DELUNGRA-ASHFORD</t>
  </si>
  <si>
    <t>2180136</t>
  </si>
  <si>
    <t>EMMAVILLE-INVERELL</t>
  </si>
  <si>
    <t>2180382</t>
  </si>
  <si>
    <t>2180554</t>
  </si>
  <si>
    <t>NR FROG HOLLOW-NR DELUNGRA</t>
  </si>
  <si>
    <t>2189900</t>
  </si>
  <si>
    <t>RING STREET</t>
  </si>
  <si>
    <t>2280100</t>
  </si>
  <si>
    <t>PRETIORA AVENUE - JUNEE</t>
  </si>
  <si>
    <t>2280200</t>
  </si>
  <si>
    <t>LORNE ST , JUNEE</t>
  </si>
  <si>
    <t>2350010</t>
  </si>
  <si>
    <t>OLD PACIFIC HIGHWAY, KEMPSEY</t>
  </si>
  <si>
    <t>2350033</t>
  </si>
  <si>
    <t>CRESCENT HEAD RD</t>
  </si>
  <si>
    <t>2350061</t>
  </si>
  <si>
    <t>SHERWOOD RD</t>
  </si>
  <si>
    <t>2350075</t>
  </si>
  <si>
    <t>BELLBROOK - WOLLOMOMBI</t>
  </si>
  <si>
    <t>2350121</t>
  </si>
  <si>
    <t>PLUMMERS LANE (JERSEYVILLE RD)</t>
  </si>
  <si>
    <t>2350140</t>
  </si>
  <si>
    <t>SPOONERS AVENUE</t>
  </si>
  <si>
    <t>2350141</t>
  </si>
  <si>
    <t>STUARTS POINT RD</t>
  </si>
  <si>
    <t>2350198</t>
  </si>
  <si>
    <t>GLADESTONE - JERSEYVILLE</t>
  </si>
  <si>
    <t>2360001</t>
  </si>
  <si>
    <t>2360003</t>
  </si>
  <si>
    <t>SADDLEBACK ROAD</t>
  </si>
  <si>
    <t>2360004</t>
  </si>
  <si>
    <t>TERRALONG STREET, KIAMA</t>
  </si>
  <si>
    <t>2360572</t>
  </si>
  <si>
    <t>FERN STREET GERRINGONG</t>
  </si>
  <si>
    <t>2362999</t>
  </si>
  <si>
    <t>SWAMP ROAD</t>
  </si>
  <si>
    <t>2370091</t>
  </si>
  <si>
    <t>CONNELS POINT RD, HURSTVILLE STH</t>
  </si>
  <si>
    <t>2370205</t>
  </si>
  <si>
    <t>JUBILEE AVE, CARLTON</t>
  </si>
  <si>
    <t>2370278</t>
  </si>
  <si>
    <t>OATLEY PDE, OATLEY</t>
  </si>
  <si>
    <t>2370424</t>
  </si>
  <si>
    <t>WONIORA RD, HURSTVILLE SOUTH</t>
  </si>
  <si>
    <t>2377004</t>
  </si>
  <si>
    <t>AUGUSTA / NORMAN ST</t>
  </si>
  <si>
    <t>2381235</t>
  </si>
  <si>
    <t>CARLOTTA AVE, GORDON</t>
  </si>
  <si>
    <t>2382115</t>
  </si>
  <si>
    <t>EUCALYPTUS ST, ST IVES</t>
  </si>
  <si>
    <t>2382190</t>
  </si>
  <si>
    <t>FIDDENS WHARF RD, KILLARA</t>
  </si>
  <si>
    <t>2382500</t>
  </si>
  <si>
    <t>GRANDVIEW ST, PYMBLE</t>
  </si>
  <si>
    <t>2382575</t>
  </si>
  <si>
    <t>GROSVENOR RD, LINDFIELD</t>
  </si>
  <si>
    <t>2382580</t>
  </si>
  <si>
    <t>GROSVENOR ST, NTH WAHROONGA</t>
  </si>
  <si>
    <t>2382765</t>
  </si>
  <si>
    <t>HIGHFIELD RD, LINDFIELD</t>
  </si>
  <si>
    <t>2382785</t>
  </si>
  <si>
    <t>HILL ST, ROSEVILLE</t>
  </si>
  <si>
    <t>2383275</t>
  </si>
  <si>
    <t>KISSING POINT RD, STH TURRAMURRA</t>
  </si>
  <si>
    <t>2383665</t>
  </si>
  <si>
    <t>LUCINDA AVE, WAHROONGA</t>
  </si>
  <si>
    <t>2383770</t>
  </si>
  <si>
    <t>MALGA AVE, ROSEVILLE CHASE</t>
  </si>
  <si>
    <t>2383960</t>
  </si>
  <si>
    <t>MEMORIAL AVE, ST IVES</t>
  </si>
  <si>
    <t>2384585</t>
  </si>
  <si>
    <t>PARK AVE/ROSEDALE RD, GORDON</t>
  </si>
  <si>
    <t>2384670</t>
  </si>
  <si>
    <t>PENTECOST AVE, ST IVES</t>
  </si>
  <si>
    <t>2384935</t>
  </si>
  <si>
    <t>REDLEAF AVE, WAHROONGA</t>
  </si>
  <si>
    <t>2385355</t>
  </si>
  <si>
    <t>SPRINGDALE RD, KILLARA</t>
  </si>
  <si>
    <t>2385410</t>
  </si>
  <si>
    <t>STANLEY ST, ST IVES</t>
  </si>
  <si>
    <t>2385465</t>
  </si>
  <si>
    <t>STRICKLAND AVE, LINDFIELD</t>
  </si>
  <si>
    <t>2385610</t>
  </si>
  <si>
    <t>TELEGRAPH RD, PYMBLE</t>
  </si>
  <si>
    <t>2385645</t>
  </si>
  <si>
    <t>THE CHASE RD, TURRAMURRA</t>
  </si>
  <si>
    <t>2385805</t>
  </si>
  <si>
    <t>LINDFIELD-EAST LINDFIELD RD</t>
  </si>
  <si>
    <t>2386145</t>
  </si>
  <si>
    <t>WERONA AVE, GORDON</t>
  </si>
  <si>
    <t>2400129</t>
  </si>
  <si>
    <t>THE RISK/LYONS ROAD</t>
  </si>
  <si>
    <t>2400187</t>
  </si>
  <si>
    <t>CAWONGLA/LARNOOK RD</t>
  </si>
  <si>
    <t>2400400</t>
  </si>
  <si>
    <t>ETTRICK ROAD</t>
  </si>
  <si>
    <t>2510061</t>
  </si>
  <si>
    <t>BATHURST STREET (CONDOBOLIN)</t>
  </si>
  <si>
    <t>2510085</t>
  </si>
  <si>
    <t>MOLONG STREET (CONDOBOLIN)</t>
  </si>
  <si>
    <t>2510411</t>
  </si>
  <si>
    <t>2520001</t>
  </si>
  <si>
    <t>MOUNT SUGARLOAF RD</t>
  </si>
  <si>
    <t>2520002</t>
  </si>
  <si>
    <t>FAIRLEY RD</t>
  </si>
  <si>
    <t>2520003</t>
  </si>
  <si>
    <t>ACCESS RD UNDER F3 MINMI</t>
  </si>
  <si>
    <t>2520004</t>
  </si>
  <si>
    <t>STOCKRINGTON RD</t>
  </si>
  <si>
    <t>2520023</t>
  </si>
  <si>
    <t>CHARLESTOWN ROAD</t>
  </si>
  <si>
    <t>2520600</t>
  </si>
  <si>
    <t>BUSHELL RIDGE ROAD</t>
  </si>
  <si>
    <t>2520650</t>
  </si>
  <si>
    <t>MARSHALL STREET</t>
  </si>
  <si>
    <t>2520700</t>
  </si>
  <si>
    <t>O'DONNELTOWN ROAD</t>
  </si>
  <si>
    <t>2520731</t>
  </si>
  <si>
    <t>2520804</t>
  </si>
  <si>
    <t>FLORAVILLE ROAD</t>
  </si>
  <si>
    <t>2521614</t>
  </si>
  <si>
    <t>2521822</t>
  </si>
  <si>
    <t>WALLSEND ROAD</t>
  </si>
  <si>
    <t>2523309</t>
  </si>
  <si>
    <t>VIOLET TOWN ROAD</t>
  </si>
  <si>
    <t>2524812</t>
  </si>
  <si>
    <t>WILSON ROAD</t>
  </si>
  <si>
    <t>2525627</t>
  </si>
  <si>
    <t>BOWMAN STREET</t>
  </si>
  <si>
    <t>2525802</t>
  </si>
  <si>
    <t>LAKE STREET</t>
  </si>
  <si>
    <t>2526340</t>
  </si>
  <si>
    <t>BAYVIEW STREET</t>
  </si>
  <si>
    <t>2526724</t>
  </si>
  <si>
    <t>RUTLEYS ROAD</t>
  </si>
  <si>
    <t>2528000</t>
  </si>
  <si>
    <t>OLD 217 LINKS 10 - 40</t>
  </si>
  <si>
    <t>2540200</t>
  </si>
  <si>
    <t>BARWON RD/MOORE ST, LANE COVE</t>
  </si>
  <si>
    <t>2540360</t>
  </si>
  <si>
    <t>BURNS BAY RD, LANE COVE</t>
  </si>
  <si>
    <t>2541040</t>
  </si>
  <si>
    <t>GREENWICH RD, GREENWICH</t>
  </si>
  <si>
    <t>2541310</t>
  </si>
  <si>
    <t>KENNETH ST, LONGUEVILLE</t>
  </si>
  <si>
    <t>2541480</t>
  </si>
  <si>
    <t>LONGUEVILLE RD, LANE COVE</t>
  </si>
  <si>
    <t>2541530</t>
  </si>
  <si>
    <t>MARS RD/HALLAM AVE,LANE COVE</t>
  </si>
  <si>
    <t>2550053</t>
  </si>
  <si>
    <t>BAY ST, ULTIMO</t>
  </si>
  <si>
    <t>2550165</t>
  </si>
  <si>
    <t>OLD VICTORIA RD, ROZELLE</t>
  </si>
  <si>
    <t>2550196</t>
  </si>
  <si>
    <t>BALMAIN-EAST BALMAIN</t>
  </si>
  <si>
    <t>2550505</t>
  </si>
  <si>
    <t>NORTON ST, LEICHHARDT</t>
  </si>
  <si>
    <t>2550601</t>
  </si>
  <si>
    <t>ST JOHNS RD, GLEBE</t>
  </si>
  <si>
    <t>2550650</t>
  </si>
  <si>
    <t>PRE CITY WEST LINK (LILYFIELD RD)</t>
  </si>
  <si>
    <t>2550703</t>
  </si>
  <si>
    <t>WENTWORTH PARK RD, GLEBE</t>
  </si>
  <si>
    <t>2550718</t>
  </si>
  <si>
    <t>WIGRAM RD, FOREST LODGE</t>
  </si>
  <si>
    <t>2560001</t>
  </si>
  <si>
    <t>LAGOON ROAD, LORD HOWE ISLAND</t>
  </si>
  <si>
    <t>2573704</t>
  </si>
  <si>
    <t>ROSEBANK RD</t>
  </si>
  <si>
    <t>2573801</t>
  </si>
  <si>
    <t>CORNDALE RD</t>
  </si>
  <si>
    <t>2575802</t>
  </si>
  <si>
    <t>BROADWATER TO DUNGARUBBA</t>
  </si>
  <si>
    <t>2577126</t>
  </si>
  <si>
    <t>NEW BALLINA ROAD</t>
  </si>
  <si>
    <t>2580005</t>
  </si>
  <si>
    <t>LITHGOW - HAMPTON RD (OLD BOWENFELS)</t>
  </si>
  <si>
    <t>2580019</t>
  </si>
  <si>
    <t>FRANKFORT RD (LIDSDALE)</t>
  </si>
  <si>
    <t>2580020</t>
  </si>
  <si>
    <t>HARTLEY VALE RD (HASSANS WALLS)</t>
  </si>
  <si>
    <t>2580060</t>
  </si>
  <si>
    <t>MID HARTLEY RD (HARTLEY)</t>
  </si>
  <si>
    <t>2580077</t>
  </si>
  <si>
    <t>PORTLAND RD (MEADOW FLAT)</t>
  </si>
  <si>
    <t>2580105</t>
  </si>
  <si>
    <t>NEWNES RD (LIDSDALE)</t>
  </si>
  <si>
    <t>2580557</t>
  </si>
  <si>
    <t>2581001</t>
  </si>
  <si>
    <t>LITHGOW ST (LITHGOW)</t>
  </si>
  <si>
    <t>2581002</t>
  </si>
  <si>
    <t>MAIN ST (LITHGOW)</t>
  </si>
  <si>
    <t>2581003</t>
  </si>
  <si>
    <t>MORT ST (LITHGOW)</t>
  </si>
  <si>
    <t>2581004</t>
  </si>
  <si>
    <t>BRIDGE ST (LITHGOW)</t>
  </si>
  <si>
    <t>2581005</t>
  </si>
  <si>
    <t>HASSANS WALLS RD (LITHGOW)</t>
  </si>
  <si>
    <t>2590001</t>
  </si>
  <si>
    <t>ANZAC RD</t>
  </si>
  <si>
    <t>2590002</t>
  </si>
  <si>
    <t>BIGGE ST</t>
  </si>
  <si>
    <t>2590003</t>
  </si>
  <si>
    <t>CARTWRIGHT AVE</t>
  </si>
  <si>
    <t>2590004</t>
  </si>
  <si>
    <t>EPSOM RD</t>
  </si>
  <si>
    <t>2590005</t>
  </si>
  <si>
    <t>ELIZABETH DR</t>
  </si>
  <si>
    <t>2590006</t>
  </si>
  <si>
    <t>FIFTEENTH AVE</t>
  </si>
  <si>
    <t>2590007</t>
  </si>
  <si>
    <t>MACQUARIE ST</t>
  </si>
  <si>
    <t>2590008</t>
  </si>
  <si>
    <t>MAXWELLS AVE</t>
  </si>
  <si>
    <t>2590009</t>
  </si>
  <si>
    <t>MEMORIAL AVE</t>
  </si>
  <si>
    <t>2590010</t>
  </si>
  <si>
    <t>COWPASTURE RD (PREVIOUSLY PT)</t>
  </si>
  <si>
    <t>2590512</t>
  </si>
  <si>
    <t>MEMORIAL AVE/SCOTT ST</t>
  </si>
  <si>
    <t>2597265</t>
  </si>
  <si>
    <t>2604003</t>
  </si>
  <si>
    <t>RAY CARTER DR</t>
  </si>
  <si>
    <t>2610100</t>
  </si>
  <si>
    <t>HENTY-URANA RD</t>
  </si>
  <si>
    <t>2610200</t>
  </si>
  <si>
    <t>2740019</t>
  </si>
  <si>
    <t>ANGOURIE RD</t>
  </si>
  <si>
    <t>2740101</t>
  </si>
  <si>
    <t>PRINGLES WAY</t>
  </si>
  <si>
    <t>2740953</t>
  </si>
  <si>
    <t>COWPER BRIDGE STREET</t>
  </si>
  <si>
    <t>2780006</t>
  </si>
  <si>
    <t>KEEPIT DAM RD</t>
  </si>
  <si>
    <t>2780015</t>
  </si>
  <si>
    <t>COURT ST</t>
  </si>
  <si>
    <t>2790042</t>
  </si>
  <si>
    <t>BATTLE BLVD, SEAFORTH</t>
  </si>
  <si>
    <t>2790073</t>
  </si>
  <si>
    <t>ETHEL ST, SEAFORTH</t>
  </si>
  <si>
    <t>2790078</t>
  </si>
  <si>
    <t>CONDAMINE ST STH, BALGOWLAH</t>
  </si>
  <si>
    <t>2790080</t>
  </si>
  <si>
    <t>BALGOWLAH-MANLY</t>
  </si>
  <si>
    <t>2790091</t>
  </si>
  <si>
    <t>THE CORSO/DARLEY RD, MANLY</t>
  </si>
  <si>
    <t>2790149</t>
  </si>
  <si>
    <t>BALGOWLAH-NORTH BALGOWLAH</t>
  </si>
  <si>
    <t>2810280</t>
  </si>
  <si>
    <t>NEWTOWN-CAMPERDOWN</t>
  </si>
  <si>
    <t>2810420</t>
  </si>
  <si>
    <t>BEDFORD ST, NEWTOWN</t>
  </si>
  <si>
    <t>2810790</t>
  </si>
  <si>
    <t>CARDIGAN ST, STANMORE</t>
  </si>
  <si>
    <t>2811920</t>
  </si>
  <si>
    <t>GRIFFITH ST/GANNON ST, TEMPE</t>
  </si>
  <si>
    <t>2812005</t>
  </si>
  <si>
    <t>LORD ST,ST PETERS</t>
  </si>
  <si>
    <t>2812007</t>
  </si>
  <si>
    <t>PARK RD, MARRICKVILLE</t>
  </si>
  <si>
    <t>2812960</t>
  </si>
  <si>
    <t>MARRICKVILLE-MARRICKVILLE SOUTH</t>
  </si>
  <si>
    <t>2814870</t>
  </si>
  <si>
    <t>TRAFALAGR ST, PETERSHAM</t>
  </si>
  <si>
    <t>2815050</t>
  </si>
  <si>
    <t>WARDELL RD, DULWICH HILL</t>
  </si>
  <si>
    <t>2815060</t>
  </si>
  <si>
    <t>WARREN RD, MARRICKVILLE SOUTH</t>
  </si>
  <si>
    <t>2910107</t>
  </si>
  <si>
    <t>PALLAMALLAWA - GRATTI</t>
  </si>
  <si>
    <t>2919900</t>
  </si>
  <si>
    <t>GUNSYND WAY</t>
  </si>
  <si>
    <t>2919999</t>
  </si>
  <si>
    <t>2930001</t>
  </si>
  <si>
    <t>CREMORNE-MOSMAN</t>
  </si>
  <si>
    <t>2930002</t>
  </si>
  <si>
    <t>BELMONT RD, MOSMAN</t>
  </si>
  <si>
    <t>2950001</t>
  </si>
  <si>
    <t>LUE RD (LUE)</t>
  </si>
  <si>
    <t>2950004</t>
  </si>
  <si>
    <t>WINDEYER RD (GRATTAI)</t>
  </si>
  <si>
    <t>2950011</t>
  </si>
  <si>
    <t>SH18 TO BERYL BRIDGE OVER WYALDRA CK</t>
  </si>
  <si>
    <t>2950169</t>
  </si>
  <si>
    <t>BALLIMORE RD (GOOLMA)</t>
  </si>
  <si>
    <t>2951002</t>
  </si>
  <si>
    <t>MARKET ST (MUDGEE)</t>
  </si>
  <si>
    <t>2951134</t>
  </si>
  <si>
    <t>BELL ST (MUDGEE)</t>
  </si>
  <si>
    <t>2951143</t>
  </si>
  <si>
    <t>CHURCH ST (MUDGEE)</t>
  </si>
  <si>
    <t>2952015</t>
  </si>
  <si>
    <t>MAYNE ST (GULGONG)</t>
  </si>
  <si>
    <t>2952038</t>
  </si>
  <si>
    <t>CROWN ST (GULGONG)</t>
  </si>
  <si>
    <t>2952042</t>
  </si>
  <si>
    <t>MEDLEY ST (GULGONG)</t>
  </si>
  <si>
    <t>2990021</t>
  </si>
  <si>
    <t>MENINYA ST, MOAMA</t>
  </si>
  <si>
    <t>3000244</t>
  </si>
  <si>
    <t>CARRATHOOL RD</t>
  </si>
  <si>
    <t>3030012</t>
  </si>
  <si>
    <t>BLACKVILLE RD</t>
  </si>
  <si>
    <t>3030048</t>
  </si>
  <si>
    <t>BLANDFORD TO TIMOR RD</t>
  </si>
  <si>
    <t>3050009</t>
  </si>
  <si>
    <t>BAYSWATER POWER STN (MAIN ACCESS)</t>
  </si>
  <si>
    <t>3050100</t>
  </si>
  <si>
    <t>CRINOLENE STREET</t>
  </si>
  <si>
    <t>3050101</t>
  </si>
  <si>
    <t>VIRGINIA STREET</t>
  </si>
  <si>
    <t>3050200</t>
  </si>
  <si>
    <t>BELL STREET</t>
  </si>
  <si>
    <t>3050210</t>
  </si>
  <si>
    <t>BROOK STREET</t>
  </si>
  <si>
    <t>3070102</t>
  </si>
  <si>
    <t>PHOENIX PARK ROAD / HINTON ROAD (PHOENIX PARK)</t>
  </si>
  <si>
    <t>3070359</t>
  </si>
  <si>
    <t>PYWELLS ROAD</t>
  </si>
  <si>
    <t>3070579</t>
  </si>
  <si>
    <t>THORNTON ROAD</t>
  </si>
  <si>
    <t>3070630</t>
  </si>
  <si>
    <t>WINDERMERE ROAD</t>
  </si>
  <si>
    <t>3078000</t>
  </si>
  <si>
    <t>OLD MR301 10 - 30</t>
  </si>
  <si>
    <t>3170010</t>
  </si>
  <si>
    <t>OLD PACIFIC HWY- Nambucca to Valla</t>
  </si>
  <si>
    <t>3170118</t>
  </si>
  <si>
    <t>BOWRAVILLE - BELLINGEN</t>
  </si>
  <si>
    <t>3170400</t>
  </si>
  <si>
    <t>GREENHILLS RD</t>
  </si>
  <si>
    <t>3170740</t>
  </si>
  <si>
    <t>LOWER NORTH ARM RD</t>
  </si>
  <si>
    <t>3170790</t>
  </si>
  <si>
    <t>OLD COAST RD</t>
  </si>
  <si>
    <t>3170910</t>
  </si>
  <si>
    <t>SCOTTS HEAD RD</t>
  </si>
  <si>
    <t>3171040</t>
  </si>
  <si>
    <t>TAYLORS ARM-BURRAPINE RD</t>
  </si>
  <si>
    <t>3171303</t>
  </si>
  <si>
    <t>MANN STREET</t>
  </si>
  <si>
    <t>3190005</t>
  </si>
  <si>
    <t>MOUNT KAPUTAR RD</t>
  </si>
  <si>
    <t>3190010</t>
  </si>
  <si>
    <t>NARRABRI - TARRIARO RD</t>
  </si>
  <si>
    <t>3190011</t>
  </si>
  <si>
    <t>MAULES CREEK RD</t>
  </si>
  <si>
    <t>3190375</t>
  </si>
  <si>
    <t>COOMA ST - BUKHAI ST (W NARRABRI)</t>
  </si>
  <si>
    <t>3200099</t>
  </si>
  <si>
    <t>GREENDALE RD, BEGA</t>
  </si>
  <si>
    <t>3200135</t>
  </si>
  <si>
    <t>WEST KAMERUKA RD, CANDELO</t>
  </si>
  <si>
    <t>3200156</t>
  </si>
  <si>
    <t>YANKEES GAP RD, BEMBOKA</t>
  </si>
  <si>
    <t>3200161</t>
  </si>
  <si>
    <t>POLLACKS FLAT RD, BEMBOKA</t>
  </si>
  <si>
    <t>3200196</t>
  </si>
  <si>
    <t>KERRISONS LN, BEGA</t>
  </si>
  <si>
    <t>3200205</t>
  </si>
  <si>
    <t>MYRTLE MOUNTAIN RD, WYNDHAM</t>
  </si>
  <si>
    <t>3200209</t>
  </si>
  <si>
    <t>BIG JACK MOUNTAIN ROAD</t>
  </si>
  <si>
    <t>3200221</t>
  </si>
  <si>
    <t>WONBOYN ROAD</t>
  </si>
  <si>
    <t>3200224</t>
  </si>
  <si>
    <t>EDROM ROAD</t>
  </si>
  <si>
    <t>3200248</t>
  </si>
  <si>
    <t>NEW BUILDINGS ROAD</t>
  </si>
  <si>
    <t>3200254</t>
  </si>
  <si>
    <t>IMLAY ROAD</t>
  </si>
  <si>
    <t>3200273</t>
  </si>
  <si>
    <t>BUCKAJO ROAD</t>
  </si>
  <si>
    <t>3200276</t>
  </si>
  <si>
    <t>EDEN TO WYNDHAM ROAD</t>
  </si>
  <si>
    <t>3200324</t>
  </si>
  <si>
    <t>MERIMBULA DRIVE</t>
  </si>
  <si>
    <t>3200338</t>
  </si>
  <si>
    <t>PAMBULA BEACH ROAD</t>
  </si>
  <si>
    <t>3200359</t>
  </si>
  <si>
    <t>TARRAGANDA LN, BEGA</t>
  </si>
  <si>
    <t>3202384</t>
  </si>
  <si>
    <t>LAKE ST, MERIMBULA</t>
  </si>
  <si>
    <t>3202392</t>
  </si>
  <si>
    <t>MAIN ST, MERIMBULA</t>
  </si>
  <si>
    <t>3202396</t>
  </si>
  <si>
    <t>MARKET ST, MERIMBULA</t>
  </si>
  <si>
    <t>3210047</t>
  </si>
  <si>
    <t>BARELLAN RD</t>
  </si>
  <si>
    <t>3210146</t>
  </si>
  <si>
    <t>EAST STREET NARRANDERA</t>
  </si>
  <si>
    <t>3210558</t>
  </si>
  <si>
    <t>LARMER ST</t>
  </si>
  <si>
    <t>3210566</t>
  </si>
  <si>
    <t>AUDLEY ST</t>
  </si>
  <si>
    <t>3220001</t>
  </si>
  <si>
    <t>WENTWORTH BYPASS, MANILDRA ST</t>
  </si>
  <si>
    <t>3250100</t>
  </si>
  <si>
    <t>JANET STREET</t>
  </si>
  <si>
    <t>3250120</t>
  </si>
  <si>
    <t>BEAUMONT STREET</t>
  </si>
  <si>
    <t>3250207</t>
  </si>
  <si>
    <t>BROADMEADOW ROAD</t>
  </si>
  <si>
    <t>3250261</t>
  </si>
  <si>
    <t>CARDIFF ROAD</t>
  </si>
  <si>
    <t>3250308</t>
  </si>
  <si>
    <t>CHIN CHEN STREET</t>
  </si>
  <si>
    <t>3250336</t>
  </si>
  <si>
    <t>CLYDE STREET</t>
  </si>
  <si>
    <t>3250383</t>
  </si>
  <si>
    <t>COWPER STREET</t>
  </si>
  <si>
    <t>3250384</t>
  </si>
  <si>
    <t>3250430</t>
  </si>
  <si>
    <t>DARBY STREET</t>
  </si>
  <si>
    <t>3250476</t>
  </si>
  <si>
    <t>DOWNIE STREET</t>
  </si>
  <si>
    <t>3250510</t>
  </si>
  <si>
    <t>ELIZABETH STREET</t>
  </si>
  <si>
    <t>3250581</t>
  </si>
  <si>
    <t>3250607</t>
  </si>
  <si>
    <t>GEORGETOWN ROAD</t>
  </si>
  <si>
    <t>3250620</t>
  </si>
  <si>
    <t>GORDON AVENUE</t>
  </si>
  <si>
    <t>3250760</t>
  </si>
  <si>
    <t>HUNTER STREET</t>
  </si>
  <si>
    <t>3250769</t>
  </si>
  <si>
    <t>INGALL STREET</t>
  </si>
  <si>
    <t>3250843</t>
  </si>
  <si>
    <t>KING STREET</t>
  </si>
  <si>
    <t>3250864</t>
  </si>
  <si>
    <t>LAKE ROAD</t>
  </si>
  <si>
    <t>3250888</t>
  </si>
  <si>
    <t>LEWIS STREET</t>
  </si>
  <si>
    <t>3250922</t>
  </si>
  <si>
    <t>LOW STREET</t>
  </si>
  <si>
    <t>3250931</t>
  </si>
  <si>
    <t>MCCAFFREY DRIVE</t>
  </si>
  <si>
    <t>3250980</t>
  </si>
  <si>
    <t>MARY STREET</t>
  </si>
  <si>
    <t>3251003</t>
  </si>
  <si>
    <t>3251019</t>
  </si>
  <si>
    <t>3251042</t>
  </si>
  <si>
    <t>MORGANS STREET</t>
  </si>
  <si>
    <t>3251068</t>
  </si>
  <si>
    <t>MAYALL ROAD</t>
  </si>
  <si>
    <t>3251152</t>
  </si>
  <si>
    <t>PARK AVENUE</t>
  </si>
  <si>
    <t>3251271</t>
  </si>
  <si>
    <t>ROBERT STREET</t>
  </si>
  <si>
    <t>3251334</t>
  </si>
  <si>
    <t>SELMA STREET</t>
  </si>
  <si>
    <t>3251488</t>
  </si>
  <si>
    <t>UNION STREET</t>
  </si>
  <si>
    <t>3251555</t>
  </si>
  <si>
    <t>WHARF ROAD</t>
  </si>
  <si>
    <t>3251556</t>
  </si>
  <si>
    <t>WHEATLEYS DRIVE</t>
  </si>
  <si>
    <t>3251618</t>
  </si>
  <si>
    <t>ASH ISLAND ROAD</t>
  </si>
  <si>
    <t>3251710</t>
  </si>
  <si>
    <t>RD TO BHP GOLF COURSE</t>
  </si>
  <si>
    <t>3258000</t>
  </si>
  <si>
    <t>OLD 217 LINKS 400 - 440</t>
  </si>
  <si>
    <t>3290006</t>
  </si>
  <si>
    <t>ALBANY ST, ST LEONARDS</t>
  </si>
  <si>
    <t>3290061</t>
  </si>
  <si>
    <t>BEN BOYD RD, NEUTRAL BAY</t>
  </si>
  <si>
    <t>3290131</t>
  </si>
  <si>
    <t>CARR ST, NORTH SYDNEY</t>
  </si>
  <si>
    <t>3290229</t>
  </si>
  <si>
    <t>ERNEST ST, NORTH SYDNEY</t>
  </si>
  <si>
    <t>3290426</t>
  </si>
  <si>
    <t>LAVENDER ST, MILSONS POINT</t>
  </si>
  <si>
    <t>3290488</t>
  </si>
  <si>
    <t>MORTON ST, WOLLSTONECRFT</t>
  </si>
  <si>
    <t>3290585</t>
  </si>
  <si>
    <t>PARK AVE, CREMORNE</t>
  </si>
  <si>
    <t>3290633</t>
  </si>
  <si>
    <t>RANGERS RD, CREMORNE</t>
  </si>
  <si>
    <t>3290655</t>
  </si>
  <si>
    <t>RUSSELL ST, WOLLSTONECRAFT</t>
  </si>
  <si>
    <t>3290790</t>
  </si>
  <si>
    <t>CROWS NEST-CAMMERAY</t>
  </si>
  <si>
    <t>3290817</t>
  </si>
  <si>
    <t>WYCOMBE RD, NEUTRAL BAY</t>
  </si>
  <si>
    <t>3292091</t>
  </si>
  <si>
    <t>CHANDOS ST, CROWS NEST</t>
  </si>
  <si>
    <t>3310001</t>
  </si>
  <si>
    <t>DUNGOWAN CREEK ROAD</t>
  </si>
  <si>
    <t>3310007</t>
  </si>
  <si>
    <t>LINDSAY'S GAP ROAD</t>
  </si>
  <si>
    <t>3310105</t>
  </si>
  <si>
    <t>SCONE-NUNDLE</t>
  </si>
  <si>
    <t>3310106</t>
  </si>
  <si>
    <t>3320149</t>
  </si>
  <si>
    <t>SIX MILE LANE</t>
  </si>
  <si>
    <t>3320433</t>
  </si>
  <si>
    <t>OLD GLEN INNES RD</t>
  </si>
  <si>
    <t>3440001</t>
  </si>
  <si>
    <t>TARANA RD (O'CONNELL)</t>
  </si>
  <si>
    <t>3440002</t>
  </si>
  <si>
    <t>TARANA ROAD</t>
  </si>
  <si>
    <t>3440005</t>
  </si>
  <si>
    <t>THE LAGOON RD (O'CONNELL)</t>
  </si>
  <si>
    <t>3440011</t>
  </si>
  <si>
    <t>ESSINGTON RD (OBERON)</t>
  </si>
  <si>
    <t>3440023</t>
  </si>
  <si>
    <t>LOWES MOUNT RD (OBERON)</t>
  </si>
  <si>
    <t>3440255</t>
  </si>
  <si>
    <t>3450001</t>
  </si>
  <si>
    <t>NORTHERN DISTRIBUTOR RD</t>
  </si>
  <si>
    <t>3450526</t>
  </si>
  <si>
    <t>3530017</t>
  </si>
  <si>
    <t>OLD NEWELL HIGHWAY PARKES</t>
  </si>
  <si>
    <t>3530061</t>
  </si>
  <si>
    <t>OLD ORANGE-COBAR (OLD MR61) PARKES</t>
  </si>
  <si>
    <t>3540027</t>
  </si>
  <si>
    <t>JUNCTION RD</t>
  </si>
  <si>
    <t>3547106</t>
  </si>
  <si>
    <t>RAILWAY TERRACE/RANDLE ST</t>
  </si>
  <si>
    <t>3580001</t>
  </si>
  <si>
    <t>BRINGELLY RD</t>
  </si>
  <si>
    <t>3580002</t>
  </si>
  <si>
    <t>EVAN ST</t>
  </si>
  <si>
    <t>3580004</t>
  </si>
  <si>
    <t>MELBOURNE ST</t>
  </si>
  <si>
    <t>3580005</t>
  </si>
  <si>
    <t>3580006</t>
  </si>
  <si>
    <t>3620102</t>
  </si>
  <si>
    <t>HIGH STREET (HINTON)</t>
  </si>
  <si>
    <t>3620350</t>
  </si>
  <si>
    <t>WILLIAMS STREET</t>
  </si>
  <si>
    <t>3628000</t>
  </si>
  <si>
    <t>OLD MR108</t>
  </si>
  <si>
    <t>3640014</t>
  </si>
  <si>
    <t>OLD WINTON RD</t>
  </si>
  <si>
    <t>3640116</t>
  </si>
  <si>
    <t>DUNGOWAN RD</t>
  </si>
  <si>
    <t>3640120</t>
  </si>
  <si>
    <t>OGUNBIL-WEABONGA RD</t>
  </si>
  <si>
    <t>3640121</t>
  </si>
  <si>
    <t>NOWENDOC JUNCTION RD</t>
  </si>
  <si>
    <t>3640160</t>
  </si>
  <si>
    <t>BENDEMEER-BUNDARRA RD</t>
  </si>
  <si>
    <t>3640221</t>
  </si>
  <si>
    <t>ATTUNGA ST</t>
  </si>
  <si>
    <t>3640553</t>
  </si>
  <si>
    <t>SOMERTON-MANILLA</t>
  </si>
  <si>
    <t>3641093</t>
  </si>
  <si>
    <t>GARTHOWEN RD</t>
  </si>
  <si>
    <t>3649900</t>
  </si>
  <si>
    <t>BENDEMEER BRIDGE RD</t>
  </si>
  <si>
    <t>3660261</t>
  </si>
  <si>
    <t>AVALON PDE,AVALON</t>
  </si>
  <si>
    <t>3664952</t>
  </si>
  <si>
    <t>LANE COVE RD/WALTER RD,INGLESIDE</t>
  </si>
  <si>
    <t>3740010</t>
  </si>
  <si>
    <t>CRAWFORD ST, QUEANBEYAN</t>
  </si>
  <si>
    <t>3740100</t>
  </si>
  <si>
    <t>URIARRA RD, QUEANBEYAN</t>
  </si>
  <si>
    <t>3750001</t>
  </si>
  <si>
    <t>OLD MR129 RD</t>
  </si>
  <si>
    <t>3750010</t>
  </si>
  <si>
    <t>TAMARANG-BUNDELLA RD</t>
  </si>
  <si>
    <t>3810020</t>
  </si>
  <si>
    <t>ALISON RD, RANDWICK</t>
  </si>
  <si>
    <t>3810102</t>
  </si>
  <si>
    <t>BOTANY ST, RANDWICK</t>
  </si>
  <si>
    <t>3810175</t>
  </si>
  <si>
    <t>LITTLE BAY RD, LITTLE BAY</t>
  </si>
  <si>
    <t>3810191</t>
  </si>
  <si>
    <t>RANDWICK-CLOVELLY</t>
  </si>
  <si>
    <t>3810197</t>
  </si>
  <si>
    <t>COOGEE BAY RD,COOGEE</t>
  </si>
  <si>
    <t>3810249</t>
  </si>
  <si>
    <t>DUDLEY ST,COOGEE</t>
  </si>
  <si>
    <t>3810308</t>
  </si>
  <si>
    <t>FRANKLIN ST, MATRAVILLE</t>
  </si>
  <si>
    <t>3810317</t>
  </si>
  <si>
    <t>FITZGERALD AVE,MAROUBRA</t>
  </si>
  <si>
    <t>3810327</t>
  </si>
  <si>
    <t>BELMORE RD,RANDWICK</t>
  </si>
  <si>
    <t>3810377</t>
  </si>
  <si>
    <t>HIGH ST, RANDWICK</t>
  </si>
  <si>
    <t>3810462</t>
  </si>
  <si>
    <t>KENSINGTON-ROSEBERY</t>
  </si>
  <si>
    <t>3810495</t>
  </si>
  <si>
    <t>MALABAR RD, COOGEE</t>
  </si>
  <si>
    <t>3810613</t>
  </si>
  <si>
    <t>PERRY ST, MATRAVILLE</t>
  </si>
  <si>
    <t>3810635</t>
  </si>
  <si>
    <t>RAINBOW ST, RANDWICK</t>
  </si>
  <si>
    <t>3810733</t>
  </si>
  <si>
    <t>TUNSTALL AVE, KINGSFORD</t>
  </si>
  <si>
    <t>3860012</t>
  </si>
  <si>
    <t>WARIALDA ST,KOGARAH</t>
  </si>
  <si>
    <t>3860020</t>
  </si>
  <si>
    <t>RUSSELL AVE, SANS SOUCI</t>
  </si>
  <si>
    <t>3860027</t>
  </si>
  <si>
    <t>SHAW ST, KINGSGROVE</t>
  </si>
  <si>
    <t>3860043</t>
  </si>
  <si>
    <t>STATION ST/RAILWAY PDE, KOGARAH</t>
  </si>
  <si>
    <t>3860167</t>
  </si>
  <si>
    <t>KINGSLAND RD STH, BEXLEY</t>
  </si>
  <si>
    <t>3860319</t>
  </si>
  <si>
    <t>BARTON ST, KOGARAH</t>
  </si>
  <si>
    <t>3860691</t>
  </si>
  <si>
    <t>SOMERVILLE ST, ARNCLIFFE</t>
  </si>
  <si>
    <t>3862086</t>
  </si>
  <si>
    <t>ALLEN ST/WOOLONGONG RD</t>
  </si>
  <si>
    <t>3870008</t>
  </si>
  <si>
    <t>ADELAIDE ST, WEST RYDE</t>
  </si>
  <si>
    <t>3870086</t>
  </si>
  <si>
    <t>BLENHEIM RD,NORTH RYDE</t>
  </si>
  <si>
    <t>3870101</t>
  </si>
  <si>
    <t>BRIDGE RD, NORTH RYDE</t>
  </si>
  <si>
    <t>3870107</t>
  </si>
  <si>
    <t>BUFFALO RD, RYDE</t>
  </si>
  <si>
    <t>3870132</t>
  </si>
  <si>
    <t>WEST RYDE-EASTWOOD</t>
  </si>
  <si>
    <t>3870157</t>
  </si>
  <si>
    <t>RYDE-MEADOWBANK</t>
  </si>
  <si>
    <t>3870170</t>
  </si>
  <si>
    <t>COXS RD, NORTH RYDE</t>
  </si>
  <si>
    <t>3870173</t>
  </si>
  <si>
    <t>CRESSY RD, RYDE</t>
  </si>
  <si>
    <t>3870227</t>
  </si>
  <si>
    <t>EAST PDE, EASTWOOD</t>
  </si>
  <si>
    <t>3870339</t>
  </si>
  <si>
    <t>HERRING RD,MARSFIELD</t>
  </si>
  <si>
    <t>3870433</t>
  </si>
  <si>
    <t>LOVELL RD/NORTH RD, EASTWOOD</t>
  </si>
  <si>
    <t>3870485</t>
  </si>
  <si>
    <t>GLADESVILLE-RYDE</t>
  </si>
  <si>
    <t>3870571</t>
  </si>
  <si>
    <t>QUARRY RD, NORTH RYDE</t>
  </si>
  <si>
    <t>3870632</t>
  </si>
  <si>
    <t>SHAFTSBURY RD,EASTWOOD</t>
  </si>
  <si>
    <t>3870671</t>
  </si>
  <si>
    <t>TALAVERA RD, MACQUARIE PARK</t>
  </si>
  <si>
    <t>3870678</t>
  </si>
  <si>
    <t>TERRY RD, EASTWOOD</t>
  </si>
  <si>
    <t>3870703</t>
  </si>
  <si>
    <t>TWIN RD/BADAJOZ RD, NORTH RYDE</t>
  </si>
  <si>
    <t>3870727</t>
  </si>
  <si>
    <t>WATERLOO RD, MACQUARIE PARK</t>
  </si>
  <si>
    <t>3870740</t>
  </si>
  <si>
    <t>WEST PDE, WEST RYDE</t>
  </si>
  <si>
    <t>3872081</t>
  </si>
  <si>
    <t>RUTLEDGE ST, WEST RYDE</t>
  </si>
  <si>
    <t>3880001</t>
  </si>
  <si>
    <t>CUDGEGONG RD (CUDGEGONG)</t>
  </si>
  <si>
    <t>3880003</t>
  </si>
  <si>
    <t>MUDGEE RD (RYLSTONE)</t>
  </si>
  <si>
    <t>3880004</t>
  </si>
  <si>
    <t>GLEN DAVIS RD (RYLSTONE)</t>
  </si>
  <si>
    <t>3890010</t>
  </si>
  <si>
    <t>OLD PACIFIC HWY (Richmond Valley LGA)</t>
  </si>
  <si>
    <t>3891153</t>
  </si>
  <si>
    <t>EDENVILLE RD</t>
  </si>
  <si>
    <t>3891324</t>
  </si>
  <si>
    <t>LEEVILLE STATION RD</t>
  </si>
  <si>
    <t>3891531</t>
  </si>
  <si>
    <t>SPRING GROVE ROAD</t>
  </si>
  <si>
    <t>3891591</t>
  </si>
  <si>
    <t>ELLANGOWAN RD</t>
  </si>
  <si>
    <t>3895170</t>
  </si>
  <si>
    <t>SHANNONBROOK RD</t>
  </si>
  <si>
    <t>3990105</t>
  </si>
  <si>
    <t>4000001</t>
  </si>
  <si>
    <t>4000012</t>
  </si>
  <si>
    <t>BALD NOB TO DUNDEE ROAD</t>
  </si>
  <si>
    <t>4000033</t>
  </si>
  <si>
    <t>MATHESON TO WELLINGROVE ROAD</t>
  </si>
  <si>
    <t>4000108</t>
  </si>
  <si>
    <t>OLD GRAFTON ROAD</t>
  </si>
  <si>
    <t>4000136</t>
  </si>
  <si>
    <t>EMAVILLE-INVERELL RD</t>
  </si>
  <si>
    <t>4000382</t>
  </si>
  <si>
    <t>4011117</t>
  </si>
  <si>
    <t>CREAMERY ROAD, ALBION PARK RAIL</t>
  </si>
  <si>
    <t>4011205</t>
  </si>
  <si>
    <t>CALDERWOOD ROAD</t>
  </si>
  <si>
    <t>4012724</t>
  </si>
  <si>
    <t>WATTLE ROAD</t>
  </si>
  <si>
    <t>4013587</t>
  </si>
  <si>
    <t>EAST WEST LINK ROAD</t>
  </si>
  <si>
    <t>4013999</t>
  </si>
  <si>
    <t>RIVERSIDE DRIVE</t>
  </si>
  <si>
    <t>4020100</t>
  </si>
  <si>
    <t>DUNOLLY ROAD</t>
  </si>
  <si>
    <t>4020101</t>
  </si>
  <si>
    <t>GOORANGOOLA ROAD</t>
  </si>
  <si>
    <t>4020102</t>
  </si>
  <si>
    <t>NEWTON STREET</t>
  </si>
  <si>
    <t>4020103</t>
  </si>
  <si>
    <t>PRIVATE COAL RD OVER SH9</t>
  </si>
  <si>
    <t>4020104</t>
  </si>
  <si>
    <t>COAL RD OV MR181 BROKE RD</t>
  </si>
  <si>
    <t>4020200</t>
  </si>
  <si>
    <t>ROAD TO MIDDLE FALBROOK</t>
  </si>
  <si>
    <t>4020335</t>
  </si>
  <si>
    <t>WALLABY SCRUB ROAD</t>
  </si>
  <si>
    <t>4020503</t>
  </si>
  <si>
    <t>MT THORLEY RD</t>
  </si>
  <si>
    <t>4028000</t>
  </si>
  <si>
    <t>OLD MR128, SECTION 1, LINK 10 -30</t>
  </si>
  <si>
    <t>4040001</t>
  </si>
  <si>
    <t>OLD PRINCES HWY in SHOALHAVEN LGA</t>
  </si>
  <si>
    <t>4040011</t>
  </si>
  <si>
    <t>PRINCE ALFRED ROAD, BERRY</t>
  </si>
  <si>
    <t>4040154</t>
  </si>
  <si>
    <t>BERRY STREET, NOWRA</t>
  </si>
  <si>
    <t>4040220</t>
  </si>
  <si>
    <t>BRIDGE ROAD, NOWRA</t>
  </si>
  <si>
    <t>4040274</t>
  </si>
  <si>
    <t>CAMBEWARRA ROAD, BOMADERRY</t>
  </si>
  <si>
    <t>4040285</t>
  </si>
  <si>
    <t>CAMBEWARRA LOOKOUT ROAD</t>
  </si>
  <si>
    <t>4040418</t>
  </si>
  <si>
    <t>CROOBYAR ROAD</t>
  </si>
  <si>
    <t>4040665</t>
  </si>
  <si>
    <t>GRANGE ROAD</t>
  </si>
  <si>
    <t>4040680</t>
  </si>
  <si>
    <t>GREENWELL POINT ROAD</t>
  </si>
  <si>
    <t>4040748</t>
  </si>
  <si>
    <t>HUSKISSON ROAD, HUSKISSON</t>
  </si>
  <si>
    <t>4040757</t>
  </si>
  <si>
    <t>ILLAROO ROAD</t>
  </si>
  <si>
    <t>4040824</t>
  </si>
  <si>
    <t>KANGAROO VALLEY ROAD</t>
  </si>
  <si>
    <t>4040851</t>
  </si>
  <si>
    <t>KINGHORNE STREET, NOWRA</t>
  </si>
  <si>
    <t>4040998</t>
  </si>
  <si>
    <t>MEROO ROAD</t>
  </si>
  <si>
    <t>4040999</t>
  </si>
  <si>
    <t>MEROO STREET, BOMADERRY (293B)</t>
  </si>
  <si>
    <t>4041150</t>
  </si>
  <si>
    <t>OWEN STREET, HUSKISSON</t>
  </si>
  <si>
    <t>4041214</t>
  </si>
  <si>
    <t>PINE FOREST ROAD, TOMERONG</t>
  </si>
  <si>
    <t>4041268</t>
  </si>
  <si>
    <t>RAILWAY STREET, BOMADERRY (293A)</t>
  </si>
  <si>
    <t>4041378</t>
  </si>
  <si>
    <t>SHOALHAVEN HEADS ROAD</t>
  </si>
  <si>
    <t>4041455</t>
  </si>
  <si>
    <t>SYDNEY STREET, HUSKISSON</t>
  </si>
  <si>
    <t>4041552</t>
  </si>
  <si>
    <t>TOMERONG STREET, HUSKISSON</t>
  </si>
  <si>
    <t>4041580</t>
  </si>
  <si>
    <t>TURPENTINE ROAD, TOMERONG</t>
  </si>
  <si>
    <t>4041735</t>
  </si>
  <si>
    <t>WOODSTOCK ROAD</t>
  </si>
  <si>
    <t>4041865</t>
  </si>
  <si>
    <t>CROOKED RIVER BGE TO SHOALHAVEN HEADS</t>
  </si>
  <si>
    <t>4090004</t>
  </si>
  <si>
    <t>ALBERT RD, STRATHFIELD</t>
  </si>
  <si>
    <t>4090099</t>
  </si>
  <si>
    <t>HENLY RD/THE CRESCENT, STRATHFIELD WEST</t>
  </si>
  <si>
    <t>4100300</t>
  </si>
  <si>
    <t>FAILFORD RD</t>
  </si>
  <si>
    <t>4104035</t>
  </si>
  <si>
    <t>SEAL ROCKS ROAD</t>
  </si>
  <si>
    <t>4110041</t>
  </si>
  <si>
    <t>BANKSIA RD, CARINGBAH</t>
  </si>
  <si>
    <t>4110059</t>
  </si>
  <si>
    <t>BELLINGARA RD, MIRANDA</t>
  </si>
  <si>
    <t>4110074</t>
  </si>
  <si>
    <t>CRONULLA-NORTH CRONULLA</t>
  </si>
  <si>
    <t>4110075</t>
  </si>
  <si>
    <t>KIORA RD,MIRANDA</t>
  </si>
  <si>
    <t>4110076</t>
  </si>
  <si>
    <t>KIRRAWEE-SUTHERLAND</t>
  </si>
  <si>
    <t>4110085</t>
  </si>
  <si>
    <t>BOX RD, SYLVANIA</t>
  </si>
  <si>
    <t>4110107</t>
  </si>
  <si>
    <t>BURRANEER BAY RD, CARINGBAH</t>
  </si>
  <si>
    <t>4110190</t>
  </si>
  <si>
    <t>OLD ILLAWARRA RD, MENAI</t>
  </si>
  <si>
    <t>4110229</t>
  </si>
  <si>
    <t>EVELYN ST, SYLVANIA</t>
  </si>
  <si>
    <t>4110230</t>
  </si>
  <si>
    <t>CRONULLA-PORT HACKING</t>
  </si>
  <si>
    <t>4110305</t>
  </si>
  <si>
    <t>GYMEA-GYMEA BAY</t>
  </si>
  <si>
    <t>4110363</t>
  </si>
  <si>
    <t>KAREENA RD, MIRANDA</t>
  </si>
  <si>
    <t>4110402</t>
  </si>
  <si>
    <t>SUTHERLAND-LOFTUS</t>
  </si>
  <si>
    <t>4110499</t>
  </si>
  <si>
    <t>PARRAWEENA RD, MIRANDA</t>
  </si>
  <si>
    <t>4110513</t>
  </si>
  <si>
    <t>CARINGBAH-DOLANS BAY</t>
  </si>
  <si>
    <t>4110579</t>
  </si>
  <si>
    <t>JANNALI-BONNET BAY</t>
  </si>
  <si>
    <t>4110663</t>
  </si>
  <si>
    <t>RIVER RD/MENAI RD, WORONORA</t>
  </si>
  <si>
    <t>4110673</t>
  </si>
  <si>
    <t>WANDELLA RD NTH, MIRANDA</t>
  </si>
  <si>
    <t>4110679</t>
  </si>
  <si>
    <t>WARATAH ST, SUTHERLAND</t>
  </si>
  <si>
    <t>4110717</t>
  </si>
  <si>
    <t>TOORAK AVE/WOODLANDS RD, TAREN POINT</t>
  </si>
  <si>
    <t>4110718</t>
  </si>
  <si>
    <t>WOOLOOWARE RD STH, WOOLOOWARE</t>
  </si>
  <si>
    <t>4110737</t>
  </si>
  <si>
    <t>SUTHERLAND-COMO</t>
  </si>
  <si>
    <t>4110752</t>
  </si>
  <si>
    <t>GYMEA-GRAYS POINT</t>
  </si>
  <si>
    <t>4110870</t>
  </si>
  <si>
    <t>BUNDEENA DR, ROYAL NATIONAL PARK</t>
  </si>
  <si>
    <t>4111288</t>
  </si>
  <si>
    <t>WASHINGTON DR, BONNET BAY</t>
  </si>
  <si>
    <t>4111447</t>
  </si>
  <si>
    <t>OLD PRINCES HWY, ENGADINE</t>
  </si>
  <si>
    <t>4112034</t>
  </si>
  <si>
    <t>MENAI-ALFORDS POINT</t>
  </si>
  <si>
    <t>4112076</t>
  </si>
  <si>
    <t>LOFTUS-SUTHERLAND</t>
  </si>
  <si>
    <t>4114031</t>
  </si>
  <si>
    <t>CAPE SOLANDER</t>
  </si>
  <si>
    <t>4119999</t>
  </si>
  <si>
    <t>AUDLEY-ROYAL NATIONAL PARK</t>
  </si>
  <si>
    <t>4120042</t>
  </si>
  <si>
    <t>JONES ST/BANK ST, PYRMONT</t>
  </si>
  <si>
    <t>4120333</t>
  </si>
  <si>
    <t>GEORGE ST, SYDNEY</t>
  </si>
  <si>
    <t>4120385</t>
  </si>
  <si>
    <t>HARRIS ST, PYRMONT</t>
  </si>
  <si>
    <t>4120596</t>
  </si>
  <si>
    <t>PYRMONT ST/ UNION ST/ MILLER ST, PYRMONT</t>
  </si>
  <si>
    <t>4120697</t>
  </si>
  <si>
    <t>PRINCE ALBERT RD/ART GALLERY RD, SYDNEY</t>
  </si>
  <si>
    <t>4120785</t>
  </si>
  <si>
    <t>SAUNDERS ST, PYRMONT</t>
  </si>
  <si>
    <t>4120865</t>
  </si>
  <si>
    <t>ULTIMO RD, ULTIMO</t>
  </si>
  <si>
    <t>4130002</t>
  </si>
  <si>
    <t>GOLDEN GROVE ST/ABERCROMBIE ST, DARLINGTON</t>
  </si>
  <si>
    <t>4130065</t>
  </si>
  <si>
    <t>BAYSWATER RD/WARD AVE, KINGS CROSS</t>
  </si>
  <si>
    <t>4130135</t>
  </si>
  <si>
    <t>DARLINGHURST-PADDINGTON</t>
  </si>
  <si>
    <t>4130203</t>
  </si>
  <si>
    <t>ROBERTSON RD/COOK RD, MOORE PARK</t>
  </si>
  <si>
    <t>4130239</t>
  </si>
  <si>
    <t>DARLINGHURST-POTTS POINT</t>
  </si>
  <si>
    <t>4130252</t>
  </si>
  <si>
    <t>DEVONSHIRE ST, SURRY HILLS</t>
  </si>
  <si>
    <t>4130357</t>
  </si>
  <si>
    <t>GREENKNOWE AVE/ELIZABETH BAY RD, KINGS CROSS</t>
  </si>
  <si>
    <t>4130485</t>
  </si>
  <si>
    <t>LANG RD, MOORE PARK</t>
  </si>
  <si>
    <t>4130533</t>
  </si>
  <si>
    <t>LIVERPOOL ST, DARLINGHURST</t>
  </si>
  <si>
    <t>4130598</t>
  </si>
  <si>
    <t>MISSENDEN RD, CAMPERDOWN</t>
  </si>
  <si>
    <t>4130762</t>
  </si>
  <si>
    <t>ROSLYN ST, KINGS CROSS</t>
  </si>
  <si>
    <t>4131065</t>
  </si>
  <si>
    <t>4131152</t>
  </si>
  <si>
    <t>DALMENY AVE/TREVILYAN AVE, ROSEBERY</t>
  </si>
  <si>
    <t>4131190</t>
  </si>
  <si>
    <t>EUSTON RD, ALEXANDRIA</t>
  </si>
  <si>
    <t>4131262</t>
  </si>
  <si>
    <t>HENDERSON RD, ALEXANDRIA</t>
  </si>
  <si>
    <t>4131349</t>
  </si>
  <si>
    <t>LAWSON ST, REDFERN</t>
  </si>
  <si>
    <t>4131401</t>
  </si>
  <si>
    <t>MITCHELL RD, ALEXANDRIA</t>
  </si>
  <si>
    <t>4131434</t>
  </si>
  <si>
    <t>ODEA AVE, WATERLOO</t>
  </si>
  <si>
    <t>4131481</t>
  </si>
  <si>
    <t>RAGLAN ST, WATERLOO</t>
  </si>
  <si>
    <t>4131493</t>
  </si>
  <si>
    <t>REDFERN ST, REDFERN</t>
  </si>
  <si>
    <t>4131516</t>
  </si>
  <si>
    <t>ZETLAND-ROSEBERY</t>
  </si>
  <si>
    <t>4131628</t>
  </si>
  <si>
    <t>NEWTOWN-CHIPPENDALE</t>
  </si>
  <si>
    <t>4132011</t>
  </si>
  <si>
    <t>LAWSON SQUARE</t>
  </si>
  <si>
    <t>4230021</t>
  </si>
  <si>
    <t>BOMBAY ROAD</t>
  </si>
  <si>
    <t>4230022</t>
  </si>
  <si>
    <t>FARRINGDON ROAD</t>
  </si>
  <si>
    <t>4250030</t>
  </si>
  <si>
    <t>NEW WINTON RD</t>
  </si>
  <si>
    <t>4259900</t>
  </si>
  <si>
    <t>CALALA LANE</t>
  </si>
  <si>
    <t>4259901</t>
  </si>
  <si>
    <t>SCOTT RD</t>
  </si>
  <si>
    <t>4259902</t>
  </si>
  <si>
    <t>MAHONY AVE</t>
  </si>
  <si>
    <t>4259903</t>
  </si>
  <si>
    <t>EBSWORTH ST</t>
  </si>
  <si>
    <t>4259904</t>
  </si>
  <si>
    <t>KABLE AV NORTH</t>
  </si>
  <si>
    <t>4259905</t>
  </si>
  <si>
    <t>KABLE AVE SOUTH</t>
  </si>
  <si>
    <t>4259906</t>
  </si>
  <si>
    <t>PEEL ST</t>
  </si>
  <si>
    <t>4259907</t>
  </si>
  <si>
    <t>BRISBANE ST</t>
  </si>
  <si>
    <t>4259908</t>
  </si>
  <si>
    <t>JEWRY ST</t>
  </si>
  <si>
    <t>4259909</t>
  </si>
  <si>
    <t>WARRAL RD</t>
  </si>
  <si>
    <t>4261572</t>
  </si>
  <si>
    <t>RD TO MOUNT GEORGE</t>
  </si>
  <si>
    <t>4261593</t>
  </si>
  <si>
    <t>NABIAC-KRAMBACH RD</t>
  </si>
  <si>
    <t>4268000</t>
  </si>
  <si>
    <t>OLD MR112 40-100</t>
  </si>
  <si>
    <t>4268001</t>
  </si>
  <si>
    <t>OLD MR90</t>
  </si>
  <si>
    <t>4300362</t>
  </si>
  <si>
    <t>URBENVILLE-KOREELAH CK</t>
  </si>
  <si>
    <t>4350660</t>
  </si>
  <si>
    <t>SWAMPY PLAINS CK RD</t>
  </si>
  <si>
    <t>4350896</t>
  </si>
  <si>
    <t>TINTALDRA RD</t>
  </si>
  <si>
    <t>4350920</t>
  </si>
  <si>
    <t>TOWONG FLAT RD</t>
  </si>
  <si>
    <t>4350960</t>
  </si>
  <si>
    <t>INDI RD</t>
  </si>
  <si>
    <t>4380541</t>
  </si>
  <si>
    <t>BARORA POINT - TUMBULGUM</t>
  </si>
  <si>
    <t>4381680</t>
  </si>
  <si>
    <t>DRY DOCK RD</t>
  </si>
  <si>
    <t>4382150</t>
  </si>
  <si>
    <t>FRASER DRIVE</t>
  </si>
  <si>
    <t>4382830</t>
  </si>
  <si>
    <t>4384420</t>
  </si>
  <si>
    <t>POTTSVILLE RD</t>
  </si>
  <si>
    <t>4385690</t>
  </si>
  <si>
    <t>UPPER BURRINGBAR RD</t>
  </si>
  <si>
    <t>4385980</t>
  </si>
  <si>
    <t>WOOYUNG RD</t>
  </si>
  <si>
    <t>4389999</t>
  </si>
  <si>
    <t>OLD PACIFIC HIGHWAY BANORA POINT TO TWEED HDS</t>
  </si>
  <si>
    <t>4390001</t>
  </si>
  <si>
    <t>BLOWERING DAM ACCESS RD</t>
  </si>
  <si>
    <t>4390002</t>
  </si>
  <si>
    <t>TUMUT PLAINS RD</t>
  </si>
  <si>
    <t>4390022</t>
  </si>
  <si>
    <t>TUMUT TO BRUNGLE RD</t>
  </si>
  <si>
    <t>4390280</t>
  </si>
  <si>
    <t>WONDALGA TO TUMBLONG RD</t>
  </si>
  <si>
    <t>4390810</t>
  </si>
  <si>
    <t>CAPPER ST</t>
  </si>
  <si>
    <t>4390880</t>
  </si>
  <si>
    <t>WYNYARD ST</t>
  </si>
  <si>
    <t>4391215</t>
  </si>
  <si>
    <t>YAVEN CK RD</t>
  </si>
  <si>
    <t>4500208</t>
  </si>
  <si>
    <t>ULMARRA/WOOLI RD</t>
  </si>
  <si>
    <t>4500303</t>
  </si>
  <si>
    <t>BOM BOM FOREST ROAD</t>
  </si>
  <si>
    <t>4500311</t>
  </si>
  <si>
    <t>EIGHT MILE LANE</t>
  </si>
  <si>
    <t>4510009</t>
  </si>
  <si>
    <t>OLD NEW ENGLAND HW - SCONE</t>
  </si>
  <si>
    <t>4520001</t>
  </si>
  <si>
    <t>BUNDARRA-BINGARA RD</t>
  </si>
  <si>
    <t>4520013</t>
  </si>
  <si>
    <t>BUNDARRA-BENDEMEER RD</t>
  </si>
  <si>
    <t>4520022</t>
  </si>
  <si>
    <t>YARROWYCK-TORYBURN RD</t>
  </si>
  <si>
    <t>4520024</t>
  </si>
  <si>
    <t>URALLA-KINGSTOWN RD</t>
  </si>
  <si>
    <t>4530110</t>
  </si>
  <si>
    <t>RAND ROAD</t>
  </si>
  <si>
    <t>4680015</t>
  </si>
  <si>
    <t>LOWER TARCUTTA RD</t>
  </si>
  <si>
    <t>4680100</t>
  </si>
  <si>
    <t>DOCKER ST</t>
  </si>
  <si>
    <t>4680110</t>
  </si>
  <si>
    <t>TARCUTTA STREET</t>
  </si>
  <si>
    <t>4680120</t>
  </si>
  <si>
    <t>BEST STREET</t>
  </si>
  <si>
    <t>4680130</t>
  </si>
  <si>
    <t>GURWOOD ST</t>
  </si>
  <si>
    <t>4680140</t>
  </si>
  <si>
    <t>ASHMONT AVE</t>
  </si>
  <si>
    <t>4680150</t>
  </si>
  <si>
    <t>EDMONDSON STREET</t>
  </si>
  <si>
    <t>4680160</t>
  </si>
  <si>
    <t>WAGGA-WANTABADGERY RD</t>
  </si>
  <si>
    <t>4680170</t>
  </si>
  <si>
    <t>LAKE ALBERT RD</t>
  </si>
  <si>
    <t>4690047</t>
  </si>
  <si>
    <t>MURRABIT RD</t>
  </si>
  <si>
    <t>4690059</t>
  </si>
  <si>
    <t>SPEEWA FERRY RD</t>
  </si>
  <si>
    <t>4690061</t>
  </si>
  <si>
    <t>SPEEWA RD</t>
  </si>
  <si>
    <t>4690122</t>
  </si>
  <si>
    <t>GONN RD</t>
  </si>
  <si>
    <t>4690201</t>
  </si>
  <si>
    <t>NOORONG RD</t>
  </si>
  <si>
    <t>4700010</t>
  </si>
  <si>
    <t>BUKALONG SIDING RD, BIBBENLUKE</t>
  </si>
  <si>
    <t>4700046</t>
  </si>
  <si>
    <t>MILA RD, BOMBALA</t>
  </si>
  <si>
    <t>4700050</t>
  </si>
  <si>
    <t>NOWENDOC RD</t>
  </si>
  <si>
    <t>4700110</t>
  </si>
  <si>
    <t>GLEN MORRISON RD</t>
  </si>
  <si>
    <t>4701006</t>
  </si>
  <si>
    <t>HIGH ST, BOMBALA</t>
  </si>
  <si>
    <t>4701227</t>
  </si>
  <si>
    <t>NOWENDOC-NUNDLE RD</t>
  </si>
  <si>
    <t>4710016</t>
  </si>
  <si>
    <t>MERCADOOL - FRANXTON RD.</t>
  </si>
  <si>
    <t>4710055</t>
  </si>
  <si>
    <t>LIGHTNING RIDGE - EURANGIE RD</t>
  </si>
  <si>
    <t>4710329</t>
  </si>
  <si>
    <t>PILLIGA - BURREN JUNCTION ROAD</t>
  </si>
  <si>
    <t>4780029</t>
  </si>
  <si>
    <t>WARREN - COONAMBLE RD.</t>
  </si>
  <si>
    <t>4780064</t>
  </si>
  <si>
    <t>WARREN - ELLENGERAH RD.</t>
  </si>
  <si>
    <t>4780070</t>
  </si>
  <si>
    <t>NYNGAN - MUNDADOO RD</t>
  </si>
  <si>
    <t>4790066</t>
  </si>
  <si>
    <t>ALEXANDER ST,COLLAROY</t>
  </si>
  <si>
    <t>4790075</t>
  </si>
  <si>
    <t>ALFRED ST,NARRAWEENA</t>
  </si>
  <si>
    <t>4790530</t>
  </si>
  <si>
    <t>HOWARD AVE,DEE WHY</t>
  </si>
  <si>
    <t>4790567</t>
  </si>
  <si>
    <t>FRENCHS FOREST-DAVIDSON</t>
  </si>
  <si>
    <t>4791721</t>
  </si>
  <si>
    <t>FISHER RD NORTH,CROMER</t>
  </si>
  <si>
    <t>4791796</t>
  </si>
  <si>
    <t>FRENCHS FOREST RD,FRENCHS FOREST</t>
  </si>
  <si>
    <t>4793191</t>
  </si>
  <si>
    <t>MELWOOD AVE,FORESTVILLE</t>
  </si>
  <si>
    <t>4793603</t>
  </si>
  <si>
    <t>OCEAN ST,NARRABEEN</t>
  </si>
  <si>
    <t>4793914</t>
  </si>
  <si>
    <t>DEE WHY-COLLAROY PLATEAU</t>
  </si>
  <si>
    <t>4794375</t>
  </si>
  <si>
    <t>STARKEY ST,FORESTVILLE</t>
  </si>
  <si>
    <t>4794764</t>
  </si>
  <si>
    <t>TRISTRAM RD,BEACON HILL</t>
  </si>
  <si>
    <t>4820315</t>
  </si>
  <si>
    <t>BLAIR ST, NORTH BONDI</t>
  </si>
  <si>
    <t>4820340</t>
  </si>
  <si>
    <t>BRONTE RD,BRONTE</t>
  </si>
  <si>
    <t>4822165</t>
  </si>
  <si>
    <t>HENRIETTA ST, WAVERLEY</t>
  </si>
  <si>
    <t>4822830</t>
  </si>
  <si>
    <t>BONDI BEACH-VAUCLUSE</t>
  </si>
  <si>
    <t>4824150</t>
  </si>
  <si>
    <t>OXFORD ST/NEWLAND ST, BONDI JUNCTION</t>
  </si>
  <si>
    <t>4840062</t>
  </si>
  <si>
    <t>GEURIE - ARTHURVILLE RD</t>
  </si>
  <si>
    <t>4900052</t>
  </si>
  <si>
    <t>CLEG ST/LAMBS RD, ARTARMON</t>
  </si>
  <si>
    <t>4900071</t>
  </si>
  <si>
    <t>ORCHARD RD, CHATSWOOD</t>
  </si>
  <si>
    <t>4900079</t>
  </si>
  <si>
    <t>HERBERT ST/HAMPDEN RD, ST LEONARDS</t>
  </si>
  <si>
    <t>4900094</t>
  </si>
  <si>
    <t>EDINBURGH RD, CASTLECRAG</t>
  </si>
  <si>
    <t>4900095</t>
  </si>
  <si>
    <t>DALLEYS RD/ELLA ST, ST LEONARDS</t>
  </si>
  <si>
    <t>4900099</t>
  </si>
  <si>
    <t>VICTORIA AVE, CHATSWOOD</t>
  </si>
  <si>
    <t>4900101</t>
  </si>
  <si>
    <t>CARLOTTA ST/RESERVE RD, ARTARMON</t>
  </si>
  <si>
    <t>4900120</t>
  </si>
  <si>
    <t>ARTARMON RD/ELIZABETH ST, ARTARMON</t>
  </si>
  <si>
    <t>4900124</t>
  </si>
  <si>
    <t>SAILORS BAY RD, NORTHBRIDGE</t>
  </si>
  <si>
    <t>4900133</t>
  </si>
  <si>
    <t>ARCHER ST, CHATSWOOD</t>
  </si>
  <si>
    <t>4900243</t>
  </si>
  <si>
    <t>MERRENBURN AVE, NAREMBURN</t>
  </si>
  <si>
    <t>4900249</t>
  </si>
  <si>
    <t>HAMPDEN/BRAND/MUTTAMA RD'S,ARTARMON</t>
  </si>
  <si>
    <t>4900315</t>
  </si>
  <si>
    <t>HELP ST, CHATSWOOD</t>
  </si>
  <si>
    <t>4900425</t>
  </si>
  <si>
    <t>CHRISTIE ST/NORTHCOTE ST, ST LEONARDS</t>
  </si>
  <si>
    <t>4902093</t>
  </si>
  <si>
    <t>WILLOUGHBY-WILLOUGHBY NORTH</t>
  </si>
  <si>
    <t>4950263</t>
  </si>
  <si>
    <t>FITZROY - ROBERTSON - KANGALOON</t>
  </si>
  <si>
    <t>4951427</t>
  </si>
  <si>
    <t>OLD HUME HIGHWAY (M/GONG TO BERRIMA)</t>
  </si>
  <si>
    <t>4951428</t>
  </si>
  <si>
    <t>BERRIMA ROAD, BERRIMA</t>
  </si>
  <si>
    <t>4951519</t>
  </si>
  <si>
    <t>BOWRAL STREET, BOWRAL</t>
  </si>
  <si>
    <t>4951529</t>
  </si>
  <si>
    <t>CENTENNIAL ROAD</t>
  </si>
  <si>
    <t>4951550</t>
  </si>
  <si>
    <t>FUNSTON STREET</t>
  </si>
  <si>
    <t>4951590</t>
  </si>
  <si>
    <t>OXLEY HILL ROAD</t>
  </si>
  <si>
    <t>4951615</t>
  </si>
  <si>
    <t>STATION STREET</t>
  </si>
  <si>
    <t>4951907</t>
  </si>
  <si>
    <t>ERIDGE PARK ROAD</t>
  </si>
  <si>
    <t>4952102</t>
  </si>
  <si>
    <t>CANYONLEIGH ROAD</t>
  </si>
  <si>
    <t>4952108</t>
  </si>
  <si>
    <t>TUGALONG RD</t>
  </si>
  <si>
    <t>4952211</t>
  </si>
  <si>
    <t>DRAPERS ROAD</t>
  </si>
  <si>
    <t>4952415</t>
  </si>
  <si>
    <t>OLD MR261 SHEEPWASH ROAD TO MOSS VALE</t>
  </si>
  <si>
    <t>4952503</t>
  </si>
  <si>
    <t>TOURIST ROAD, ROBERTSON TO BOWRAL</t>
  </si>
  <si>
    <t>4953369</t>
  </si>
  <si>
    <t>LACKEY ROAD, MOSS VALE</t>
  </si>
  <si>
    <t>4953379</t>
  </si>
  <si>
    <t>McCOURT ROAD, MOSS VALE</t>
  </si>
  <si>
    <t>4953408</t>
  </si>
  <si>
    <t>SUTTOR ROAD, MOSS VALE</t>
  </si>
  <si>
    <t>4954009</t>
  </si>
  <si>
    <t>MURRIMBA RD</t>
  </si>
  <si>
    <t>4954111</t>
  </si>
  <si>
    <t>4954114</t>
  </si>
  <si>
    <t>SIERRA ROAD</t>
  </si>
  <si>
    <t>4954353</t>
  </si>
  <si>
    <t>WILDE MEADOW RD</t>
  </si>
  <si>
    <t>4960160</t>
  </si>
  <si>
    <t>FARNSWORTH AVE</t>
  </si>
  <si>
    <t>4960164</t>
  </si>
  <si>
    <t>FINNS RD</t>
  </si>
  <si>
    <t>4960278</t>
  </si>
  <si>
    <t>MORTON PARK ROAD</t>
  </si>
  <si>
    <t>4960319</t>
  </si>
  <si>
    <t>MONTPELIER DRIVE (PREV THE OAKS ROADS)</t>
  </si>
  <si>
    <t>4960324</t>
  </si>
  <si>
    <t>4960427</t>
  </si>
  <si>
    <t>MALDON BRIDGE ROAD, MALDON</t>
  </si>
  <si>
    <t>4960480</t>
  </si>
  <si>
    <t>AVON DAM ROAD</t>
  </si>
  <si>
    <t>4960686</t>
  </si>
  <si>
    <t>4960703</t>
  </si>
  <si>
    <t>DOUGLAS PARK ROAD</t>
  </si>
  <si>
    <t>4960999</t>
  </si>
  <si>
    <t>ROAD TO AVON DAM</t>
  </si>
  <si>
    <t>4964001</t>
  </si>
  <si>
    <t>BURRAGORANG LOOKOUT ROAD</t>
  </si>
  <si>
    <t>4965032</t>
  </si>
  <si>
    <t>4970059</t>
  </si>
  <si>
    <t>ATCHISON STREET, WOLLONGONG</t>
  </si>
  <si>
    <t>4970063</t>
  </si>
  <si>
    <t>AUBURN STREET</t>
  </si>
  <si>
    <t>4970070</t>
  </si>
  <si>
    <t>AVONDALE ROAD</t>
  </si>
  <si>
    <t>4970075</t>
  </si>
  <si>
    <t>BALGOWNIE ROAD</t>
  </si>
  <si>
    <t>4970109</t>
  </si>
  <si>
    <t>BELLAMBI LANE</t>
  </si>
  <si>
    <t>4970112</t>
  </si>
  <si>
    <t>BELLEVUE ROAD</t>
  </si>
  <si>
    <t>4970124</t>
  </si>
  <si>
    <t>BERKELEY ROAD</t>
  </si>
  <si>
    <t>4970146</t>
  </si>
  <si>
    <t>BONG BONG ROAD</t>
  </si>
  <si>
    <t>4970165</t>
  </si>
  <si>
    <t>BRIDGE STREET</t>
  </si>
  <si>
    <t>4970173</t>
  </si>
  <si>
    <t>BROMPTON ROAD, BELLAMBI</t>
  </si>
  <si>
    <t>4970201</t>
  </si>
  <si>
    <t>BURELLI STREET</t>
  </si>
  <si>
    <t>4970210</t>
  </si>
  <si>
    <t>CABBAGE TREE LANE</t>
  </si>
  <si>
    <t>4970239</t>
  </si>
  <si>
    <t>CARTERS LANE</t>
  </si>
  <si>
    <t>4970247</t>
  </si>
  <si>
    <t>CENTRAL ROAD, UNANDERRA</t>
  </si>
  <si>
    <t>4970265</t>
  </si>
  <si>
    <t>CHURCH STREET</t>
  </si>
  <si>
    <t>4970269</t>
  </si>
  <si>
    <t>CLEVELAND ROAD</t>
  </si>
  <si>
    <t>4970298</t>
  </si>
  <si>
    <t>CORDEAUX ROAD</t>
  </si>
  <si>
    <t>4970316</t>
  </si>
  <si>
    <t>COWPER ST KEMBLAWARRA</t>
  </si>
  <si>
    <t>4970328</t>
  </si>
  <si>
    <t>CROWN STREET EAST, WOLLONGONG</t>
  </si>
  <si>
    <t>4970346</t>
  </si>
  <si>
    <t>DARKES ROAD, DAPTO</t>
  </si>
  <si>
    <t>4970357</t>
  </si>
  <si>
    <t>DENNISON STREET, WOLLONGONG</t>
  </si>
  <si>
    <t>4970413</t>
  </si>
  <si>
    <t>ELLIOTS RD FAIRY MEADOW</t>
  </si>
  <si>
    <t>4970416</t>
  </si>
  <si>
    <t>EMERSON ROAD</t>
  </si>
  <si>
    <t>4970432</t>
  </si>
  <si>
    <t>FARMBOROUGH ROAD</t>
  </si>
  <si>
    <t>4970433</t>
  </si>
  <si>
    <t>FARRELL RD BULLI</t>
  </si>
  <si>
    <t>4970446</t>
  </si>
  <si>
    <t>FISHER STREET, WEST WOLLONGONG</t>
  </si>
  <si>
    <t>4970453</t>
  </si>
  <si>
    <t>FLAGSTAFF ROAD</t>
  </si>
  <si>
    <t>4970460</t>
  </si>
  <si>
    <t>FOLEY ROAD, GWYNNEVILLE</t>
  </si>
  <si>
    <t>4970467</t>
  </si>
  <si>
    <t>FORESHORE ROAD, PORT KEMBLA</t>
  </si>
  <si>
    <t>4970475</t>
  </si>
  <si>
    <t>FOWLERS ROAD</t>
  </si>
  <si>
    <t>4970508</t>
  </si>
  <si>
    <t>GEORGE HANDLEY DRIVE</t>
  </si>
  <si>
    <t>4970510</t>
  </si>
  <si>
    <t>GIPPS ROAD</t>
  </si>
  <si>
    <t>4970516</t>
  </si>
  <si>
    <t>GLADSTONE AVE</t>
  </si>
  <si>
    <t>4970520</t>
  </si>
  <si>
    <t>GLASTONBURY AVENUE</t>
  </si>
  <si>
    <t>4970588</t>
  </si>
  <si>
    <t>HARVEY STREET</t>
  </si>
  <si>
    <t>4970664</t>
  </si>
  <si>
    <t>OTFORD ROAD</t>
  </si>
  <si>
    <t>4970665</t>
  </si>
  <si>
    <t>ILLAWARRA ROAD</t>
  </si>
  <si>
    <t>4970721</t>
  </si>
  <si>
    <t>KANAHOOKA ROAD</t>
  </si>
  <si>
    <t>4970732</t>
  </si>
  <si>
    <t>KEIRA STREET</t>
  </si>
  <si>
    <t>4970740</t>
  </si>
  <si>
    <t>KEMBLA STREET, WOLLONGONG</t>
  </si>
  <si>
    <t>4970784</t>
  </si>
  <si>
    <t>LAKE AVE, CRINGILA</t>
  </si>
  <si>
    <t>4970788</t>
  </si>
  <si>
    <t>LAKESIDE DRIVE</t>
  </si>
  <si>
    <t>4970874</t>
  </si>
  <si>
    <t>MARSHALL MOUNT ROAD</t>
  </si>
  <si>
    <t>4970915</t>
  </si>
  <si>
    <t>MERCURY STREET, GWYNNEVILLE</t>
  </si>
  <si>
    <t>4970920</t>
  </si>
  <si>
    <t>MILITARY ROAD</t>
  </si>
  <si>
    <t>4970954</t>
  </si>
  <si>
    <t>MT KEIRA ROAD</t>
  </si>
  <si>
    <t>4970978</t>
  </si>
  <si>
    <t>NEW DAPTO RD</t>
  </si>
  <si>
    <t>4970979</t>
  </si>
  <si>
    <t>NEW MT PLEASANT RD</t>
  </si>
  <si>
    <t>4970986</t>
  </si>
  <si>
    <t>NOLAN STREET</t>
  </si>
  <si>
    <t>4970992</t>
  </si>
  <si>
    <t>NORTHCLIFFE DRIVE</t>
  </si>
  <si>
    <t>4971005</t>
  </si>
  <si>
    <t>O'BRIENS ROAD</t>
  </si>
  <si>
    <t>4971052</t>
  </si>
  <si>
    <t>PARK ROAD, WOONONA</t>
  </si>
  <si>
    <t>4971057</t>
  </si>
  <si>
    <t>PARKES STREET</t>
  </si>
  <si>
    <t>4971073</t>
  </si>
  <si>
    <t>PHILLIPS AVENUE, WEST WOLLONGONG</t>
  </si>
  <si>
    <t>4971079</t>
  </si>
  <si>
    <t>PIONEER ROAD</t>
  </si>
  <si>
    <t>4971083</t>
  </si>
  <si>
    <t>POINT STREET</t>
  </si>
  <si>
    <t>4971094</t>
  </si>
  <si>
    <t>OLD PRINCES HWY, BELLAMBI-MT OUSLEY RD</t>
  </si>
  <si>
    <t>4971134</t>
  </si>
  <si>
    <t>RAILWAY ST, CORRIMAL</t>
  </si>
  <si>
    <t>4971136</t>
  </si>
  <si>
    <t>RAILWAY PARADE, WOLLONGONG</t>
  </si>
  <si>
    <t>4971153</t>
  </si>
  <si>
    <t>RESERVE STREET</t>
  </si>
  <si>
    <t>4971177</t>
  </si>
  <si>
    <t>ROBSONS RD, GWYNNEVILLE</t>
  </si>
  <si>
    <t>4971189</t>
  </si>
  <si>
    <t>ROTHERY ST</t>
  </si>
  <si>
    <t>4971232</t>
  </si>
  <si>
    <t>SHELLHARBOUR RD</t>
  </si>
  <si>
    <t>4971247</t>
  </si>
  <si>
    <t>SMITH ST, WOLLONGONG</t>
  </si>
  <si>
    <t>4971248</t>
  </si>
  <si>
    <t>HARRY GRAHAM DRIVE</t>
  </si>
  <si>
    <t>4971264</t>
  </si>
  <si>
    <t>SQUIRES WAY</t>
  </si>
  <si>
    <t>4971284</t>
  </si>
  <si>
    <t>STATION ST, WOLLONGONG</t>
  </si>
  <si>
    <t>4971317</t>
  </si>
  <si>
    <t>SWAN ST, CONISTON</t>
  </si>
  <si>
    <t>4971340</t>
  </si>
  <si>
    <t>THE AVENUE, FIGTREE</t>
  </si>
  <si>
    <t>4971371</t>
  </si>
  <si>
    <t>TOWRADGI ROAD</t>
  </si>
  <si>
    <t>4971406</t>
  </si>
  <si>
    <t>VIRGINIA STREET, NORTH WOLLONGONG</t>
  </si>
  <si>
    <t>4971413</t>
  </si>
  <si>
    <t>WALKER STREET</t>
  </si>
  <si>
    <t>4971439</t>
  </si>
  <si>
    <t>WEST DAPTO ROAD</t>
  </si>
  <si>
    <t>4971500</t>
  </si>
  <si>
    <t>YORK RD, BELLAMBI</t>
  </si>
  <si>
    <t>4971511</t>
  </si>
  <si>
    <t>THOMPSON STREET</t>
  </si>
  <si>
    <t>4972041</t>
  </si>
  <si>
    <t>CHRISTY DRIVE, PORT KEMBLA</t>
  </si>
  <si>
    <t>4972127</t>
  </si>
  <si>
    <t>HUNTLEY ROAD</t>
  </si>
  <si>
    <t>4972202</t>
  </si>
  <si>
    <t>THROSBY DRIVE</t>
  </si>
  <si>
    <t>4972287</t>
  </si>
  <si>
    <t>UNIVERSITY AVENUE</t>
  </si>
  <si>
    <t>4972294</t>
  </si>
  <si>
    <t>WATTLE STREET</t>
  </si>
  <si>
    <t>4972322</t>
  </si>
  <si>
    <t>DRUMMOND STREET</t>
  </si>
  <si>
    <t>4972361</t>
  </si>
  <si>
    <t>CLIVE BISSELL DRIVE, MOUNT OUSLEY</t>
  </si>
  <si>
    <t>4972362</t>
  </si>
  <si>
    <t>QUEEN ELIZABETH DRIVE</t>
  </si>
  <si>
    <t>4979999</t>
  </si>
  <si>
    <t>GRAIN TERMINAL ROAD</t>
  </si>
  <si>
    <t>4990034</t>
  </si>
  <si>
    <t>BELLEVUE RD, BELLEVUE HILL</t>
  </si>
  <si>
    <t>4990132</t>
  </si>
  <si>
    <t>DOVER RD, ROSE BAY</t>
  </si>
  <si>
    <t>4990148</t>
  </si>
  <si>
    <t>BONDI JUNCTION-EDGECLIFFE</t>
  </si>
  <si>
    <t>4990173</t>
  </si>
  <si>
    <t>VAUCLUSE-WATSONS BAY</t>
  </si>
  <si>
    <t>4990191</t>
  </si>
  <si>
    <t>PADDINGTON-EDGECLIFF</t>
  </si>
  <si>
    <t>4990203</t>
  </si>
  <si>
    <t>GREENOAKS AVE, DARLING POINT</t>
  </si>
  <si>
    <t>4990253</t>
  </si>
  <si>
    <t>JERSEY RD/HARGRAVE ST, PADDINGTON</t>
  </si>
  <si>
    <t>4990300</t>
  </si>
  <si>
    <t>MANNING RD, DOUBLE BAY</t>
  </si>
  <si>
    <t>4990315</t>
  </si>
  <si>
    <t>RUSHCUTTERS BAY-DARLING POINT</t>
  </si>
  <si>
    <t>4990327</t>
  </si>
  <si>
    <t>NEW BEACH ROAD, DARLING POINT</t>
  </si>
  <si>
    <t>4990328</t>
  </si>
  <si>
    <t>NEWCASTLE ST, ROSE BAY</t>
  </si>
  <si>
    <t>4990373</t>
  </si>
  <si>
    <t>QUEEN ST, WOOLLAHRA</t>
  </si>
  <si>
    <t>4990462</t>
  </si>
  <si>
    <t>VAUCLUSE RD, VAUCLUSE</t>
  </si>
  <si>
    <t>4990470</t>
  </si>
  <si>
    <t>VICTORIA RD, BELLEVUE HILL</t>
  </si>
  <si>
    <t>5021995</t>
  </si>
  <si>
    <t>EUROLEY RD</t>
  </si>
  <si>
    <t>5030680</t>
  </si>
  <si>
    <t>GRIFFITH TO LEARMONTH</t>
  </si>
  <si>
    <t>5050100</t>
  </si>
  <si>
    <t>DOG TRAP ROAD</t>
  </si>
  <si>
    <t>5050200</t>
  </si>
  <si>
    <t>TOOHEYS ROAD</t>
  </si>
  <si>
    <t>5050944</t>
  </si>
  <si>
    <t>5050955</t>
  </si>
  <si>
    <t>VALES POINT ROAD</t>
  </si>
  <si>
    <t>5051044</t>
  </si>
  <si>
    <t>WYONG CREEK ROAD</t>
  </si>
  <si>
    <t>5056003</t>
  </si>
  <si>
    <t>ACCESS ROAD</t>
  </si>
  <si>
    <t>5058001</t>
  </si>
  <si>
    <t>OURIMBAH RBT TO TUGGERAH INT (OLD SH10)</t>
  </si>
  <si>
    <t>5140104</t>
  </si>
  <si>
    <t>BUNGENDORE - GUNDAROO RD</t>
  </si>
  <si>
    <t>5150084</t>
  </si>
  <si>
    <t>LEAKE ST - BOWNING TEMORA RD</t>
  </si>
  <si>
    <t>5150550</t>
  </si>
  <si>
    <t>COOLALIE ROAD</t>
  </si>
  <si>
    <t>5150810</t>
  </si>
  <si>
    <t>FAULDER ROAD</t>
  </si>
  <si>
    <t>5152320</t>
  </si>
  <si>
    <t>WARGEILA ROAD</t>
  </si>
  <si>
    <t>9000190</t>
  </si>
  <si>
    <t>NEW ILLAWARRA ROAD (NORTH SOUTH LINK)</t>
  </si>
  <si>
    <t>9000663</t>
  </si>
  <si>
    <t>BANGOR BYPASS</t>
  </si>
  <si>
    <t>9000750</t>
  </si>
  <si>
    <t>NEW ROAD - NORTHERN REGION</t>
  </si>
  <si>
    <t>9007783</t>
  </si>
  <si>
    <t>BALLINA - HW10 CONNECTION</t>
  </si>
  <si>
    <t>9700110</t>
  </si>
  <si>
    <t>BOBEYAN ROAD</t>
  </si>
  <si>
    <t>9700310</t>
  </si>
  <si>
    <t>SHANNONS FLAT ROAD</t>
  </si>
  <si>
    <t>9700470</t>
  </si>
  <si>
    <t>JERANGLE RD, BREDBO (PART LENGTH)</t>
  </si>
  <si>
    <t>9700500</t>
  </si>
  <si>
    <t>JONES PLAIN ROAD</t>
  </si>
  <si>
    <t>9700580</t>
  </si>
  <si>
    <t>MITTAGANG ROAD (RURAL)</t>
  </si>
  <si>
    <t>9702150</t>
  </si>
  <si>
    <t>MITTAGANG ROAD (URBAN)</t>
  </si>
  <si>
    <t>9999004</t>
  </si>
  <si>
    <t>ALBURY LGA</t>
  </si>
  <si>
    <t>9999009</t>
  </si>
  <si>
    <t>ARMIDALE LGA</t>
  </si>
  <si>
    <t>9999010</t>
  </si>
  <si>
    <t>ASHFIELD</t>
  </si>
  <si>
    <t>9999012</t>
  </si>
  <si>
    <t>AUBURN LGA</t>
  </si>
  <si>
    <t>9999023</t>
  </si>
  <si>
    <t>BALLINA LGA</t>
  </si>
  <si>
    <t>9999025</t>
  </si>
  <si>
    <t>BALRANALD LGA</t>
  </si>
  <si>
    <t>9999026</t>
  </si>
  <si>
    <t>BANKSTOWN LGA</t>
  </si>
  <si>
    <t>9999029</t>
  </si>
  <si>
    <t>BARRABA LGA</t>
  </si>
  <si>
    <t>9999030</t>
  </si>
  <si>
    <t>BATHURST LGA</t>
  </si>
  <si>
    <t>9999031</t>
  </si>
  <si>
    <t>BAULKHAM HILLS LGA</t>
  </si>
  <si>
    <t>9999032</t>
  </si>
  <si>
    <t>BEGA VALLEY LGA</t>
  </si>
  <si>
    <t>9999033</t>
  </si>
  <si>
    <t>BELLINGEN LGA</t>
  </si>
  <si>
    <t>9999034</t>
  </si>
  <si>
    <t>BERRIGAN LGA</t>
  </si>
  <si>
    <t>9999038</t>
  </si>
  <si>
    <t>BINGARA LGA</t>
  </si>
  <si>
    <t>9999040</t>
  </si>
  <si>
    <t>BLACKTOWN LGA</t>
  </si>
  <si>
    <t>9999041</t>
  </si>
  <si>
    <t>BLAND LGA</t>
  </si>
  <si>
    <t>9999043</t>
  </si>
  <si>
    <t>BLAYNEY LGA</t>
  </si>
  <si>
    <t>9999044</t>
  </si>
  <si>
    <t>BLUE MOUNTAINS LGA</t>
  </si>
  <si>
    <t>9999045</t>
  </si>
  <si>
    <t>BOGAN LGA</t>
  </si>
  <si>
    <t>9999047</t>
  </si>
  <si>
    <t>BOMBALA LGA</t>
  </si>
  <si>
    <t>9999051</t>
  </si>
  <si>
    <t>BOTANY LGA</t>
  </si>
  <si>
    <t>9999055</t>
  </si>
  <si>
    <t>BREWARRINA LGA</t>
  </si>
  <si>
    <t>9999056</t>
  </si>
  <si>
    <t>BROKEN HILL (CITY) LGA</t>
  </si>
  <si>
    <t>9999060</t>
  </si>
  <si>
    <t>BOOROWA LGA</t>
  </si>
  <si>
    <t>9999061</t>
  </si>
  <si>
    <t>BURWOOD LGA</t>
  </si>
  <si>
    <t>9999062</t>
  </si>
  <si>
    <t>BYRON LGA</t>
  </si>
  <si>
    <t>9999063</t>
  </si>
  <si>
    <t>BROKEN HILL (DIST) LGA</t>
  </si>
  <si>
    <t>9999072</t>
  </si>
  <si>
    <t>CABONNE LGA</t>
  </si>
  <si>
    <t>9999075</t>
  </si>
  <si>
    <t>CAMDEN LGA</t>
  </si>
  <si>
    <t>9999076</t>
  </si>
  <si>
    <t>CAMBELLTOWN LGA</t>
  </si>
  <si>
    <t>9999078</t>
  </si>
  <si>
    <t>CANTERBURY LGA</t>
  </si>
  <si>
    <t>9999080</t>
  </si>
  <si>
    <t>CARRATHOOL LGA</t>
  </si>
  <si>
    <t>9999082</t>
  </si>
  <si>
    <t>CASINO LGA</t>
  </si>
  <si>
    <t>9999085</t>
  </si>
  <si>
    <t>GREATER CESSNOCK LGA</t>
  </si>
  <si>
    <t>9999088</t>
  </si>
  <si>
    <t>COBAR LGA</t>
  </si>
  <si>
    <t>9999089</t>
  </si>
  <si>
    <t>SYDNEY-UNCLAS RD</t>
  </si>
  <si>
    <t>9999090</t>
  </si>
  <si>
    <t>ILLAWARRA-UNCLAS RD</t>
  </si>
  <si>
    <t>9999091</t>
  </si>
  <si>
    <t>HAWKESBURY LGA</t>
  </si>
  <si>
    <t>9999092</t>
  </si>
  <si>
    <t>CONARGO LGA</t>
  </si>
  <si>
    <t>9999093</t>
  </si>
  <si>
    <t>CONCORD LGA</t>
  </si>
  <si>
    <t>9999094</t>
  </si>
  <si>
    <t>UPPER NORTHERN-UNCLAS RD</t>
  </si>
  <si>
    <t>9999095</t>
  </si>
  <si>
    <t>COOLAH LGA</t>
  </si>
  <si>
    <t>9999096</t>
  </si>
  <si>
    <t>COOLAMON LGA</t>
  </si>
  <si>
    <t>9999097</t>
  </si>
  <si>
    <t>COOMA-MONARO LGA</t>
  </si>
  <si>
    <t>9999098</t>
  </si>
  <si>
    <t>WARRUMBUNGLE LGA</t>
  </si>
  <si>
    <t>9999099</t>
  </si>
  <si>
    <t>COONAMBLE LGA</t>
  </si>
  <si>
    <t>9999100</t>
  </si>
  <si>
    <t>COOTAMUNDRA LGA</t>
  </si>
  <si>
    <t>9999101</t>
  </si>
  <si>
    <t>COPMANHURST LGA</t>
  </si>
  <si>
    <t>9999102</t>
  </si>
  <si>
    <t>MURRAY DARLING-UNCLAS RD</t>
  </si>
  <si>
    <t>9999104</t>
  </si>
  <si>
    <t>COROWA LGA</t>
  </si>
  <si>
    <t>9999105</t>
  </si>
  <si>
    <t>COWRA LGA</t>
  </si>
  <si>
    <t>9999106</t>
  </si>
  <si>
    <t>CROOKWELL LGA</t>
  </si>
  <si>
    <t>9999108</t>
  </si>
  <si>
    <t>CULCAIRN LGA</t>
  </si>
  <si>
    <t>9999109</t>
  </si>
  <si>
    <t>BOURKE LGA</t>
  </si>
  <si>
    <t>9999110</t>
  </si>
  <si>
    <t>COFFS HARBOUR LGA</t>
  </si>
  <si>
    <t>9999111</t>
  </si>
  <si>
    <t>CENTRAL DARLING LGA</t>
  </si>
  <si>
    <t>9999119</t>
  </si>
  <si>
    <t>SNOWY RIVER LGA</t>
  </si>
  <si>
    <t>9999122</t>
  </si>
  <si>
    <t>DENILIQUIN LGA</t>
  </si>
  <si>
    <t>9999124</t>
  </si>
  <si>
    <t>DRUMMOYNE LGA</t>
  </si>
  <si>
    <t>9999125</t>
  </si>
  <si>
    <t>DUBBO LGA</t>
  </si>
  <si>
    <t>9999126</t>
  </si>
  <si>
    <t>DUMARESQ LGA</t>
  </si>
  <si>
    <t>9999128</t>
  </si>
  <si>
    <t>DUNGOG LGA</t>
  </si>
  <si>
    <t>9999145</t>
  </si>
  <si>
    <t>EUROBODALLA LGA</t>
  </si>
  <si>
    <t>9999146</t>
  </si>
  <si>
    <t>EVANS LGA</t>
  </si>
  <si>
    <t>9999156</t>
  </si>
  <si>
    <t>FAIRFIELD LGA</t>
  </si>
  <si>
    <t>9999157</t>
  </si>
  <si>
    <t>FORBES LGA</t>
  </si>
  <si>
    <t>9999165</t>
  </si>
  <si>
    <t>GILGANDRA LGA</t>
  </si>
  <si>
    <t>9999167</t>
  </si>
  <si>
    <t>GLEN INNES LGA</t>
  </si>
  <si>
    <t>9999168</t>
  </si>
  <si>
    <t>GLOUCESTER LGA</t>
  </si>
  <si>
    <t>9999172</t>
  </si>
  <si>
    <t>GOULBURN LGA</t>
  </si>
  <si>
    <t>9999173</t>
  </si>
  <si>
    <t>GRAFTON LGA</t>
  </si>
  <si>
    <t>9999178</t>
  </si>
  <si>
    <t>GUNDAGAI LGA</t>
  </si>
  <si>
    <t>9999180</t>
  </si>
  <si>
    <t>GUNNEDAH LGA</t>
  </si>
  <si>
    <t>9999181</t>
  </si>
  <si>
    <t>GUNNING LGA</t>
  </si>
  <si>
    <t>9999182</t>
  </si>
  <si>
    <t>GUYRA LGA</t>
  </si>
  <si>
    <t>9999184</t>
  </si>
  <si>
    <t>GOSFORD LGA</t>
  </si>
  <si>
    <t>9999196</t>
  </si>
  <si>
    <t>HASTINGS LGA</t>
  </si>
  <si>
    <t>9999197</t>
  </si>
  <si>
    <t>HAY LGA</t>
  </si>
  <si>
    <t>9999199</t>
  </si>
  <si>
    <t>HOLBROOK LGA</t>
  </si>
  <si>
    <t>9999201</t>
  </si>
  <si>
    <t>HORNSBY LGA</t>
  </si>
  <si>
    <t>9999202</t>
  </si>
  <si>
    <t>HUME LGA</t>
  </si>
  <si>
    <t>9999203</t>
  </si>
  <si>
    <t>HUNTERS HILL LGA</t>
  </si>
  <si>
    <t>9999204</t>
  </si>
  <si>
    <t>HURSTVILLE LGA</t>
  </si>
  <si>
    <t>9999205</t>
  </si>
  <si>
    <t>HOLROYD LGA</t>
  </si>
  <si>
    <t>9999206</t>
  </si>
  <si>
    <t>HARDEN LGA</t>
  </si>
  <si>
    <t>9999218</t>
  </si>
  <si>
    <t>INVERELL LGA</t>
  </si>
  <si>
    <t>9999226</t>
  </si>
  <si>
    <t>JERILDERIE LGA</t>
  </si>
  <si>
    <t>9999228</t>
  </si>
  <si>
    <t>JUNEE LGA</t>
  </si>
  <si>
    <t>9999235</t>
  </si>
  <si>
    <t>KEMPSEY LGA</t>
  </si>
  <si>
    <t>9999236</t>
  </si>
  <si>
    <t>KIAMA LGA</t>
  </si>
  <si>
    <t>9999237</t>
  </si>
  <si>
    <t>KOGARAH LGA</t>
  </si>
  <si>
    <t>9999238</t>
  </si>
  <si>
    <t>KU-RING-GAI LGA</t>
  </si>
  <si>
    <t>9999240</t>
  </si>
  <si>
    <t>KYOGLE LGA</t>
  </si>
  <si>
    <t>9999251</t>
  </si>
  <si>
    <t>LACHLAN LGA</t>
  </si>
  <si>
    <t>9999252</t>
  </si>
  <si>
    <t>LAKE MACQUARIE LGA</t>
  </si>
  <si>
    <t>9999254</t>
  </si>
  <si>
    <t>LANE COVE LGA</t>
  </si>
  <si>
    <t>9999255</t>
  </si>
  <si>
    <t>LEICHHARDT LGA</t>
  </si>
  <si>
    <t>9999257</t>
  </si>
  <si>
    <t>LISMORE LGA</t>
  </si>
  <si>
    <t>9999258</t>
  </si>
  <si>
    <t>GREATER LITHGOW LGA</t>
  </si>
  <si>
    <t>9999259</t>
  </si>
  <si>
    <t>LIVERPOOL LGA</t>
  </si>
  <si>
    <t>9999261</t>
  </si>
  <si>
    <t>LOCKHART LGA</t>
  </si>
  <si>
    <t>9999274</t>
  </si>
  <si>
    <t>MACLEAN LGA</t>
  </si>
  <si>
    <t>9999278</t>
  </si>
  <si>
    <t>MANILLA LGA</t>
  </si>
  <si>
    <t>9999279</t>
  </si>
  <si>
    <t>MANLY LGA</t>
  </si>
  <si>
    <t>9999281</t>
  </si>
  <si>
    <t>MARRICKVILLE LGA</t>
  </si>
  <si>
    <t>9999285</t>
  </si>
  <si>
    <t>MERRIWA LGA</t>
  </si>
  <si>
    <t>9999291</t>
  </si>
  <si>
    <t>MOREE PLAINS LGA</t>
  </si>
  <si>
    <t>9999293</t>
  </si>
  <si>
    <t>MOSMAN LGA</t>
  </si>
  <si>
    <t>9999295</t>
  </si>
  <si>
    <t>MUDGEE LGA</t>
  </si>
  <si>
    <t>9999297</t>
  </si>
  <si>
    <t>MULWAREE LGA</t>
  </si>
  <si>
    <t>9999299</t>
  </si>
  <si>
    <t>MURRAY LGA</t>
  </si>
  <si>
    <t>9999300</t>
  </si>
  <si>
    <t>MURRUMBIDGEE LGA</t>
  </si>
  <si>
    <t>9999303</t>
  </si>
  <si>
    <t>MURRURUNDI LGA</t>
  </si>
  <si>
    <t>9999305</t>
  </si>
  <si>
    <t>MUSWELLBROOK LGA</t>
  </si>
  <si>
    <t>9999307</t>
  </si>
  <si>
    <t>MAITLAND LGA</t>
  </si>
  <si>
    <t>9999308</t>
  </si>
  <si>
    <t>MID WESTERN REGIONAL LGA</t>
  </si>
  <si>
    <t>9999317</t>
  </si>
  <si>
    <t>NAMBUCCA LGA</t>
  </si>
  <si>
    <t>9999319</t>
  </si>
  <si>
    <t>NARRABRI LGA</t>
  </si>
  <si>
    <t>9999321</t>
  </si>
  <si>
    <t>NARRANDERA LGA</t>
  </si>
  <si>
    <t>9999322</t>
  </si>
  <si>
    <t>NARROMINE LGA</t>
  </si>
  <si>
    <t>9999325</t>
  </si>
  <si>
    <t>NEWCASTLE LGA</t>
  </si>
  <si>
    <t>9999329</t>
  </si>
  <si>
    <t>NORTH SYDNEY LGA</t>
  </si>
  <si>
    <t>9999331</t>
  </si>
  <si>
    <t>NUNDLE LGA</t>
  </si>
  <si>
    <t>9999332</t>
  </si>
  <si>
    <t>NYMBOIDA LGA</t>
  </si>
  <si>
    <t>9999344</t>
  </si>
  <si>
    <t>OBERON LGA</t>
  </si>
  <si>
    <t>9999345</t>
  </si>
  <si>
    <t>ORANGE LGA</t>
  </si>
  <si>
    <t>9999353</t>
  </si>
  <si>
    <t>PARKES LGA</t>
  </si>
  <si>
    <t>9999354</t>
  </si>
  <si>
    <t>PARRAMATTA LGA</t>
  </si>
  <si>
    <t>9999358</t>
  </si>
  <si>
    <t>PENRITH LGA</t>
  </si>
  <si>
    <t>9999362</t>
  </si>
  <si>
    <t>PORT STEPHENS LGA</t>
  </si>
  <si>
    <t>9999364</t>
  </si>
  <si>
    <t>PARRY LGA</t>
  </si>
  <si>
    <t>9999366</t>
  </si>
  <si>
    <t>PITTWATER LGA</t>
  </si>
  <si>
    <t>9999374</t>
  </si>
  <si>
    <t>QUEANBEYAN LGA</t>
  </si>
  <si>
    <t>9999375</t>
  </si>
  <si>
    <t>QUIRINDI LGA</t>
  </si>
  <si>
    <t>9999381</t>
  </si>
  <si>
    <t>RANDWICK LGA</t>
  </si>
  <si>
    <t>9999386</t>
  </si>
  <si>
    <t>ROCKDALE LGA</t>
  </si>
  <si>
    <t>9999387</t>
  </si>
  <si>
    <t>RYDE LGA</t>
  </si>
  <si>
    <t>9999388</t>
  </si>
  <si>
    <t>RYLSTONE LGA</t>
  </si>
  <si>
    <t>9999389</t>
  </si>
  <si>
    <t>RICHMOND RIVER LGA</t>
  </si>
  <si>
    <t>9999399</t>
  </si>
  <si>
    <t>SCONE LGA</t>
  </si>
  <si>
    <t>9999400</t>
  </si>
  <si>
    <t>SEVERN LGA</t>
  </si>
  <si>
    <t>9999401</t>
  </si>
  <si>
    <t>SHELLHARBOUR LGA</t>
  </si>
  <si>
    <t>9999402</t>
  </si>
  <si>
    <t>SINGLETON LGA</t>
  </si>
  <si>
    <t>9999404</t>
  </si>
  <si>
    <t>SHOALHAVEN LGA</t>
  </si>
  <si>
    <t>9999409</t>
  </si>
  <si>
    <t>STRATHFIELD LGA</t>
  </si>
  <si>
    <t>9999410</t>
  </si>
  <si>
    <t>GREAT LAKES LGA</t>
  </si>
  <si>
    <t>9999411</t>
  </si>
  <si>
    <t>SUTHERLAND LGA</t>
  </si>
  <si>
    <t>9999412</t>
  </si>
  <si>
    <t>SYDNEY LGA</t>
  </si>
  <si>
    <t>9999413</t>
  </si>
  <si>
    <t>SOUTH SYDNEY LGA</t>
  </si>
  <si>
    <t>9999423</t>
  </si>
  <si>
    <t>TALLAGANDA LGA</t>
  </si>
  <si>
    <t>9999425</t>
  </si>
  <si>
    <t>TAMWORTH LGA</t>
  </si>
  <si>
    <t>9999426</t>
  </si>
  <si>
    <t>GREATER TAREE LGA</t>
  </si>
  <si>
    <t>9999428</t>
  </si>
  <si>
    <t>TEMORA LGA</t>
  </si>
  <si>
    <t>9999430</t>
  </si>
  <si>
    <t>TENTERFIELD LGA</t>
  </si>
  <si>
    <t>9999435</t>
  </si>
  <si>
    <t>TUMBARUMBA LGA</t>
  </si>
  <si>
    <t>9999438</t>
  </si>
  <si>
    <t>TWEED LGA</t>
  </si>
  <si>
    <t>9999439</t>
  </si>
  <si>
    <t>TUMUT LGA</t>
  </si>
  <si>
    <t>9999450</t>
  </si>
  <si>
    <t>ULMARRA LGA</t>
  </si>
  <si>
    <t>9999452</t>
  </si>
  <si>
    <t>URALLA LGA</t>
  </si>
  <si>
    <t>9999453</t>
  </si>
  <si>
    <t>URANA LGA</t>
  </si>
  <si>
    <t>9999468</t>
  </si>
  <si>
    <t>WAGGA WAGGA LGA</t>
  </si>
  <si>
    <t>9999469</t>
  </si>
  <si>
    <t>WAKOOL LGA</t>
  </si>
  <si>
    <t>9999470</t>
  </si>
  <si>
    <t>WALCHA LGA</t>
  </si>
  <si>
    <t>9999471</t>
  </si>
  <si>
    <t>WALGETT LGA</t>
  </si>
  <si>
    <t>9999478</t>
  </si>
  <si>
    <t>WARREN LGA</t>
  </si>
  <si>
    <t>9999479</t>
  </si>
  <si>
    <t>WARRINGAH LGA</t>
  </si>
  <si>
    <t>9999482</t>
  </si>
  <si>
    <t>WAVERLEY LGA</t>
  </si>
  <si>
    <t>9999483</t>
  </si>
  <si>
    <t>WEDDIN LGA</t>
  </si>
  <si>
    <t>9999484</t>
  </si>
  <si>
    <t>WELLINGTON LGA</t>
  </si>
  <si>
    <t>9999485</t>
  </si>
  <si>
    <t>WENTWORTH LGA RD</t>
  </si>
  <si>
    <t>9999490</t>
  </si>
  <si>
    <t>WILLOUGHBY LGA</t>
  </si>
  <si>
    <t>9999491</t>
  </si>
  <si>
    <t>WINDOURAN LGA</t>
  </si>
  <si>
    <t>9999495</t>
  </si>
  <si>
    <t>WINGECARRIBEE LGA</t>
  </si>
  <si>
    <t>9999496</t>
  </si>
  <si>
    <t>WOLLONDILLY LGA</t>
  </si>
  <si>
    <t>9999497</t>
  </si>
  <si>
    <t>WOLLONGONG LGA</t>
  </si>
  <si>
    <t>9999499</t>
  </si>
  <si>
    <t>WOOLLAHRA LGA</t>
  </si>
  <si>
    <t>9999502</t>
  </si>
  <si>
    <t>LEETON LGA</t>
  </si>
  <si>
    <t>9999503</t>
  </si>
  <si>
    <t>GRIFFITH LGA</t>
  </si>
  <si>
    <t>9999505</t>
  </si>
  <si>
    <t>WYONG LGA</t>
  </si>
  <si>
    <t>9999512</t>
  </si>
  <si>
    <t>YALLAROI LGA</t>
  </si>
  <si>
    <t>9999515</t>
  </si>
  <si>
    <t>YASS LGA</t>
  </si>
  <si>
    <t>9999516</t>
  </si>
  <si>
    <t>YOUNG LGA</t>
  </si>
  <si>
    <t>SELECT STRUCTURE_ID</t>
  </si>
  <si>
    <t>ADDITIONAL_NOTES</t>
  </si>
  <si>
    <t>REGION_CODE</t>
  </si>
  <si>
    <t>ZONE_ID</t>
  </si>
  <si>
    <t>BRIDGE_CWY_WID</t>
  </si>
  <si>
    <t>APPROACH_CWY_WID</t>
  </si>
  <si>
    <t>REDUCTION_FACTOR_K</t>
  </si>
  <si>
    <t>SIGN_POSTED</t>
  </si>
  <si>
    <t>S1_DEFAULTED</t>
  </si>
  <si>
    <t>S2_DEFAULTED</t>
  </si>
  <si>
    <t>MIN_VC</t>
  </si>
  <si>
    <t>MIN_VC_RD_NO</t>
  </si>
  <si>
    <t>MIN_VC_RD_CLASS</t>
  </si>
  <si>
    <t>S3_DEFAULT</t>
  </si>
  <si>
    <t>BRIDGE_RD_RANK</t>
  </si>
  <si>
    <t>S4_DEFAULT</t>
  </si>
  <si>
    <t>MAX_BARR_LEVEL</t>
  </si>
  <si>
    <t>EXISTING_BARR_LEVEL</t>
  </si>
  <si>
    <t>EXISTING_BARR_DEF</t>
  </si>
  <si>
    <t>S5_DEFAULT</t>
  </si>
  <si>
    <t>BSI_DEFAULT FROM RBS_BSI_V2 WHERE (EXISTING_BARR_LEVEL  is @@@@@) order by BRIDGE_NUMBER</t>
  </si>
  <si>
    <t>--rbs_structures</t>
  </si>
  <si>
    <t>--Deficient Load Restriction Y/N</t>
  </si>
  <si>
    <t xml:space="preserve">BSI_DEFAULT </t>
  </si>
  <si>
    <t xml:space="preserve">FROM RBS_BSI_V2 </t>
  </si>
  <si>
    <t>WHERE (EXISTING_BARR_LEVEL  is @@@@@) order by BRIDGE_NUMBER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</si>
</sst>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 AM/PM"/>
  </numFmts>
  <fonts count="12">
    <font>
      <sz val="11"/>
      <color theme="1"/>
      <name val="Calibri"/>
      <family val="2"/>
      <scheme val="minor"/>
    </font>
    <font>
      <b/>
      <sz val="11"/>
      <color theme="1"/>
      <name val="Calibri"/>
      <family val="2"/>
      <scheme val="minor"/>
    </font>
    <font>
      <sz val="10"/>
      <color theme="1"/>
      <name val="Calibri"/>
      <family val="2"/>
      <scheme val="minor"/>
    </font>
    <font>
      <u/>
      <sz val="11"/>
      <color theme="10"/>
      <name val="Calibri"/>
      <family val="2"/>
      <scheme val="minor"/>
    </font>
    <font>
      <b/>
      <u/>
      <sz val="12"/>
      <color theme="4" tint="-0.249977111117893"/>
      <name val="Calibri"/>
      <family val="2"/>
      <scheme val="minor"/>
    </font>
    <font>
      <sz val="11"/>
      <color indexed="8"/>
      <name val="Calibri"/>
      <family val="2"/>
      <scheme val="minor"/>
    </font>
    <font>
      <sz val="11"/>
      <name val="Dialog"/>
    </font>
    <font>
      <sz val="9"/>
      <color theme="1"/>
      <name val="Calibri"/>
      <family val="2"/>
      <scheme val="minor"/>
    </font>
    <font>
      <b/>
      <sz val="18"/>
      <color theme="1"/>
      <name val="Calibri"/>
      <family val="2"/>
      <scheme val="minor"/>
    </font>
    <font>
      <sz val="11"/>
      <color rgb="FF000000"/>
      <name val="Calibri"/>
      <family val="2"/>
      <scheme val="minor"/>
    </font>
    <font>
      <u/>
      <sz val="9"/>
      <color theme="10"/>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dotted">
        <color rgb="FF000000"/>
      </left>
      <right style="dotted">
        <color rgb="FF000000"/>
      </right>
      <top style="dotted">
        <color rgb="FF000000"/>
      </top>
      <bottom style="dotted">
        <color rgb="FF000000"/>
      </bottom>
      <diagonal/>
    </border>
  </borders>
  <cellStyleXfs count="3">
    <xf numFmtId="0" fontId="0" fillId="0" borderId="0"/>
    <xf numFmtId="0" fontId="3" fillId="0" borderId="0" applyNumberFormat="0" applyFill="0" applyBorder="0" applyAlignment="0" applyProtection="0"/>
    <xf numFmtId="0" fontId="5" fillId="0" borderId="0"/>
  </cellStyleXfs>
  <cellXfs count="35">
    <xf numFmtId="0" fontId="0" fillId="0" borderId="0" xfId="0"/>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wrapText="1"/>
    </xf>
    <xf numFmtId="0" fontId="1" fillId="0" borderId="0" xfId="0" applyFont="1"/>
    <xf numFmtId="0" fontId="2" fillId="0" borderId="0" xfId="0" applyFont="1" applyAlignment="1">
      <alignment horizontal="center" vertical="center" wrapText="1"/>
    </xf>
    <xf numFmtId="0" fontId="2" fillId="0" borderId="0" xfId="0" applyFont="1" applyAlignment="1">
      <alignment wrapText="1"/>
    </xf>
    <xf numFmtId="0" fontId="2" fillId="0" borderId="0" xfId="0" applyFont="1"/>
    <xf numFmtId="0" fontId="0" fillId="0" borderId="0" xfId="0" applyAlignment="1">
      <alignment horizontal="center" vertical="center" wrapText="1"/>
    </xf>
    <xf numFmtId="0" fontId="3" fillId="0" borderId="0" xfId="1"/>
    <xf numFmtId="0" fontId="0" fillId="0" borderId="0" xfId="0" quotePrefix="1"/>
    <xf numFmtId="0" fontId="4" fillId="0" borderId="0" xfId="1" applyFont="1" applyAlignment="1"/>
    <xf numFmtId="0" fontId="3" fillId="0" borderId="0" xfId="1" applyAlignment="1">
      <alignment wrapText="1"/>
    </xf>
    <xf numFmtId="0" fontId="5" fillId="0" borderId="0" xfId="2"/>
    <xf numFmtId="0" fontId="6" fillId="0" borderId="0" xfId="2" applyFont="1" applyAlignment="1">
      <alignment horizontal="right"/>
    </xf>
    <xf numFmtId="14" fontId="5" fillId="0" borderId="0" xfId="2" applyNumberFormat="1"/>
    <xf numFmtId="17" fontId="0" fillId="0" borderId="0" xfId="0" applyNumberFormat="1"/>
    <xf numFmtId="0" fontId="7" fillId="0" borderId="0" xfId="0" applyFont="1"/>
    <xf numFmtId="0" fontId="7" fillId="0" borderId="0" xfId="0" applyFont="1" applyAlignment="1">
      <alignment horizontal="center" vertical="center" wrapText="1"/>
    </xf>
    <xf numFmtId="0" fontId="8" fillId="0" borderId="0" xfId="0" applyFont="1"/>
    <xf numFmtId="0" fontId="0" fillId="0" borderId="0" xfId="0" applyAlignment="1">
      <alignment horizontal="center" vertical="center"/>
    </xf>
    <xf numFmtId="164" fontId="5" fillId="0" borderId="0" xfId="2" applyNumberFormat="1"/>
    <xf numFmtId="0" fontId="0" fillId="0" borderId="0" xfId="0" pivotButton="1"/>
    <xf numFmtId="0" fontId="0" fillId="0" borderId="0" xfId="0" applyAlignment="1">
      <alignment horizontal="left"/>
    </xf>
    <xf numFmtId="0" fontId="2" fillId="0" borderId="0" xfId="0" applyFont="1" applyAlignment="1">
      <alignment vertical="top" wrapText="1"/>
    </xf>
    <xf numFmtId="0" fontId="1" fillId="0" borderId="0" xfId="0" applyFont="1" applyAlignment="1">
      <alignment vertical="top" wrapText="1"/>
    </xf>
    <xf numFmtId="0" fontId="2" fillId="0" borderId="0" xfId="0" applyFont="1" applyAlignment="1">
      <alignment vertical="top"/>
    </xf>
    <xf numFmtId="0" fontId="0" fillId="0" borderId="0" xfId="0" applyAlignment="1">
      <alignment vertical="top"/>
    </xf>
    <xf numFmtId="0" fontId="7" fillId="0" borderId="0" xfId="0" applyFont="1" applyAlignment="1">
      <alignment vertical="top"/>
    </xf>
    <xf numFmtId="0" fontId="2" fillId="2" borderId="0" xfId="0" applyFont="1" applyFill="1"/>
    <xf numFmtId="0" fontId="0" fillId="2" borderId="0" xfId="0" applyFill="1"/>
    <xf numFmtId="0" fontId="9" fillId="0" borderId="1" xfId="0" applyFont="1" applyBorder="1" applyAlignment="1">
      <alignment horizontal="left" vertical="center" wrapText="1"/>
    </xf>
    <xf numFmtId="0" fontId="7" fillId="0" borderId="0" xfId="0" applyFont="1" applyAlignment="1">
      <alignment wrapText="1"/>
    </xf>
    <xf numFmtId="0" fontId="10" fillId="0" borderId="0" xfId="1" applyFont="1" applyAlignment="1">
      <alignment wrapText="1"/>
    </xf>
    <xf numFmtId="0" fontId="7" fillId="0" borderId="0" xfId="0" applyFont="1" applyAlignment="1">
      <alignment vertical="top" wrapText="1"/>
    </xf>
  </cellXfs>
  <cellStyles count="3">
    <cellStyle name="Hyperlink" xfId="1" builtinId="8"/>
    <cellStyle name="Normal" xfId="0" builtinId="0"/>
    <cellStyle name="Normal 2" xfId="2" xr:uid="{3DEB25AC-125C-43AA-BDDD-850D339935C7}"/>
  </cellStyles>
  <dxfs count="21">
    <dxf>
      <numFmt numFmtId="165" formatCode="m/d/yyyy"/>
    </dxf>
    <dxf>
      <numFmt numFmtId="165" formatCode="m/d/yyyy"/>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alignment textRotation="0" wrapText="0" indent="0" justifyLastLine="0" shrinkToFit="0" readingOrder="0"/>
    </dxf>
    <dxf>
      <alignment horizontal="center" vertical="center" textRotation="0" wrapText="1" indent="0" justifyLastLine="0" shrinkToFit="0" readingOrder="0"/>
    </dxf>
    <dxf>
      <numFmt numFmtId="0" formatCode="General"/>
    </dxf>
    <dxf>
      <numFmt numFmtId="0" formatCode="General"/>
    </dxf>
    <dxf>
      <font>
        <strike val="0"/>
        <outline val="0"/>
        <shadow val="0"/>
        <u val="none"/>
        <vertAlign val="baseline"/>
        <sz val="10"/>
        <color theme="1"/>
        <name val="Calibri"/>
        <family val="2"/>
        <scheme val="minor"/>
      </font>
      <alignment textRotation="0" wrapText="1" indent="0" justifyLastLine="0" shrinkToFit="0" readingOrder="0"/>
    </dxf>
    <dxf>
      <font>
        <strike val="0"/>
        <outline val="0"/>
        <shadow val="0"/>
        <u val="none"/>
        <vertAlign val="baseline"/>
        <sz val="10"/>
        <color theme="1"/>
        <name val="Calibri"/>
        <family val="2"/>
        <scheme val="minor"/>
      </font>
      <alignment textRotation="0" wrapText="1" indent="0" justifyLastLine="0" shrinkToFit="0" readingOrder="0"/>
    </dxf>
    <dxf>
      <font>
        <strike val="0"/>
        <outline val="0"/>
        <shadow val="0"/>
        <u val="none"/>
        <vertAlign val="baseline"/>
        <sz val="10"/>
        <color theme="1"/>
        <name val="Calibri"/>
        <family val="2"/>
        <scheme val="minor"/>
      </font>
      <alignment textRotation="0" wrapText="1" indent="0" justifyLastLine="0" shrinkToFit="0" readingOrder="0"/>
    </dxf>
    <dxf>
      <font>
        <strike val="0"/>
        <outline val="0"/>
        <shadow val="0"/>
        <u val="none"/>
        <vertAlign val="baseline"/>
        <sz val="10"/>
        <color theme="1"/>
        <name val="Calibri"/>
        <family val="2"/>
        <scheme val="minor"/>
      </font>
      <alignment textRotation="0" wrapText="1" indent="0" justifyLastLine="0" shrinkToFit="0" readingOrder="0"/>
    </dxf>
    <dxf>
      <font>
        <strike val="0"/>
        <outline val="0"/>
        <shadow val="0"/>
        <u val="none"/>
        <vertAlign val="baseline"/>
        <sz val="9"/>
        <color theme="1"/>
        <name val="Calibri"/>
        <family val="2"/>
        <scheme val="minor"/>
      </font>
      <alignment textRotation="0" wrapText="1" indent="0" justifyLastLine="0" shrinkToFit="0" readingOrder="0"/>
    </dxf>
    <dxf>
      <font>
        <b val="0"/>
        <i val="0"/>
        <strike val="0"/>
        <condense val="0"/>
        <extend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numFmt numFmtId="0" formatCode="General"/>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alignment textRotation="0" wrapText="1" indent="0" justifyLastLine="0" shrinkToFit="0" readingOrder="0"/>
    </dxf>
    <dxf>
      <font>
        <b/>
      </font>
    </dxf>
    <dxf>
      <font>
        <strike val="0"/>
        <outline val="0"/>
        <shadow val="0"/>
        <u val="none"/>
        <vertAlign val="baseline"/>
        <sz val="10"/>
        <color theme="1"/>
        <name val="Calibri"/>
        <family val="2"/>
        <scheme val="minor"/>
      </font>
      <alignment horizontal="general" vertical="bottom" textRotation="0" wrapText="1" indent="0" justifyLastLine="0" shrinkToFit="0" readingOrder="0"/>
    </dxf>
    <dxf>
      <font>
        <strike val="0"/>
        <outline val="0"/>
        <shadow val="0"/>
        <u val="none"/>
        <vertAlign val="baseline"/>
        <sz val="10"/>
        <color theme="1"/>
        <name val="Calibri"/>
        <family val="2"/>
        <scheme val="minor"/>
      </font>
      <alignment horizontal="general" vertical="bottom" textRotation="0" wrapText="1" indent="0" justifyLastLine="0" shrinkToFit="0" readingOrder="0"/>
    </dxf>
    <dxf>
      <font>
        <strike val="0"/>
        <outline val="0"/>
        <shadow val="0"/>
        <u val="none"/>
        <vertAlign val="baseline"/>
        <sz val="10"/>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38100</xdr:colOff>
      <xdr:row>2</xdr:row>
      <xdr:rowOff>0</xdr:rowOff>
    </xdr:from>
    <xdr:to>
      <xdr:col>12</xdr:col>
      <xdr:colOff>266700</xdr:colOff>
      <xdr:row>38</xdr:row>
      <xdr:rowOff>44450</xdr:rowOff>
    </xdr:to>
    <xdr:sp macro="" textlink="">
      <xdr:nvSpPr>
        <xdr:cNvPr id="2" name="TextBox 1">
          <a:extLst>
            <a:ext uri="{FF2B5EF4-FFF2-40B4-BE49-F238E27FC236}">
              <a16:creationId xmlns:a16="http://schemas.microsoft.com/office/drawing/2014/main" id="{C5347A91-3F0C-03A5-D906-DF25482D5CE8}"/>
            </a:ext>
          </a:extLst>
        </xdr:cNvPr>
        <xdr:cNvSpPr txBox="1"/>
      </xdr:nvSpPr>
      <xdr:spPr>
        <a:xfrm>
          <a:off x="647700" y="368300"/>
          <a:ext cx="6934200" cy="667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SELECT ROWID</a:t>
          </a:r>
        </a:p>
        <a:p>
          <a:pPr marL="0" indent="0"/>
          <a:r>
            <a:rPr lang="en-US" sz="1100">
              <a:solidFill>
                <a:schemeClr val="dk1"/>
              </a:solidFill>
              <a:latin typeface="+mn-lt"/>
              <a:ea typeface="+mn-lt"/>
              <a:cs typeface="+mn-lt"/>
            </a:rPr>
            <a:t>,STRUCTURE_ID</a:t>
          </a:r>
        </a:p>
        <a:p>
          <a:pPr marL="0" indent="0"/>
          <a:r>
            <a:rPr lang="en-US" sz="1100">
              <a:solidFill>
                <a:schemeClr val="dk1"/>
              </a:solidFill>
              <a:latin typeface="+mn-lt"/>
              <a:ea typeface="+mn-lt"/>
              <a:cs typeface="+mn-lt"/>
            </a:rPr>
            <a:t>,BRIDGE_NUMBER</a:t>
          </a:r>
        </a:p>
        <a:p>
          <a:pPr marL="0" indent="0"/>
          <a:r>
            <a:rPr lang="en-US" sz="1100">
              <a:solidFill>
                <a:schemeClr val="dk1"/>
              </a:solidFill>
              <a:latin typeface="+mn-lt"/>
              <a:ea typeface="+mn-lt"/>
              <a:cs typeface="+mn-lt"/>
            </a:rPr>
            <a:t>,DESCRIPTION_TYPE,DESCRIPTION_OVER,DESCRIPTION_AT,DESCRIPTION_AT2,BRIDGE_NAME</a:t>
          </a:r>
        </a:p>
        <a:p>
          <a:pPr marL="0" indent="0"/>
          <a:r>
            <a:rPr lang="en-US" sz="1100">
              <a:solidFill>
                <a:schemeClr val="dk1"/>
              </a:solidFill>
              <a:latin typeface="+mn-lt"/>
              <a:ea typeface="+mn-lt"/>
              <a:cs typeface="+mn-lt"/>
            </a:rPr>
            <a:t>,LA_ID_REGION,LA_ID_ZONE,LA_ID_SUBZ_NETW,LA_ID_LGA,LA_ID_FE,LA_ID_SE,OPER_STAT_CODE,DT_OPEN_TO_TRAFFIC</a:t>
          </a:r>
        </a:p>
        <a:p>
          <a:pPr marL="0" indent="0"/>
          <a:r>
            <a:rPr lang="en-US" sz="1100">
              <a:solidFill>
                <a:schemeClr val="dk1"/>
              </a:solidFill>
              <a:latin typeface="+mn-lt"/>
              <a:ea typeface="+mn-lt"/>
              <a:cs typeface="+mn-lt"/>
            </a:rPr>
            <a:t>,GENERAL_FILE_NO,RD_RANK_CODE,RD_CLASS_CODE,RD_CLASS_OVERWRITTEN</a:t>
          </a:r>
        </a:p>
        <a:p>
          <a:pPr marL="0" indent="0"/>
          <a:r>
            <a:rPr lang="en-US" sz="1100">
              <a:solidFill>
                <a:schemeClr val="dk1"/>
              </a:solidFill>
              <a:latin typeface="+mn-lt"/>
              <a:ea typeface="+mn-lt"/>
              <a:cs typeface="+mn-lt"/>
            </a:rPr>
            <a:t>,STRUCT_CAPT_TYPE_CODE,WA_OWN,OFFICE_ID,WA_INSPECT,BRIDGE_OFFICE_ID_INSPECT,WA_MAINT</a:t>
          </a:r>
        </a:p>
        <a:p>
          <a:pPr marL="0" indent="0"/>
          <a:r>
            <a:rPr lang="en-US" sz="1100">
              <a:solidFill>
                <a:schemeClr val="dk1"/>
              </a:solidFill>
              <a:latin typeface="+mn-lt"/>
              <a:ea typeface="+mn-lt"/>
              <a:cs typeface="+mn-lt"/>
            </a:rPr>
            <a:t>,BRIDGE_OFFICE_ID_MAINT</a:t>
          </a:r>
        </a:p>
        <a:p>
          <a:pPr marL="0" indent="0"/>
          <a:r>
            <a:rPr lang="en-US" sz="1100">
              <a:solidFill>
                <a:schemeClr val="dk1"/>
              </a:solidFill>
              <a:latin typeface="+mn-lt"/>
              <a:ea typeface="+mn-lt"/>
              <a:cs typeface="+mn-lt"/>
            </a:rPr>
            <a:t>,FACI_TYPE_CODE</a:t>
          </a:r>
        </a:p>
        <a:p>
          <a:pPr marL="0" indent="0"/>
          <a:r>
            <a:rPr lang="en-US" sz="1100">
              <a:solidFill>
                <a:schemeClr val="dk1"/>
              </a:solidFill>
              <a:latin typeface="+mn-lt"/>
              <a:ea typeface="+mn-lt"/>
              <a:cs typeface="+mn-lt"/>
            </a:rPr>
            <a:t>,BRDG_TYPE_CODE,OVERWRITE_BRDG_TYPE_YN</a:t>
          </a:r>
        </a:p>
        <a:p>
          <a:pPr marL="0" indent="0"/>
          <a:r>
            <a:rPr lang="en-US" sz="1100">
              <a:solidFill>
                <a:schemeClr val="dk1"/>
              </a:solidFill>
              <a:latin typeface="+mn-lt"/>
              <a:ea typeface="+mn-lt"/>
              <a:cs typeface="+mn-lt"/>
            </a:rPr>
            <a:t>,CULVERT_HT_OF_FILL</a:t>
          </a:r>
        </a:p>
        <a:p>
          <a:pPr marL="0" indent="0"/>
          <a:r>
            <a:rPr lang="en-US" sz="1100">
              <a:solidFill>
                <a:schemeClr val="dk1"/>
              </a:solidFill>
              <a:latin typeface="+mn-lt"/>
              <a:ea typeface="+mn-lt"/>
              <a:cs typeface="+mn-lt"/>
            </a:rPr>
            <a:t>,BRIDGE_COMMENT</a:t>
          </a:r>
        </a:p>
        <a:p>
          <a:pPr marL="0" indent="0"/>
          <a:r>
            <a:rPr lang="en-US" sz="1100">
              <a:solidFill>
                <a:schemeClr val="dk1"/>
              </a:solidFill>
              <a:latin typeface="+mn-lt"/>
              <a:ea typeface="+mn-lt"/>
              <a:cs typeface="+mn-lt"/>
            </a:rPr>
            <a:t>,DECK_LEVEL_IN_AHD</a:t>
          </a:r>
        </a:p>
        <a:p>
          <a:pPr marL="0" indent="0"/>
          <a:r>
            <a:rPr lang="en-US" sz="1100">
              <a:solidFill>
                <a:schemeClr val="dk1"/>
              </a:solidFill>
              <a:latin typeface="+mn-lt"/>
              <a:ea typeface="+mn-lt"/>
              <a:cs typeface="+mn-lt"/>
            </a:rPr>
            <a:t>,MINE_SUBSID_AREA_YN</a:t>
          </a:r>
        </a:p>
        <a:p>
          <a:pPr marL="0" indent="0"/>
          <a:r>
            <a:rPr lang="en-US" sz="1100">
              <a:solidFill>
                <a:schemeClr val="dk1"/>
              </a:solidFill>
              <a:latin typeface="+mn-lt"/>
              <a:ea typeface="+mn-lt"/>
              <a:cs typeface="+mn-lt"/>
            </a:rPr>
            <a:t>,DEEMED_STATE_WORK_YN</a:t>
          </a:r>
        </a:p>
        <a:p>
          <a:pPr marL="0" indent="0"/>
          <a:r>
            <a:rPr lang="en-US" sz="1100">
              <a:solidFill>
                <a:schemeClr val="dk1"/>
              </a:solidFill>
              <a:latin typeface="+mn-lt"/>
              <a:ea typeface="+mn-lt"/>
              <a:cs typeface="+mn-lt"/>
            </a:rPr>
            <a:t>,BORDER_BRDG_YN</a:t>
          </a:r>
        </a:p>
        <a:p>
          <a:pPr marL="0" indent="0"/>
          <a:r>
            <a:rPr lang="en-US" sz="1100">
              <a:solidFill>
                <a:schemeClr val="dk1"/>
              </a:solidFill>
              <a:latin typeface="+mn-lt"/>
              <a:ea typeface="+mn-lt"/>
              <a:cs typeface="+mn-lt"/>
            </a:rPr>
            <a:t>,UNDERWATER_YN</a:t>
          </a:r>
        </a:p>
        <a:p>
          <a:pPr marL="0" indent="0"/>
          <a:r>
            <a:rPr lang="en-US" sz="1100">
              <a:solidFill>
                <a:schemeClr val="dk1"/>
              </a:solidFill>
              <a:latin typeface="+mn-lt"/>
              <a:ea typeface="+mn-lt"/>
              <a:cs typeface="+mn-lt"/>
            </a:rPr>
            <a:t>,COMPLEX_UNUSUAL_YN</a:t>
          </a:r>
        </a:p>
        <a:p>
          <a:pPr marL="0" indent="0"/>
          <a:r>
            <a:rPr lang="en-US" sz="1100">
              <a:solidFill>
                <a:schemeClr val="dk1"/>
              </a:solidFill>
              <a:latin typeface="+mn-lt"/>
              <a:ea typeface="+mn-lt"/>
              <a:cs typeface="+mn-lt"/>
            </a:rPr>
            <a:t>,LARGE_BEARING_YN</a:t>
          </a:r>
        </a:p>
        <a:p>
          <a:pPr marL="0" indent="0"/>
          <a:r>
            <a:rPr lang="en-US" sz="1100">
              <a:solidFill>
                <a:schemeClr val="dk1"/>
              </a:solidFill>
              <a:latin typeface="+mn-lt"/>
              <a:ea typeface="+mn-lt"/>
              <a:cs typeface="+mn-lt"/>
            </a:rPr>
            <a:t>,LARGE_DECKJOINT_YN</a:t>
          </a:r>
        </a:p>
        <a:p>
          <a:pPr marL="0" indent="0"/>
          <a:r>
            <a:rPr lang="en-US" sz="1100">
              <a:solidFill>
                <a:schemeClr val="dk1"/>
              </a:solidFill>
              <a:latin typeface="+mn-lt"/>
              <a:ea typeface="+mn-lt"/>
              <a:cs typeface="+mn-lt"/>
            </a:rPr>
            <a:t>,WROUGHT_IRON</a:t>
          </a:r>
        </a:p>
        <a:p>
          <a:pPr marL="0" indent="0"/>
          <a:r>
            <a:rPr lang="en-US" sz="1100">
              <a:solidFill>
                <a:schemeClr val="dk1"/>
              </a:solidFill>
              <a:latin typeface="+mn-lt"/>
              <a:ea typeface="+mn-lt"/>
              <a:cs typeface="+mn-lt"/>
            </a:rPr>
            <a:t>,STEP_JOINT_YN</a:t>
          </a:r>
        </a:p>
        <a:p>
          <a:pPr marL="0" indent="0"/>
          <a:r>
            <a:rPr lang="en-US" sz="1100">
              <a:solidFill>
                <a:schemeClr val="dk1"/>
              </a:solidFill>
              <a:latin typeface="+mn-lt"/>
              <a:ea typeface="+mn-lt"/>
              <a:cs typeface="+mn-lt"/>
            </a:rPr>
            <a:t>,B_DOUBLE_RD_YN</a:t>
          </a:r>
        </a:p>
        <a:p>
          <a:pPr marL="0" indent="0"/>
          <a:r>
            <a:rPr lang="en-US" sz="1100">
              <a:solidFill>
                <a:schemeClr val="dk1"/>
              </a:solidFill>
              <a:latin typeface="+mn-lt"/>
              <a:ea typeface="+mn-lt"/>
              <a:cs typeface="+mn-lt"/>
            </a:rPr>
            <a:t>,CONFINED_SPACE</a:t>
          </a:r>
        </a:p>
        <a:p>
          <a:pPr marL="0" indent="0"/>
          <a:r>
            <a:rPr lang="en-US" sz="1100">
              <a:solidFill>
                <a:schemeClr val="dk1"/>
              </a:solidFill>
              <a:latin typeface="+mn-lt"/>
              <a:ea typeface="+mn-lt"/>
              <a:cs typeface="+mn-lt"/>
            </a:rPr>
            <a:t>,POTENTIAL_HIGH_RISK_YN</a:t>
          </a:r>
        </a:p>
        <a:p>
          <a:pPr marL="0" indent="0"/>
          <a:r>
            <a:rPr lang="en-US" sz="1100">
              <a:solidFill>
                <a:schemeClr val="dk1"/>
              </a:solidFill>
              <a:latin typeface="+mn-lt"/>
              <a:ea typeface="+mn-lt"/>
              <a:cs typeface="+mn-lt"/>
            </a:rPr>
            <a:t>,SAFE_SCREEN_INSTALLED_YN</a:t>
          </a:r>
        </a:p>
        <a:p>
          <a:pPr marL="0" indent="0"/>
          <a:r>
            <a:rPr lang="en-US" sz="1100">
              <a:solidFill>
                <a:schemeClr val="dk1"/>
              </a:solidFill>
              <a:latin typeface="+mn-lt"/>
              <a:ea typeface="+mn-lt"/>
              <a:cs typeface="+mn-lt"/>
            </a:rPr>
            <a:t>,VEH_TRAFFIC_YN</a:t>
          </a:r>
        </a:p>
        <a:p>
          <a:pPr marL="0" indent="0"/>
          <a:r>
            <a:rPr lang="en-US" sz="1100">
              <a:solidFill>
                <a:schemeClr val="dk1"/>
              </a:solidFill>
              <a:latin typeface="+mn-lt"/>
              <a:ea typeface="+mn-lt"/>
              <a:cs typeface="+mn-lt"/>
            </a:rPr>
            <a:t>,LIFT_INSTALLED_YN</a:t>
          </a:r>
        </a:p>
        <a:p>
          <a:pPr marL="0" indent="0"/>
          <a:r>
            <a:rPr lang="en-US" sz="1100">
              <a:solidFill>
                <a:schemeClr val="dk1"/>
              </a:solidFill>
              <a:latin typeface="+mn-lt"/>
              <a:ea typeface="+mn-lt"/>
              <a:cs typeface="+mn-lt"/>
            </a:rPr>
            <a:t>,PED_USE_YN</a:t>
          </a:r>
        </a:p>
        <a:p>
          <a:pPr marL="0" indent="0"/>
          <a:r>
            <a:rPr lang="en-US" sz="1100">
              <a:solidFill>
                <a:schemeClr val="dk1"/>
              </a:solidFill>
              <a:latin typeface="+mn-lt"/>
              <a:ea typeface="+mn-lt"/>
              <a:cs typeface="+mn-lt"/>
            </a:rPr>
            <a:t>,OPENING_BRIDGE_YN</a:t>
          </a:r>
        </a:p>
        <a:p>
          <a:pPr marL="0" indent="0"/>
          <a:r>
            <a:rPr lang="en-US" sz="1100">
              <a:solidFill>
                <a:schemeClr val="dk1"/>
              </a:solidFill>
              <a:latin typeface="+mn-lt"/>
              <a:ea typeface="+mn-lt"/>
              <a:cs typeface="+mn-lt"/>
            </a:rPr>
            <a:t>,LATITUDE,LONGITUDE</a:t>
          </a:r>
        </a:p>
        <a:p>
          <a:pPr marL="0" indent="0"/>
          <a:r>
            <a:rPr lang="en-US" sz="1100">
              <a:solidFill>
                <a:schemeClr val="dk1"/>
              </a:solidFill>
              <a:latin typeface="+mn-lt"/>
              <a:ea typeface="+mn-lt"/>
              <a:cs typeface="+mn-lt"/>
            </a:rPr>
            <a:t>,AADT,AADT_YR,AADT_GROWTH,AADT_PERCENTAGE_HEAVY</a:t>
          </a:r>
        </a:p>
        <a:p>
          <a:pPr marL="0" indent="0"/>
          <a:r>
            <a:rPr lang="en-US" sz="1100">
              <a:solidFill>
                <a:schemeClr val="dk1"/>
              </a:solidFill>
              <a:latin typeface="+mn-lt"/>
              <a:ea typeface="+mn-lt"/>
              <a:cs typeface="+mn-lt"/>
            </a:rPr>
            <a:t>,CURRENT_YN,ARCHIVE_REASON,ARCHIVE_DATE,BMP_DATE </a:t>
          </a:r>
        </a:p>
        <a:p>
          <a:pPr marL="0" indent="0"/>
          <a:r>
            <a:rPr lang="en-US" sz="1100">
              <a:solidFill>
                <a:schemeClr val="dk1"/>
              </a:solidFill>
              <a:latin typeface="+mn-lt"/>
              <a:ea typeface="+mn-lt"/>
              <a:cs typeface="+mn-lt"/>
            </a:rPr>
            <a:t>FROM RBS_STRUCTURES </a:t>
          </a:r>
        </a:p>
        <a:p>
          <a:pPr marL="0" indent="0"/>
          <a:r>
            <a:rPr lang="en-US" sz="1100">
              <a:solidFill>
                <a:schemeClr val="dk1"/>
              </a:solidFill>
              <a:latin typeface="+mn-lt"/>
              <a:ea typeface="+mn-lt"/>
              <a:cs typeface="+mn-lt"/>
            </a:rPr>
            <a:t>WHERE structure_id = nvl(:1, structure_id) </a:t>
          </a:r>
        </a:p>
        <a:p>
          <a:pPr marL="0" indent="0"/>
          <a:r>
            <a:rPr lang="en-US" sz="1100">
              <a:solidFill>
                <a:schemeClr val="dk1"/>
              </a:solidFill>
              <a:latin typeface="+mn-lt"/>
              <a:ea typeface="+mn-lt"/>
              <a:cs typeface="+mn-lt"/>
            </a:rPr>
            <a:t>and current_yn = 'Y' </a:t>
          </a:r>
        </a:p>
        <a:p>
          <a:pPr marL="0" indent="0"/>
          <a:r>
            <a:rPr lang="en-US" sz="1100">
              <a:solidFill>
                <a:schemeClr val="dk1"/>
              </a:solidFill>
              <a:latin typeface="+mn-lt"/>
              <a:ea typeface="+mn-lt"/>
              <a:cs typeface="+mn-lt"/>
            </a:rPr>
            <a:t>and (office_id in (1,2,23,40,41,42,44,43,30,3,60,9,16,10,15,70,6,8,31) or bridge_office_id_inspect in (1,2,23,40,41,42,44,43,30,3,60,9,16,10,15,70,6,8,31) or bridge_office_id_maint in (1,2,23,40,41,42,44,43,30,3,60,9,16,10,15,70,6,8,31)) </a:t>
          </a:r>
        </a:p>
        <a:p>
          <a:pPr marL="0" indent="0"/>
          <a:r>
            <a:rPr lang="en-US" sz="1100">
              <a:solidFill>
                <a:schemeClr val="dk1"/>
              </a:solidFill>
              <a:latin typeface="+mn-lt"/>
              <a:ea typeface="+mn-lt"/>
              <a:cs typeface="+mn-lt"/>
            </a:rPr>
            <a:t>and bridge_number is not null and bridge_number is not null and (CULVERT_HT_OF_FILL  is @@@@@) order by BRIDGE_NUMBER</a:t>
          </a:r>
        </a:p>
        <a:p>
          <a:pPr marL="0" indent="0"/>
          <a:endParaRPr lang="en-US" sz="1100">
            <a:solidFill>
              <a:schemeClr val="dk1"/>
            </a:solidFill>
            <a:latin typeface="+mn-lt"/>
            <a:ea typeface="+mn-lt"/>
            <a:cs typeface="+mn-lt"/>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transportcloud.sharepoint.com/sites/RAISI734/Shared%20Documents/RAISI%20Phase%201/4.%20Analyse%20and%20Design/4.2%20Explore/4.2.08%20Functional/4.2.08.01%20Design%20Workshops/4.2.08.01.11%20Interfaces/Working/RBAT/Copy%20of%20202503-RBAT-sample-schema.xlsx" TargetMode="External"/><Relationship Id="rId2" Type="http://schemas.microsoft.com/office/2019/04/relationships/externalLinkLongPath" Target="/sites/RAISI734/Shared%20Documents/RAISI%20Phase%201/4.%20Analyse%20and%20Design/4.2%20Explore/4.2.08%20Functional/4.2.08.01%20Design%20Workshops/4.2.08.01.11%20Interfaces/Working/RBAT/Copy%20of%20202503-RBAT-sample-schema.xlsx?9C890D52" TargetMode="External"/><Relationship Id="rId1" Type="http://schemas.openxmlformats.org/officeDocument/2006/relationships/externalLinkPath" Target="file:///\\9C890D52\Copy%20of%20202503-RBAT-sample-schema.xlsx" TargetMode="External"/><Relationship Id="rId4" Type="http://schemas.openxmlformats.org/officeDocument/2006/relationships/externalLinkPath" Target="../../4.2.08%20Functional/4.2.08.01%20Design%20Workshops/4.2.08.01.11%20Interfaces/Working/RBAT/Copy%20of%20202503-RBAT-sample-schem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Control Sheet"/>
      <sheetName val="Service Details"/>
      <sheetName val="Logical Service Overview"/>
      <sheetName val="Web Service Definition"/>
      <sheetName val="Mapping"/>
      <sheetName val="Service info"/>
      <sheetName val="Process Orchestration"/>
      <sheetName val="Value Mapping "/>
      <sheetName val="Sheet"/>
      <sheetName val="Mapping Sheet"/>
      <sheetName val="BIS Carriageway Screenshot"/>
      <sheetName val="myNote"/>
      <sheetName val="BIS rbs_subz_la"/>
      <sheetName val="BIS rbs_ref_tables"/>
      <sheetName val="RAMSR_RRL_ROAD_MV"/>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persons/person.xml><?xml version="1.0" encoding="utf-8"?>
<personList xmlns="http://schemas.microsoft.com/office/spreadsheetml/2018/threadedcomments" xmlns:x="http://schemas.openxmlformats.org/spreadsheetml/2006/main">
  <person displayName="Julius Shen" id="{1CCBB6D7-7B54-4FCD-8665-1CFD56465C09}" userId="julius.shen@transport.nsw.gov.au" providerId="PeoplePicker"/>
  <person displayName="Alton Sandico" id="{CE78E7F6-A20E-4989-BFDE-CE1E0F2DCE9D}" userId="alton.sandico@transport.nsw.gov.au" providerId="PeoplePicker"/>
  <person displayName="Julius Shen" id="{655ECE34-DC81-42F0-9C6F-632C01EF3D6A}" userId="S::Julius.Shen@transport.nsw.gov.au::e69fa0f1-211b-43fc-94ee-dd9949976acf" providerId="AD"/>
  <person displayName="Alton Sandico" id="{4639F01D-700A-40BA-88C2-AA2542D3EFF7}" userId="S::alton.sandico@transport.nsw.gov.au::b65733e3-8abf-4446-984e-66b39010699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us Shen" refreshedDate="45943.969080555558" createdVersion="8" refreshedVersion="8" minRefreshableVersion="3" recordCount="215" xr:uid="{8F28BED9-1E76-4720-A496-F2A8582ECFF4}">
  <cacheSource type="worksheet">
    <worksheetSource name="Table7"/>
  </cacheSource>
  <cacheFields count="2">
    <cacheField name="Attributes Grouping" numFmtId="0">
      <sharedItems count="9">
        <s v="General Information"/>
        <s v="Carriageway Information"/>
        <s v="Span Group"/>
        <s v="Deck"/>
        <s v="Utility Services Screen"/>
        <s v="Substructure (Abutments/Piers)"/>
        <s v="Load Capacity"/>
        <s v="MEH Components"/>
        <s v="Contact Details"/>
      </sharedItems>
    </cacheField>
    <cacheField name="Attributes Descriptio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us Shen" refreshedDate="45943.970560416667" createdVersion="8" refreshedVersion="8" minRefreshableVersion="3" recordCount="367" xr:uid="{FC844CF5-8440-483D-B1FD-19AF5CA6316D}">
  <cacheSource type="worksheet">
    <worksheetSource name="Table3"/>
  </cacheSource>
  <cacheFields count="22">
    <cacheField name="Src Sys" numFmtId="0">
      <sharedItems count="3">
        <s v="BIS"/>
        <s v="RSMS"/>
        <s v="AV"/>
      </sharedItems>
    </cacheField>
    <cacheField name="UI Screen" numFmtId="0">
      <sharedItems count="22">
        <s v="(backend table)"/>
        <s v="General Information"/>
        <s v="Summary"/>
        <s v="Location"/>
        <s v="BSI Calculation"/>
        <s v="Funding/Heritage"/>
        <s v="Carriageway Information"/>
        <s v="Superstructure - Span Group"/>
        <s v="Superstructure - Deck (1)"/>
        <s v="Superstructure - Deck (2)"/>
        <s v="Utility Services"/>
        <s v="Substructure"/>
        <s v="Waterway"/>
        <s v="Unserviceable or Structurally Deficient Structure"/>
        <s v="Load Capacity"/>
        <s v="Issues/Special Features"/>
        <s v="MEH Components"/>
        <s v="Contact Details"/>
        <s v="Bridge Elements"/>
        <s v="Inspection Equipments"/>
        <s v="List of Inspections"/>
        <s v="table"/>
      </sharedItems>
    </cacheField>
    <cacheField name="UI Section" numFmtId="0">
      <sharedItems containsBlank="1"/>
    </cacheField>
    <cacheField name="UI Field Name" numFmtId="0">
      <sharedItems containsBlank="1"/>
    </cacheField>
    <cacheField name="Business Meaning" numFmtId="0">
      <sharedItems containsBlank="1"/>
    </cacheField>
    <cacheField name="Ind: Src Mandatory" numFmtId="0">
      <sharedItems containsBlank="1"/>
    </cacheField>
    <cacheField name="Ind: Critical" numFmtId="0">
      <sharedItems containsString="0" containsBlank="1" containsNumber="1" containsInteger="1" minValue="1" maxValue="1"/>
    </cacheField>
    <cacheField name="Ind: Multiple Entries" numFmtId="0">
      <sharedItems containsBlank="1" containsMixedTypes="1" containsNumber="1" containsInteger="1" minValue="0" maxValue="1"/>
    </cacheField>
    <cacheField name="Main Table" numFmtId="0">
      <sharedItems containsBlank="1"/>
    </cacheField>
    <cacheField name="Main Field Name" numFmtId="0">
      <sharedItems containsBlank="1"/>
    </cacheField>
    <cacheField name="Table and Field" numFmtId="0">
      <sharedItems/>
    </cacheField>
    <cacheField name="Data Type" numFmtId="0">
      <sharedItems/>
    </cacheField>
    <cacheField name="Lookup Table" numFmtId="0">
      <sharedItems containsBlank="1"/>
    </cacheField>
    <cacheField name="Note" numFmtId="0">
      <sharedItems containsBlank="1" longText="1"/>
    </cacheField>
    <cacheField name="Ind: Attachment" numFmtId="0">
      <sharedItems containsBlank="1" containsMixedTypes="1" containsNumber="1" containsInteger="1" minValue="1" maxValue="1"/>
    </cacheField>
    <cacheField name="Ind: Measure Point" numFmtId="0">
      <sharedItems containsString="0" containsBlank="1" containsNumber="1" containsInteger="1" minValue="1" maxValue="1"/>
    </cacheField>
    <cacheField name="Ind: Culvert Attr" numFmtId="0">
      <sharedItems containsString="0" containsBlank="1" containsNumber="1" containsInteger="1" minValue="1" maxValue="1"/>
    </cacheField>
    <cacheField name="Ind: Used in BSI" numFmtId="0">
      <sharedItems containsString="0" containsBlank="1" containsNumber="1" containsInteger="1" minValue="1" maxValue="1"/>
    </cacheField>
    <cacheField name="Bridge Asset Structure" numFmtId="0">
      <sharedItems containsBlank="1"/>
    </cacheField>
    <cacheField name="Mst Data / Xsac" numFmtId="0">
      <sharedItems containsBlank="1"/>
    </cacheField>
    <cacheField name="FLOC Mapping" numFmtId="0">
      <sharedItems containsBlank="1"/>
    </cacheField>
    <cacheField name="Class / Chars Attribut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x v="0"/>
    <s v="Bridge No."/>
  </r>
  <r>
    <x v="0"/>
    <s v="Description"/>
  </r>
  <r>
    <x v="0"/>
    <s v="Type  "/>
  </r>
  <r>
    <x v="0"/>
    <s v="Over   "/>
  </r>
  <r>
    <x v="0"/>
    <s v="At (Address)"/>
  </r>
  <r>
    <x v="0"/>
    <s v="Add. Notes   "/>
  </r>
  <r>
    <x v="0"/>
    <s v="Bridge Name  "/>
  </r>
  <r>
    <x v="0"/>
    <s v="BHI"/>
  </r>
  <r>
    <x v="0"/>
    <s v="Directorate"/>
  </r>
  <r>
    <x v="0"/>
    <s v="Region"/>
  </r>
  <r>
    <x v="0"/>
    <s v="LGA"/>
  </r>
  <r>
    <x v="0"/>
    <s v="Federal Electorate"/>
  </r>
  <r>
    <x v="0"/>
    <s v="State Electorate"/>
  </r>
  <r>
    <x v="0"/>
    <s v="Operational Status "/>
  </r>
  <r>
    <x v="0"/>
    <s v="Date opened to Traffic"/>
  </r>
  <r>
    <x v="0"/>
    <s v="General File No. "/>
  </r>
  <r>
    <x v="0"/>
    <s v="Road Rank"/>
  </r>
  <r>
    <x v="0"/>
    <s v="Road Class for Structure"/>
  </r>
  <r>
    <x v="0"/>
    <s v="Mine Subsidence Area"/>
  </r>
  <r>
    <x v="0"/>
    <s v="Deemed State Work"/>
  </r>
  <r>
    <x v="0"/>
    <s v="Border Bridge"/>
  </r>
  <r>
    <x v="0"/>
    <s v="Underwater Inspection Required"/>
  </r>
  <r>
    <x v="0"/>
    <s v="Step Joint"/>
  </r>
  <r>
    <x v="0"/>
    <s v="Complex/Unusual Bridge"/>
  </r>
  <r>
    <x v="0"/>
    <s v="Large/Special Bearing"/>
  </r>
  <r>
    <x v="0"/>
    <s v="Large/Special Deck Joint"/>
  </r>
  <r>
    <x v="0"/>
    <s v="Wrought Iron"/>
  </r>
  <r>
    <x v="0"/>
    <s v="Confined Space"/>
  </r>
  <r>
    <x v="0"/>
    <s v="Safety Screen Installed"/>
  </r>
  <r>
    <x v="0"/>
    <s v="Lifts Installed"/>
  </r>
  <r>
    <x v="0"/>
    <s v="Vehicular Traffic On Bridge"/>
  </r>
  <r>
    <x v="0"/>
    <s v="Pedestrian Use on Structure"/>
  </r>
  <r>
    <x v="0"/>
    <s v="Longitude "/>
  </r>
  <r>
    <x v="0"/>
    <s v="Latitude "/>
  </r>
  <r>
    <x v="0"/>
    <s v="Annual Average Daily Traffic count - AADT"/>
  </r>
  <r>
    <x v="0"/>
    <s v="Year (AADT)"/>
  </r>
  <r>
    <x v="0"/>
    <s v="Growth (% per year)"/>
  </r>
  <r>
    <x v="0"/>
    <s v="% of Heavy Vehicles"/>
  </r>
  <r>
    <x v="0"/>
    <s v="Facility"/>
  </r>
  <r>
    <x v="0"/>
    <s v="Bridge Type"/>
  </r>
  <r>
    <x v="0"/>
    <s v="Remarks on the Bridge "/>
  </r>
  <r>
    <x v="1"/>
    <s v="Road Classification"/>
  </r>
  <r>
    <x v="1"/>
    <s v="Road number"/>
  </r>
  <r>
    <x v="1"/>
    <s v="Link number"/>
  </r>
  <r>
    <x v="1"/>
    <s v="Link Carriageway Code"/>
  </r>
  <r>
    <x v="1"/>
    <s v="Version"/>
  </r>
  <r>
    <x v="1"/>
    <s v="Distance from Start"/>
  </r>
  <r>
    <x v="1"/>
    <s v="Carriageway Width Minimum"/>
  </r>
  <r>
    <x v="1"/>
    <s v="Carriageway Width Maximum"/>
  </r>
  <r>
    <x v="1"/>
    <s v="Carriageway Function"/>
  </r>
  <r>
    <x v="1"/>
    <s v="Link for Insp."/>
  </r>
  <r>
    <x v="1"/>
    <s v="Link for Capt."/>
  </r>
  <r>
    <x v="1"/>
    <s v="Prescribed Direction From"/>
  </r>
  <r>
    <x v="1"/>
    <s v="Prescribed Direction To"/>
  </r>
  <r>
    <x v="1"/>
    <s v="Lane number"/>
  </r>
  <r>
    <x v="1"/>
    <s v="In Prescribed Direction"/>
  </r>
  <r>
    <x v="1"/>
    <s v="Permissible Vertical Clearance"/>
  </r>
  <r>
    <x v="1"/>
    <s v="Signposted Vertical Clearance"/>
  </r>
  <r>
    <x v="1"/>
    <s v="Comments for each Carriageway"/>
  </r>
  <r>
    <x v="2"/>
    <s v="Year Completed (YYYY)"/>
  </r>
  <r>
    <x v="2"/>
    <s v="Estimate"/>
  </r>
  <r>
    <x v="2"/>
    <s v="Construction Type"/>
  </r>
  <r>
    <x v="2"/>
    <s v="Final Cost ($)"/>
  </r>
  <r>
    <x v="2"/>
    <s v="Drawing number"/>
  </r>
  <r>
    <x v="2"/>
    <s v="Work As Executed"/>
  </r>
  <r>
    <x v="2"/>
    <s v="Comments on Drawings"/>
  </r>
  <r>
    <x v="2"/>
    <s v="Design Loading Description"/>
  </r>
  <r>
    <x v="2"/>
    <s v="Overall length (m)"/>
  </r>
  <r>
    <x v="2"/>
    <s v="Total span Length (m)"/>
  </r>
  <r>
    <x v="2"/>
    <s v="Span Group Remarks"/>
  </r>
  <r>
    <x v="2"/>
    <s v="Year Completed (individual Span)"/>
  </r>
  <r>
    <x v="2"/>
    <s v="Construction Type (Individual Span)"/>
  </r>
  <r>
    <x v="2"/>
    <s v="Span Length (m)"/>
  </r>
  <r>
    <x v="2"/>
    <s v="Culvert Height (m)"/>
  </r>
  <r>
    <x v="2"/>
    <s v="Span Material"/>
  </r>
  <r>
    <x v="2"/>
    <s v="Span Type"/>
  </r>
  <r>
    <x v="2"/>
    <s v="Protective Coating"/>
  </r>
  <r>
    <x v="2"/>
    <s v="Capitalisation Type"/>
  </r>
  <r>
    <x v="3"/>
    <s v="LHS (m)"/>
  </r>
  <r>
    <x v="3"/>
    <s v="RHS (m)"/>
  </r>
  <r>
    <x v="3"/>
    <s v="LHS (m)"/>
  </r>
  <r>
    <x v="3"/>
    <s v="RHS (m)"/>
  </r>
  <r>
    <x v="3"/>
    <s v="Overall Width Min (m)"/>
  </r>
  <r>
    <x v="3"/>
    <s v="Overall Width Max (m)"/>
  </r>
  <r>
    <x v="3"/>
    <s v="Overall Length"/>
  </r>
  <r>
    <x v="3"/>
    <s v="Skew Angle (Degree)"/>
  </r>
  <r>
    <x v="3"/>
    <s v="Moveable Deck Span"/>
  </r>
  <r>
    <x v="3"/>
    <s v="In use"/>
  </r>
  <r>
    <x v="3"/>
    <s v="Type"/>
  </r>
  <r>
    <x v="3"/>
    <s v="Height (m)"/>
  </r>
  <r>
    <x v="3"/>
    <s v="Minimum Width (m)"/>
  </r>
  <r>
    <x v="3"/>
    <s v="Maximum Width (m)"/>
  </r>
  <r>
    <x v="3"/>
    <s v="No. of Longitudinal Girders (per Span)"/>
  </r>
  <r>
    <x v="3"/>
    <s v="Comments"/>
  </r>
  <r>
    <x v="3"/>
    <s v="No. of Lamps"/>
  </r>
  <r>
    <x v="3"/>
    <s v="No. of Light Poles"/>
  </r>
  <r>
    <x v="3"/>
    <s v="Street Lighting"/>
  </r>
  <r>
    <x v="3"/>
    <s v="Owner"/>
  </r>
  <r>
    <x v="3"/>
    <s v="Agreement Date"/>
  </r>
  <r>
    <x v="3"/>
    <s v="Light Poles Information"/>
  </r>
  <r>
    <x v="3"/>
    <s v="Comments"/>
  </r>
  <r>
    <x v="3"/>
    <s v="Light Poles Details"/>
  </r>
  <r>
    <x v="3"/>
    <s v="Light Pole Type"/>
  </r>
  <r>
    <x v="3"/>
    <s v="Light Pole Height"/>
  </r>
  <r>
    <x v="3"/>
    <s v="Outreach"/>
  </r>
  <r>
    <x v="3"/>
    <s v="Year Installed"/>
  </r>
  <r>
    <x v="3"/>
    <s v="Required Barrier Capacity"/>
  </r>
  <r>
    <x v="3"/>
    <s v="Maximum Possible Upgrade Level"/>
  </r>
  <r>
    <x v="3"/>
    <s v="Existing Level"/>
  </r>
  <r>
    <x v="3"/>
    <s v="Existing Barrier Deficiency"/>
  </r>
  <r>
    <x v="3"/>
    <s v="Barrier Type"/>
  </r>
  <r>
    <x v="3"/>
    <s v="Height(m)"/>
  </r>
  <r>
    <x v="3"/>
    <s v="Barrier Material"/>
  </r>
  <r>
    <x v="3"/>
    <s v="Protective Coating"/>
  </r>
  <r>
    <x v="3"/>
    <s v="Wearing Surface Material"/>
  </r>
  <r>
    <x v="3"/>
    <s v="Deck Material"/>
  </r>
  <r>
    <x v="3"/>
    <s v="Deck Continuity"/>
  </r>
  <r>
    <x v="3"/>
    <s v="Deck Joint Type"/>
  </r>
  <r>
    <x v="3"/>
    <s v="No of Joints"/>
  </r>
  <r>
    <x v="3"/>
    <s v="Joint Location"/>
  </r>
  <r>
    <x v="3"/>
    <s v="ID"/>
  </r>
  <r>
    <x v="3"/>
    <s v="Brand Name"/>
  </r>
  <r>
    <x v="3"/>
    <s v="Product/Model"/>
  </r>
  <r>
    <x v="3"/>
    <s v="Year Of Installation"/>
  </r>
  <r>
    <x v="3"/>
    <s v="Comments"/>
  </r>
  <r>
    <x v="4"/>
    <s v="Service Type"/>
  </r>
  <r>
    <x v="4"/>
    <s v="Utility Owner"/>
  </r>
  <r>
    <x v="4"/>
    <s v="No. off / Size"/>
  </r>
  <r>
    <x v="4"/>
    <s v="Agreement Date (DD-MMM-YYYY)"/>
  </r>
  <r>
    <x v="5"/>
    <s v="Year Completed (YYYY)"/>
  </r>
  <r>
    <x v="5"/>
    <s v="Construction Type"/>
  </r>
  <r>
    <x v="5"/>
    <s v="Type"/>
  </r>
  <r>
    <x v="5"/>
    <s v="No. Off"/>
  </r>
  <r>
    <x v="5"/>
    <s v="Support Type (Abutment or Piers)"/>
  </r>
  <r>
    <x v="5"/>
    <s v="Material"/>
  </r>
  <r>
    <x v="5"/>
    <s v="Type"/>
  </r>
  <r>
    <x v="5"/>
    <s v="Material"/>
  </r>
  <r>
    <x v="5"/>
    <s v="Type"/>
  </r>
  <r>
    <x v="5"/>
    <s v="Type (Protection type)"/>
  </r>
  <r>
    <x v="5"/>
    <s v="Type (Coating Type)"/>
  </r>
  <r>
    <x v="5"/>
    <s v="Abutment / Pier Number Details"/>
  </r>
  <r>
    <x v="5"/>
    <s v="Original Bed Level"/>
  </r>
  <r>
    <x v="5"/>
    <s v="Scour Warning Bed Level"/>
  </r>
  <r>
    <x v="5"/>
    <s v="Structurally Critical Bed Level"/>
  </r>
  <r>
    <x v="5"/>
    <s v="Deck Above NWL (m)"/>
  </r>
  <r>
    <x v="5"/>
    <s v="Deck Above /Below HFL (m)"/>
  </r>
  <r>
    <x v="5"/>
    <s v="HFL Observed Year (YYYY)"/>
  </r>
  <r>
    <x v="5"/>
    <s v="Catchment Area(sq.km.)"/>
  </r>
  <r>
    <x v="5"/>
    <s v="Min. Vertical Navig. Clearance (m)"/>
  </r>
  <r>
    <x v="5"/>
    <s v="Min. Horizontal Navig. Clearance (m)"/>
  </r>
  <r>
    <x v="5"/>
    <s v="Comments"/>
  </r>
  <r>
    <x v="6"/>
    <s v="On B-Double Route &lt;checkbox - display only&gt;"/>
  </r>
  <r>
    <x v="6"/>
    <s v="Analysed Vehicle Configuration"/>
  </r>
  <r>
    <x v="6"/>
    <s v="Vehicle Category"/>
  </r>
  <r>
    <x v="6"/>
    <s v="Vehicle Config. Description"/>
  </r>
  <r>
    <x v="6"/>
    <s v="Approved (radio button)"/>
  </r>
  <r>
    <x v="6"/>
    <s v="Not Approved (radio button)"/>
  </r>
  <r>
    <x v="6"/>
    <s v="Not Assessed (radio button)"/>
  </r>
  <r>
    <x v="6"/>
    <s v="Not Applicable (radio button)"/>
  </r>
  <r>
    <x v="6"/>
    <s v="Date Approved"/>
  </r>
  <r>
    <x v="6"/>
    <s v="Date Updated"/>
  </r>
  <r>
    <x v="6"/>
    <s v="Comments on Route Assessment"/>
  </r>
  <r>
    <x v="6"/>
    <s v="List of Vehicle Configurations (button)"/>
  </r>
  <r>
    <x v="6"/>
    <s v="Load Rating Assessment (display only)"/>
  </r>
  <r>
    <x v="7"/>
    <s v="Main-Component"/>
  </r>
  <r>
    <x v="7"/>
    <s v="Component Name"/>
  </r>
  <r>
    <x v="7"/>
    <s v="Component ID"/>
  </r>
  <r>
    <x v="7"/>
    <s v="Electrical (checkbox)"/>
  </r>
  <r>
    <x v="7"/>
    <s v="Mechanical (checkbox)"/>
  </r>
  <r>
    <x v="7"/>
    <s v="Hydraulic (checkbox)"/>
  </r>
  <r>
    <x v="7"/>
    <s v="Make"/>
  </r>
  <r>
    <x v="7"/>
    <s v="Model"/>
  </r>
  <r>
    <x v="7"/>
    <s v="Sub Type"/>
  </r>
  <r>
    <x v="7"/>
    <s v="Serial No."/>
  </r>
  <r>
    <x v="7"/>
    <s v="Description"/>
  </r>
  <r>
    <x v="7"/>
    <s v="Comments"/>
  </r>
  <r>
    <x v="7"/>
    <s v="No of Items"/>
  </r>
  <r>
    <x v="7"/>
    <s v="No of items Description"/>
  </r>
  <r>
    <x v="7"/>
    <s v="Material"/>
  </r>
  <r>
    <x v="7"/>
    <s v="Part No."/>
  </r>
  <r>
    <x v="7"/>
    <s v="Supplier"/>
  </r>
  <r>
    <x v="7"/>
    <s v="Component Location"/>
  </r>
  <r>
    <x v="7"/>
    <s v="Ratings"/>
  </r>
  <r>
    <x v="7"/>
    <s v="Location Stored"/>
  </r>
  <r>
    <x v="7"/>
    <s v="Shelf Life (in years)"/>
  </r>
  <r>
    <x v="7"/>
    <s v="Other Attributes"/>
  </r>
  <r>
    <x v="7"/>
    <s v="Plan ID"/>
  </r>
  <r>
    <x v="7"/>
    <s v="Drawing Number"/>
  </r>
  <r>
    <x v="7"/>
    <s v="Drawing Reference"/>
  </r>
  <r>
    <x v="7"/>
    <s v="Drawing Name"/>
  </r>
  <r>
    <x v="7"/>
    <s v="Drawing Location"/>
  </r>
  <r>
    <x v="7"/>
    <s v="Image Additional"/>
  </r>
  <r>
    <x v="7"/>
    <s v="Drive System"/>
  </r>
  <r>
    <x v="7"/>
    <s v="Insp Frequency"/>
  </r>
  <r>
    <x v="7"/>
    <s v="Comp Type"/>
  </r>
  <r>
    <x v="7"/>
    <s v="Main-Component"/>
  </r>
  <r>
    <x v="7"/>
    <s v="Component Description"/>
  </r>
  <r>
    <x v="7"/>
    <s v="Task list Group No"/>
  </r>
  <r>
    <x v="7"/>
    <s v="Insp. Task List"/>
  </r>
  <r>
    <x v="7"/>
    <s v="Contact Group"/>
  </r>
  <r>
    <x v="7"/>
    <s v="Description"/>
  </r>
  <r>
    <x v="7"/>
    <s v="Seq"/>
  </r>
  <r>
    <x v="7"/>
    <s v="Contact Name"/>
  </r>
  <r>
    <x v="7"/>
    <s v="Contact Number 1"/>
  </r>
  <r>
    <x v="7"/>
    <s v="Contact Number 1"/>
  </r>
  <r>
    <x v="7"/>
    <s v="Comments"/>
  </r>
  <r>
    <x v="8"/>
    <s v="Contact Group"/>
  </r>
  <r>
    <x v="8"/>
    <s v="Primary Contact"/>
  </r>
  <r>
    <x v="8"/>
    <s v="Organisation"/>
  </r>
  <r>
    <x v="8"/>
    <s v="Position"/>
  </r>
  <r>
    <x v="8"/>
    <s v="Phone Number"/>
  </r>
  <r>
    <x v="8"/>
    <s v="Mobile Number"/>
  </r>
  <r>
    <x v="8"/>
    <s v="Address"/>
  </r>
  <r>
    <x v="8"/>
    <s v="Email Address"/>
  </r>
  <r>
    <x v="8"/>
    <s v="Comm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
  <r>
    <x v="0"/>
    <x v="0"/>
    <s v="(backend table)"/>
    <s v="&lt;backend table&gt;"/>
    <s v="Current bridge record = Y, means active and being used."/>
    <m/>
    <m/>
    <m/>
    <s v="RBS_STRUCTURES"/>
    <s v="CURRENT_YN"/>
    <s v="RBS_STRUCTURES.CURRENT_YN"/>
    <s v="VARCHAR2(1)"/>
    <s v="not applicable"/>
    <s v="Indicator: ACTIVE record = Y."/>
    <m/>
    <m/>
    <m/>
    <m/>
    <m/>
    <m/>
    <m/>
    <m/>
  </r>
  <r>
    <x v="0"/>
    <x v="1"/>
    <m/>
    <s v="Bridge No."/>
    <s v="Unique bridge number"/>
    <s v="y"/>
    <m/>
    <m/>
    <s v="RBS_STRUCTURES"/>
    <s v="BRIDGE_NUMBER"/>
    <s v="RBS_STRUCTURES.BRIDGE_NUMBER"/>
    <s v="NUMBER(5,0),"/>
    <m/>
    <s v="Primary Key: [STRUCTURE_ID]"/>
    <m/>
    <m/>
    <m/>
    <m/>
    <s v="Bridge"/>
    <m/>
    <s v="FLOC Code"/>
    <m/>
  </r>
  <r>
    <x v="0"/>
    <x v="1"/>
    <m/>
    <s v="BSI"/>
    <s v="Bridge Sufficiency Index (BSI)"/>
    <m/>
    <m/>
    <m/>
    <m/>
    <m/>
    <s v="."/>
    <e v="#N/A"/>
    <m/>
    <m/>
    <m/>
    <m/>
    <m/>
    <m/>
    <s v="Bridge"/>
    <m/>
    <s v="FLOC Measuring Point"/>
    <m/>
  </r>
  <r>
    <x v="0"/>
    <x v="1"/>
    <m/>
    <s v="BHI"/>
    <s v="Bridge Health Index (BHI)"/>
    <m/>
    <m/>
    <m/>
    <m/>
    <m/>
    <s v="."/>
    <e v="#N/A"/>
    <m/>
    <m/>
    <m/>
    <m/>
    <m/>
    <m/>
    <s v="Bridge"/>
    <m/>
    <s v="FLOC Measuring Point"/>
    <m/>
  </r>
  <r>
    <x v="0"/>
    <x v="1"/>
    <s v="Description"/>
    <s v="Description - Type"/>
    <s v="Bridge Structure Type"/>
    <s v="y"/>
    <m/>
    <m/>
    <s v="RBS_STRUCTURES"/>
    <s v="DESCRIPTION_TYPE"/>
    <s v="RBS_STRUCTURES.DESCRIPTION_TYPE"/>
    <s v="VARCHAR2(25),"/>
    <m/>
    <s v="Mandatory field"/>
    <m/>
    <m/>
    <m/>
    <m/>
    <s v="Bridge"/>
    <m/>
    <m/>
    <m/>
  </r>
  <r>
    <x v="0"/>
    <x v="1"/>
    <s v="Description"/>
    <s v="Description - Over"/>
    <s v="Bridge Over"/>
    <s v="y"/>
    <m/>
    <m/>
    <s v="RBS_STRUCTURES"/>
    <s v="DESCRIPTION_OVER"/>
    <s v="RBS_STRUCTURES.DESCRIPTION_OVER"/>
    <s v="VARCHAR2(25),"/>
    <m/>
    <m/>
    <m/>
    <m/>
    <m/>
    <m/>
    <s v="Bridge"/>
    <m/>
    <m/>
    <m/>
  </r>
  <r>
    <x v="0"/>
    <x v="1"/>
    <s v="Description"/>
    <s v="Description - At"/>
    <s v="Bridge At"/>
    <s v="n"/>
    <m/>
    <m/>
    <s v="RBS_STRUCTURES"/>
    <s v="DESCRIPTION_AT"/>
    <s v="RBS_STRUCTURES.DESCRIPTION_AT"/>
    <s v="VARCHAR2(25),"/>
    <m/>
    <m/>
    <m/>
    <m/>
    <m/>
    <m/>
    <s v="Bridge"/>
    <m/>
    <m/>
    <m/>
  </r>
  <r>
    <x v="0"/>
    <x v="1"/>
    <s v="Description"/>
    <s v="Additional Notes"/>
    <s v="Bridge At (Additional Notes)"/>
    <s v="n"/>
    <m/>
    <m/>
    <s v="RBS_STRUCTURES"/>
    <s v="DESCRIPTION_AT2"/>
    <s v="RBS_STRUCTURES.DESCRIPTION_AT2"/>
    <s v="VARCHAR2(25),"/>
    <m/>
    <m/>
    <m/>
    <m/>
    <m/>
    <m/>
    <s v="Bridge"/>
    <m/>
    <m/>
    <m/>
  </r>
  <r>
    <x v="0"/>
    <x v="1"/>
    <s v="Description"/>
    <s v="Bridge Name"/>
    <m/>
    <s v="n"/>
    <m/>
    <m/>
    <s v="RBS_STRUCTURES"/>
    <s v="BRIDGE_NAME"/>
    <s v="RBS_STRUCTURES.BRIDGE_NAME"/>
    <s v="VARCHAR2(25),"/>
    <m/>
    <m/>
    <m/>
    <m/>
    <m/>
    <m/>
    <s v="Bridge"/>
    <m/>
    <s v="FLOC Description"/>
    <m/>
  </r>
  <r>
    <x v="0"/>
    <x v="1"/>
    <s v="Geographical Location"/>
    <s v="Division"/>
    <s v="Division Code"/>
    <s v="y"/>
    <m/>
    <m/>
    <s v="RBS_STRUCTURES"/>
    <s v="LA_ID_REGION"/>
    <s v="RBS_STRUCTURES.LA_ID_REGION"/>
    <s v="NUMBER(7,0),"/>
    <s v="RBS_SUBZ_LA. LA_CODE"/>
    <s v="RBS_STRUCTURES. LA_ID_REGION = RBS_SUBZ_LA. LA_ID. _x000a_UI shows 'Region' in the drop-down field name."/>
    <m/>
    <m/>
    <m/>
    <m/>
    <s v="Bridge"/>
    <m/>
    <s v="FLOC Location"/>
    <m/>
  </r>
  <r>
    <x v="0"/>
    <x v="1"/>
    <s v="Geographical Location"/>
    <s v="Division (description)"/>
    <s v="Division Description"/>
    <s v="y"/>
    <m/>
    <m/>
    <s v="rbs_subz_la"/>
    <s v="la_descr"/>
    <s v="rbs_subz_la.la_descr"/>
    <e v="#N/A"/>
    <s v="RBS_SUBZ_LA. LA_CODE"/>
    <s v="See Division Code and Division Description."/>
    <m/>
    <m/>
    <m/>
    <m/>
    <s v="Bridge"/>
    <m/>
    <m/>
    <m/>
  </r>
  <r>
    <x v="0"/>
    <x v="1"/>
    <s v="Geographical Location"/>
    <s v="Region"/>
    <m/>
    <s v="y"/>
    <m/>
    <m/>
    <s v="RBS_STRUCTURES"/>
    <s v="LA_ID_ZONE"/>
    <s v="RBS_STRUCTURES.LA_ID_ZONE"/>
    <s v="NUMBER(7,0),"/>
    <s v="RBS_SUBZ_LA. LA_CODE"/>
    <s v="RBS_STRUCTURES. LA_ID_ZONE = RBS_SUBZ_LA. LA_ID. _x000a_UI shows 'Zone' in the drop-down field name. UI Field [Region] not visible when Division = 471 Sydney Division."/>
    <m/>
    <m/>
    <m/>
    <m/>
    <s v="Bridge"/>
    <m/>
    <m/>
    <m/>
  </r>
  <r>
    <x v="0"/>
    <x v="1"/>
    <s v="Geographical Location"/>
    <s v="Zone/Precinct"/>
    <m/>
    <s v="y"/>
    <m/>
    <m/>
    <s v="RBS_STRUCTURES"/>
    <s v="LA_ID_SUBZ_NETW"/>
    <s v="RBS_STRUCTURES.LA_ID_SUBZ_NETW"/>
    <s v="NUMBER(7,0),"/>
    <s v="RBS_SUBZ_LA. LA_CODE"/>
    <s v="RBS_STRUCTURES. LA_ID_SUBZ_NETW = RBS_SUBZ_LA. LA_ID"/>
    <m/>
    <m/>
    <m/>
    <m/>
    <s v="Bridge"/>
    <m/>
    <m/>
    <m/>
  </r>
  <r>
    <x v="0"/>
    <x v="1"/>
    <s v="Geographical Location"/>
    <s v="LGA"/>
    <m/>
    <s v="y"/>
    <m/>
    <m/>
    <s v="RBS_STRUCTURES"/>
    <s v="LA_ID_LGA"/>
    <s v="RBS_STRUCTURES.LA_ID_LGA"/>
    <s v="NUMBER(10,0),"/>
    <s v="RRL_LA. LA_ID"/>
    <s v="RBS_STRUCTURES. LA_ID_LGA = RRL_LA. LA_ID"/>
    <m/>
    <m/>
    <m/>
    <m/>
    <s v="Bridge"/>
    <m/>
    <s v="FLOC - LGA"/>
    <m/>
  </r>
  <r>
    <x v="0"/>
    <x v="1"/>
    <s v="Geographical Location"/>
    <s v="LGA (description)"/>
    <m/>
    <s v="y"/>
    <m/>
    <m/>
    <s v="RRL_LA"/>
    <s v="la_descr"/>
    <s v="RRL_LA.la_descr"/>
    <e v="#N/A"/>
    <s v="rrl_la. Lt_type = 'LGA'"/>
    <s v="rrl_la. Lt_type = 'LGA'"/>
    <m/>
    <m/>
    <m/>
    <m/>
    <m/>
    <m/>
    <m/>
    <m/>
  </r>
  <r>
    <x v="0"/>
    <x v="1"/>
    <s v="Geographical Location"/>
    <s v="Federal Electorate"/>
    <m/>
    <m/>
    <m/>
    <m/>
    <s v="RBS_STRUCTURES"/>
    <s v="LA_ID_FE"/>
    <s v="RBS_STRUCTURES.LA_ID_FE"/>
    <s v="NUMBER(10,0),"/>
    <m/>
    <m/>
    <m/>
    <m/>
    <m/>
    <m/>
    <s v="Bridge"/>
    <m/>
    <m/>
    <m/>
  </r>
  <r>
    <x v="0"/>
    <x v="1"/>
    <s v="Geographical Location"/>
    <s v="Federal Electorate (description)"/>
    <m/>
    <m/>
    <m/>
    <m/>
    <m/>
    <m/>
    <s v="."/>
    <e v="#N/A"/>
    <m/>
    <m/>
    <m/>
    <m/>
    <m/>
    <m/>
    <m/>
    <m/>
    <m/>
    <m/>
  </r>
  <r>
    <x v="0"/>
    <x v="1"/>
    <s v="Geographical Location"/>
    <s v="State Electorate"/>
    <m/>
    <m/>
    <m/>
    <m/>
    <s v="RBS_STRUCTURES"/>
    <s v="LA_ID_SE"/>
    <s v="RBS_STRUCTURES.LA_ID_SE"/>
    <s v="NUMBER(10,0),"/>
    <m/>
    <m/>
    <m/>
    <m/>
    <m/>
    <m/>
    <s v="Bridge"/>
    <m/>
    <s v="FLOC - SED"/>
    <m/>
  </r>
  <r>
    <x v="0"/>
    <x v="1"/>
    <s v="Geographical Location"/>
    <s v="State Electorate (description)"/>
    <m/>
    <m/>
    <m/>
    <m/>
    <s v="rbs_ref_tables"/>
    <s v="REFERENCE_DESCR1"/>
    <s v="rbs_ref_tables.REFERENCE_DESCR1"/>
    <e v="#N/A"/>
    <s v="rbs_ref_tables. ref_table_name = 'ST_ELECT'"/>
    <s v="rbs_structures. LA_ID_SE = rbs_ref_tables. reference code and rbs_ref_tables. ref_table_name = 'ST_ELECT'"/>
    <m/>
    <m/>
    <m/>
    <m/>
    <m/>
    <m/>
    <m/>
    <m/>
  </r>
  <r>
    <x v="0"/>
    <x v="1"/>
    <m/>
    <s v="Operational Status"/>
    <s v="Operational Status Code"/>
    <m/>
    <m/>
    <m/>
    <s v="RBS_STRUCTURES"/>
    <s v="OPER_STAT_CODE"/>
    <s v="RBS_STRUCTURES.OPER_STAT_CODE"/>
    <s v="VARCHAR2(6),"/>
    <s v="rbs_ref_tables. ref_table_name = 'OPERSTATUS'"/>
    <s v="rbs_structures. Oper_stat_code = rbs_ref_tables. reference code and rbs_ref_tables. ref_table_name = 'OPERSTATUS'"/>
    <m/>
    <m/>
    <m/>
    <m/>
    <s v="Bridge"/>
    <m/>
    <s v="FLOC User Status"/>
    <m/>
  </r>
  <r>
    <x v="0"/>
    <x v="1"/>
    <m/>
    <s v="Operational Status (description)"/>
    <s v="Operational Status Description"/>
    <m/>
    <m/>
    <m/>
    <s v="rbs_ref_tables"/>
    <s v="REFERENCE_DESCR1"/>
    <s v="rbs_ref_tables.REFERENCE_DESCR1"/>
    <e v="#N/A"/>
    <s v="rbs_ref_tables. ref_table_name = 'OPERSTATUS'"/>
    <s v="See Operational Status Code and Operational Status Description"/>
    <m/>
    <m/>
    <m/>
    <m/>
    <s v="Bridge"/>
    <m/>
    <m/>
    <m/>
  </r>
  <r>
    <x v="0"/>
    <x v="1"/>
    <m/>
    <s v="Date opened to Traffic"/>
    <m/>
    <m/>
    <m/>
    <m/>
    <s v="RBS_STRUCTURES"/>
    <s v="DT_OPEN_TO_TRAFFIC"/>
    <s v="RBS_STRUCTURES.DT_OPEN_TO_TRAFFIC"/>
    <s v="DATE,"/>
    <m/>
    <m/>
    <m/>
    <m/>
    <m/>
    <m/>
    <s v="Bridge"/>
    <m/>
    <m/>
    <m/>
  </r>
  <r>
    <x v="0"/>
    <x v="1"/>
    <m/>
    <s v="Gen. File no."/>
    <m/>
    <m/>
    <m/>
    <m/>
    <s v="RBS_STRUCTURES"/>
    <s v="GENERAL_FILE_NO"/>
    <s v="RBS_STRUCTURES.GENERAL_FILE_NO"/>
    <s v="VARCHAR2(100),"/>
    <m/>
    <m/>
    <m/>
    <m/>
    <m/>
    <m/>
    <s v="Bridge"/>
    <m/>
    <m/>
    <m/>
  </r>
  <r>
    <x v="0"/>
    <x v="1"/>
    <m/>
    <s v="Rd Rank"/>
    <s v="Road Rank"/>
    <m/>
    <m/>
    <s v="n"/>
    <s v="RBS_STRUCTURES"/>
    <s v="RD_RANK_CODE"/>
    <s v="RBS_STRUCTURES.RD_RANK_CODE"/>
    <s v="VARCHAR2(1),"/>
    <m/>
    <s v="Rank 1-6: 1 lowest; 6 highest traffic volume. Also see Road Rank in 'Carriageway Information' UI screen."/>
    <m/>
    <m/>
    <m/>
    <m/>
    <s v="Bridge"/>
    <m/>
    <m/>
    <m/>
  </r>
  <r>
    <x v="0"/>
    <x v="1"/>
    <m/>
    <s v="Rd Class. For Structure"/>
    <s v="Road Classification"/>
    <m/>
    <m/>
    <m/>
    <s v="RBS_STRUCTURES"/>
    <s v="RD_CLASS_CODE"/>
    <s v="RBS_STRUCTURES.RD_CLASS_CODE"/>
    <s v="VARCHAR2(6),"/>
    <m/>
    <m/>
    <m/>
    <m/>
    <m/>
    <m/>
    <s v="Bridge"/>
    <m/>
    <m/>
    <m/>
  </r>
  <r>
    <x v="0"/>
    <x v="1"/>
    <m/>
    <s v="Controlled by"/>
    <s v="Controlled by Code (Asset Owner)"/>
    <s v="y"/>
    <m/>
    <m/>
    <s v="RBS_STRUCTURES"/>
    <s v="WA_OWN"/>
    <s v="RBS_STRUCTURES.WA_OWN"/>
    <s v="VARCHAR2(6),"/>
    <s v="rbs_ref_tables. ref_table_name = 'WORK_AUTH'"/>
    <s v="rbs_structures. Wa_own = rbs_ref_tables. reference code and rbs_ref_tables. ref_table_name = 'WORK_AUTH'"/>
    <m/>
    <m/>
    <m/>
    <m/>
    <s v="Bridge"/>
    <m/>
    <s v="FLOC Business Partner"/>
    <m/>
  </r>
  <r>
    <x v="0"/>
    <x v="1"/>
    <m/>
    <s v="Controlled by (description)"/>
    <s v="Controlled by Description (Asset Owner Description)"/>
    <m/>
    <m/>
    <m/>
    <s v="rbs_ref_tables"/>
    <s v="REFERENCE_DESCR1"/>
    <s v="rbs_ref_tables.REFERENCE_DESCR1"/>
    <s v="varchar"/>
    <s v="rbs_ref_tables. ref_table_name = 'WORK_AUTH'"/>
    <s v="See Controlled by Code and Controlled by Description"/>
    <m/>
    <m/>
    <m/>
    <m/>
    <s v="Bridge"/>
    <m/>
    <s v="FLOC Business Partner"/>
    <m/>
  </r>
  <r>
    <x v="0"/>
    <x v="1"/>
    <m/>
    <s v="Inspected by"/>
    <s v="Inspected by Code"/>
    <s v="y"/>
    <m/>
    <m/>
    <s v="RBS_STRUCTURES"/>
    <s v="WA_INSPECT"/>
    <s v="RBS_STRUCTURES.WA_INSPECT"/>
    <s v="VARCHAR2(6),"/>
    <s v="rbs_ref_tables. ref_table_name = 'WORK_AUTH'"/>
    <s v="rbs_structures. Wa_inspect = rbs_ref_tables. reference code and rbs_ref_tables. ref_table_name = 'WORK_AUTH'"/>
    <m/>
    <m/>
    <m/>
    <m/>
    <s v="Bridge"/>
    <m/>
    <s v="FLOC Business Partner"/>
    <m/>
  </r>
  <r>
    <x v="0"/>
    <x v="1"/>
    <m/>
    <s v="Inspected by (description)"/>
    <s v="Inspected by Description"/>
    <m/>
    <m/>
    <m/>
    <s v="rbs_ref_tables"/>
    <s v="REFERENCE_DESCR1"/>
    <s v="rbs_ref_tables.REFERENCE_DESCR1"/>
    <s v="varchar"/>
    <s v="rbs_ref_tables. ref_table_name = 'WORK_AUTH'"/>
    <m/>
    <m/>
    <m/>
    <m/>
    <m/>
    <m/>
    <m/>
    <s v="FLOC Business Partner"/>
    <m/>
  </r>
  <r>
    <x v="0"/>
    <x v="1"/>
    <m/>
    <s v="Maintained by"/>
    <s v="Maintained by Code"/>
    <s v="y"/>
    <m/>
    <m/>
    <s v="RBS_STRUCTURES"/>
    <s v="WA_MAINT"/>
    <s v="RBS_STRUCTURES.WA_MAINT"/>
    <s v="VARCHAR2(6),"/>
    <s v="rbs_ref_tables. ref_table_name = 'WORK_AUTH'"/>
    <s v="rbs_structures. Wa_maint = rbs_ref_tables. reference code and rbs_ref_tables. ref_table_name = 'WORK_AUTH'"/>
    <m/>
    <m/>
    <m/>
    <m/>
    <s v="Bridge"/>
    <m/>
    <s v="FLOC Business Partner"/>
    <m/>
  </r>
  <r>
    <x v="0"/>
    <x v="1"/>
    <m/>
    <s v="Maintained by (description)"/>
    <s v="Maintained by Description"/>
    <m/>
    <m/>
    <m/>
    <s v="rbs_ref_tables"/>
    <s v="REFERENCE_DESCR1"/>
    <s v="rbs_ref_tables.REFERENCE_DESCR1"/>
    <e v="#N/A"/>
    <s v="rbs_ref_tables. ref_table_name = 'WORK_AUTH'"/>
    <m/>
    <m/>
    <m/>
    <m/>
    <m/>
    <m/>
    <m/>
    <s v="FLOC Business Partner"/>
    <m/>
  </r>
  <r>
    <x v="0"/>
    <x v="1"/>
    <m/>
    <s v="Controlled by (Office)"/>
    <s v="Controlled by (Office) Code"/>
    <m/>
    <m/>
    <m/>
    <s v="RBS_STRUCTURES"/>
    <s v="OFFICE_ID"/>
    <s v="RBS_STRUCTURES.OFFICE_ID"/>
    <s v="NUMBER(4,0),"/>
    <m/>
    <m/>
    <m/>
    <m/>
    <m/>
    <m/>
    <s v="Bridge"/>
    <m/>
    <s v="FLOC Business Partner"/>
    <m/>
  </r>
  <r>
    <x v="0"/>
    <x v="1"/>
    <m/>
    <s v="Inspected by (Office)"/>
    <s v="Inspected by (Office) Code"/>
    <m/>
    <m/>
    <m/>
    <s v="RBS_STRUCTURES"/>
    <s v="BRIDGE_OFFICE_ID_INSPECT"/>
    <s v="RBS_STRUCTURES.BRIDGE_OFFICE_ID_INSPECT"/>
    <s v="NUMBER(4,0),"/>
    <m/>
    <m/>
    <m/>
    <m/>
    <m/>
    <m/>
    <s v="Bridge"/>
    <m/>
    <s v="FLOC Business Partner"/>
    <m/>
  </r>
  <r>
    <x v="0"/>
    <x v="1"/>
    <m/>
    <s v="Maintained by (Office)"/>
    <s v="Maintained by (Office) Code"/>
    <m/>
    <m/>
    <m/>
    <s v="RBS_STRUCTURES"/>
    <s v="BRIDGE_OFFICE_ID_MAINT"/>
    <s v="RBS_STRUCTURES.BRIDGE_OFFICE_ID_MAINT"/>
    <s v="NUMBER(4,0),"/>
    <m/>
    <m/>
    <m/>
    <m/>
    <m/>
    <m/>
    <s v="Bridge"/>
    <m/>
    <s v="FLOC Business Partner"/>
    <m/>
  </r>
  <r>
    <x v="0"/>
    <x v="1"/>
    <m/>
    <s v="Controlled by (Office Desc)"/>
    <s v="Controlled by (Office) Description"/>
    <m/>
    <m/>
    <m/>
    <s v="RBS_STRUCTURES"/>
    <s v="OFFICE_ID"/>
    <s v="RBS_STRUCTURES.OFFICE_ID"/>
    <s v="NUMBER(4,0),"/>
    <s v="rbs_bridge_offices"/>
    <m/>
    <m/>
    <m/>
    <m/>
    <m/>
    <s v="Bridge"/>
    <m/>
    <s v="FLOC Business Partner"/>
    <m/>
  </r>
  <r>
    <x v="0"/>
    <x v="1"/>
    <m/>
    <s v="Inspected by (Office Desc)"/>
    <s v="Inspected by (Office) Description"/>
    <m/>
    <m/>
    <m/>
    <s v="RBS_STRUCTURES"/>
    <s v="BRIDGE_OFFICE_ID_INSPECT"/>
    <s v="RBS_STRUCTURES.BRIDGE_OFFICE_ID_INSPECT"/>
    <s v="NUMBER(4,0),"/>
    <s v="rbs_bridge_offices"/>
    <m/>
    <m/>
    <m/>
    <m/>
    <m/>
    <s v="Bridge"/>
    <m/>
    <s v="FLOC Business Partner"/>
    <m/>
  </r>
  <r>
    <x v="0"/>
    <x v="1"/>
    <m/>
    <s v="Maintained by (Office Desc)"/>
    <s v="Maintained by (Office) Description"/>
    <m/>
    <m/>
    <m/>
    <s v="RBS_STRUCTURES"/>
    <s v="BRIDGE_OFFICE_ID_MAINT"/>
    <s v="RBS_STRUCTURES.BRIDGE_OFFICE_ID_MAINT"/>
    <s v="NUMBER(4,0),"/>
    <s v="rbs_bridge_offices"/>
    <m/>
    <m/>
    <m/>
    <m/>
    <m/>
    <s v="Bridge"/>
    <m/>
    <s v="FLOC Business Partner"/>
    <m/>
  </r>
  <r>
    <x v="0"/>
    <x v="1"/>
    <s v="Geo Co-ordinates"/>
    <s v="Latitude"/>
    <s v="Description"/>
    <m/>
    <m/>
    <m/>
    <s v="RBS_STRUCTURES"/>
    <s v="LATITUDE"/>
    <s v="RBS_STRUCTURES.LATITUDE"/>
    <s v="NUMBER(8,5),"/>
    <m/>
    <m/>
    <m/>
    <m/>
    <m/>
    <m/>
    <s v="Bridge"/>
    <m/>
    <s v="FLOC Latitude"/>
    <m/>
  </r>
  <r>
    <x v="0"/>
    <x v="1"/>
    <s v="Geo Co-ordinates"/>
    <s v="Longitude"/>
    <s v="Description"/>
    <m/>
    <m/>
    <m/>
    <s v="RBS_STRUCTURES"/>
    <s v="LONGITUDE"/>
    <s v="RBS_STRUCTURES.LONGITUDE"/>
    <s v="NUMBER(8,5),"/>
    <m/>
    <m/>
    <m/>
    <m/>
    <m/>
    <m/>
    <s v="Bridge"/>
    <m/>
    <s v="FLOC Longitude"/>
    <m/>
  </r>
  <r>
    <x v="0"/>
    <x v="1"/>
    <s v="AADT"/>
    <s v="AADT"/>
    <s v="AADT (Annual Average Daily Traffic)"/>
    <m/>
    <m/>
    <m/>
    <s v="RBS_STRUCTURES"/>
    <s v="AADT"/>
    <s v="RBS_STRUCTURES.AADT"/>
    <s v="NUMBER,"/>
    <m/>
    <m/>
    <m/>
    <n v="1"/>
    <m/>
    <m/>
    <s v="Bridge"/>
    <m/>
    <m/>
    <m/>
  </r>
  <r>
    <x v="0"/>
    <x v="1"/>
    <s v="AADT"/>
    <s v="AADT - Year"/>
    <s v="AADT - Year"/>
    <m/>
    <m/>
    <m/>
    <s v="RBS_STRUCTURES"/>
    <s v="AADT_YR"/>
    <s v="RBS_STRUCTURES.AADT_YR"/>
    <s v="NUMBER(4,0),"/>
    <m/>
    <m/>
    <m/>
    <n v="1"/>
    <m/>
    <m/>
    <s v="Bridge"/>
    <m/>
    <m/>
    <m/>
  </r>
  <r>
    <x v="0"/>
    <x v="1"/>
    <s v="AADT"/>
    <s v="Growth (% per year)"/>
    <s v="AADT - Growth per Description"/>
    <m/>
    <m/>
    <m/>
    <s v="RBS_STRUCTURES"/>
    <s v="AADT_GROWTH"/>
    <s v="RBS_STRUCTURES.AADT_GROWTH"/>
    <s v="NUMBER(2,0),"/>
    <m/>
    <m/>
    <m/>
    <n v="1"/>
    <m/>
    <m/>
    <s v="Bridge"/>
    <m/>
    <m/>
    <m/>
  </r>
  <r>
    <x v="0"/>
    <x v="1"/>
    <s v="AADT"/>
    <s v="% of Heavy Vehicles"/>
    <s v="AADT % of Heavy Description"/>
    <m/>
    <m/>
    <m/>
    <s v="RBS_STRUCTURES"/>
    <s v="AADT_PERCENTAGE_HEAVY"/>
    <s v="RBS_STRUCTURES.AADT_PERCENTAGE_HEAVY"/>
    <s v="NUMBER(3,0),"/>
    <m/>
    <m/>
    <m/>
    <n v="1"/>
    <m/>
    <m/>
    <s v="Bridge"/>
    <m/>
    <m/>
    <m/>
  </r>
  <r>
    <x v="0"/>
    <x v="1"/>
    <m/>
    <s v="Facility"/>
    <s v="Facility Code"/>
    <s v="y"/>
    <m/>
    <m/>
    <s v="RBS_STRUCTURES"/>
    <s v="FACI_TYPE_CODE"/>
    <s v="RBS_STRUCTURES.FACI_TYPE_CODE"/>
    <s v="VARCHAR2(6),"/>
    <s v="RBS_REF_TABLES. REF_TABLE_NAME = 'FCILTY_TYP' "/>
    <s v="rbs_structures. Faci_type_code = rbs_ref_tables. reference code and rbs_ref_tables. ref_table_name = 'FCILTY_TYP'._x000a__x000a_Description = REBS_REF_TABLES. REFERENCE_DESCR1. _x000a_Example: RBS_REF_TABLES. REFERENCE_CODE = 5 - Bridge; 8 - Tunnel."/>
    <m/>
    <m/>
    <m/>
    <m/>
    <s v="Bridge"/>
    <m/>
    <m/>
    <m/>
  </r>
  <r>
    <x v="0"/>
    <x v="1"/>
    <m/>
    <s v="Facility (description)"/>
    <s v="Facility Description"/>
    <s v="y"/>
    <m/>
    <m/>
    <s v="rbs_ref_tables"/>
    <s v="REFERENCE_DESCR1"/>
    <s v="rbs_ref_tables.REFERENCE_DESCR1"/>
    <e v="#N/A"/>
    <s v="RBS_REF_TABLES. REF_TABLE_NAME = 'FCILTY_TYP' "/>
    <s v="See Facility Code and Facility Description"/>
    <m/>
    <m/>
    <m/>
    <m/>
    <s v="Bridge"/>
    <m/>
    <m/>
    <m/>
  </r>
  <r>
    <x v="0"/>
    <x v="1"/>
    <m/>
    <s v="Remarks on the Bridge"/>
    <s v="Remarks on Description"/>
    <m/>
    <m/>
    <m/>
    <s v="RBS_STRUCTURES"/>
    <s v="BRIDGE_COMMENT"/>
    <s v="RBS_STRUCTURES.BRIDGE_COMMENT"/>
    <s v="VARCHAR2(1000),"/>
    <m/>
    <m/>
    <m/>
    <m/>
    <m/>
    <m/>
    <s v="Bridge"/>
    <m/>
    <m/>
    <m/>
  </r>
  <r>
    <x v="0"/>
    <x v="1"/>
    <m/>
    <s v="Bridge Type"/>
    <s v="Bridge Type"/>
    <s v="n"/>
    <m/>
    <m/>
    <s v="RBS_STRUCTURES"/>
    <s v="brdg_type_code"/>
    <s v="RBS_STRUCTURES.brdg_type_code"/>
    <s v="VARCHAR2(5),"/>
    <s v="select reference_code, reference_descr1 bridge_type_x000a_    from rbs_ref_tables_x000a_    where ref_table_name = 'CAPT_TYPES' "/>
    <s v="Bridge Type Code is not mandatory in BIS. Bridge type is defined as the costliest combination of span material and span type for each bridge. This field is derived for each bridge by the BIS software from span groups data. _x000a_Bridge Type is interchangeable with Capitalisation Type in BIS."/>
    <m/>
    <m/>
    <m/>
    <m/>
    <s v="Bridge"/>
    <m/>
    <m/>
    <m/>
  </r>
  <r>
    <x v="0"/>
    <x v="1"/>
    <m/>
    <s v="Summary Type"/>
    <s v="Bridge Summary Type (3): Concrete/steel, Timber, or Culverts. Derived from [Bridge Type]."/>
    <m/>
    <m/>
    <m/>
    <m/>
    <m/>
    <s v="."/>
    <e v="#N/A"/>
    <m/>
    <s v="Bridge Summary Type (3): Concrete/steel, Timber, or Culverts. Derived from [Bridge Type]."/>
    <m/>
    <m/>
    <m/>
    <m/>
    <s v="Bridge"/>
    <m/>
    <m/>
    <m/>
  </r>
  <r>
    <x v="0"/>
    <x v="1"/>
    <m/>
    <s v="Culvert: Max. Height of fill under road centreline (m)"/>
    <s v="Culvert Max Description"/>
    <m/>
    <m/>
    <m/>
    <s v="RBS_STRUCTURES"/>
    <s v="CULVERT_HT_OF_FILL"/>
    <s v="RBS_STRUCTURES.CULVERT_HT_OF_FILL"/>
    <s v="NUMBER(4,2),"/>
    <m/>
    <m/>
    <m/>
    <m/>
    <n v="1"/>
    <m/>
    <s v="Bridge"/>
    <m/>
    <m/>
    <m/>
  </r>
  <r>
    <x v="0"/>
    <x v="1"/>
    <m/>
    <s v="Deck Level in AHD"/>
    <s v="Deck Level Description"/>
    <m/>
    <m/>
    <m/>
    <s v="RBS_STRUCTURES"/>
    <s v="DECK_LEVEL_IN_AHD"/>
    <s v="RBS_STRUCTURES.DECK_LEVEL_IN_AHD"/>
    <s v="VARCHAR2(500),"/>
    <m/>
    <m/>
    <m/>
    <m/>
    <m/>
    <m/>
    <s v="Bridge"/>
    <m/>
    <m/>
    <m/>
  </r>
  <r>
    <x v="0"/>
    <x v="1"/>
    <m/>
    <s v="Mine subsidence area (checkbox)"/>
    <m/>
    <m/>
    <m/>
    <m/>
    <s v="RBS_STRUCTURES"/>
    <s v="MINE_SUBSID_AREA_YN"/>
    <s v="RBS_STRUCTURES.MINE_SUBSID_AREA_YN"/>
    <s v="VARCHAR2(2)"/>
    <m/>
    <s v="used"/>
    <m/>
    <m/>
    <m/>
    <m/>
    <s v="Bridge"/>
    <m/>
    <m/>
    <m/>
  </r>
  <r>
    <x v="0"/>
    <x v="1"/>
    <m/>
    <s v="Deemed State Work (checkbox)"/>
    <m/>
    <m/>
    <m/>
    <m/>
    <s v="RBS_STRUCTURES"/>
    <s v="DEEMED_STATE_WORK_YN"/>
    <s v="RBS_STRUCTURES.DEEMED_STATE_WORK_YN"/>
    <s v="VARCHAR2(1)"/>
    <m/>
    <s v="used"/>
    <m/>
    <m/>
    <m/>
    <m/>
    <s v="Bridge"/>
    <m/>
    <m/>
    <m/>
  </r>
  <r>
    <x v="0"/>
    <x v="1"/>
    <m/>
    <s v="Border Bridge (checkbox)"/>
    <m/>
    <m/>
    <m/>
    <m/>
    <s v="RBS_STRUCTURES"/>
    <s v="BORDER_BRDG_YN"/>
    <s v="RBS_STRUCTURES.BORDER_BRDG_YN"/>
    <s v="VARCHAR2(1)"/>
    <m/>
    <s v="used"/>
    <m/>
    <m/>
    <m/>
    <m/>
    <s v="Bridge"/>
    <m/>
    <m/>
    <m/>
  </r>
  <r>
    <x v="0"/>
    <x v="1"/>
    <m/>
    <s v="Underwater Insp. Rqd. (checkbox)"/>
    <m/>
    <m/>
    <m/>
    <m/>
    <s v="RBS_STRUCTURES"/>
    <s v="UNDERWATER_YN"/>
    <s v="RBS_STRUCTURES.UNDERWATER_YN"/>
    <s v="VARCHAR2(1)"/>
    <m/>
    <s v="used"/>
    <m/>
    <m/>
    <m/>
    <m/>
    <s v="Bridge"/>
    <m/>
    <m/>
    <m/>
  </r>
  <r>
    <x v="0"/>
    <x v="1"/>
    <m/>
    <s v="Step Joint (checkbox)"/>
    <m/>
    <m/>
    <m/>
    <m/>
    <s v="RBS_STRUCTURES"/>
    <s v="STEP_JOINT_YN"/>
    <s v="RBS_STRUCTURES.STEP_JOINT_YN"/>
    <s v="VARCHAR2(1)"/>
    <m/>
    <s v="used"/>
    <m/>
    <m/>
    <m/>
    <m/>
    <s v="Bridge"/>
    <m/>
    <m/>
    <m/>
  </r>
  <r>
    <x v="0"/>
    <x v="1"/>
    <m/>
    <s v="On B-Double Route (checkbox)"/>
    <m/>
    <m/>
    <m/>
    <m/>
    <s v="RBS_STRUCTURES"/>
    <s v="B_DOUBLE_RD_YN"/>
    <s v="RBS_STRUCTURES.B_DOUBLE_RD_YN"/>
    <s v="VARCHAR2(1),"/>
    <m/>
    <s v="used"/>
    <m/>
    <m/>
    <m/>
    <n v="1"/>
    <s v="Bridge"/>
    <m/>
    <m/>
    <m/>
  </r>
  <r>
    <x v="0"/>
    <x v="1"/>
    <m/>
    <s v="Complex/Unusual Bridge (checkbox)"/>
    <m/>
    <m/>
    <m/>
    <m/>
    <s v="RBS_STRUCTURES"/>
    <s v="COMPLEX_UNUSUAL_YN"/>
    <s v="RBS_STRUCTURES.COMPLEX_UNUSUAL_YN"/>
    <s v="VARCHAR2(1)"/>
    <m/>
    <s v="used"/>
    <m/>
    <m/>
    <m/>
    <m/>
    <s v="Bridge"/>
    <m/>
    <m/>
    <m/>
  </r>
  <r>
    <x v="0"/>
    <x v="1"/>
    <m/>
    <s v="Large/Special Bearing (checkbox)"/>
    <m/>
    <m/>
    <m/>
    <m/>
    <s v="RBS_STRUCTURES"/>
    <s v="LARGE_BEARING_YN"/>
    <s v="RBS_STRUCTURES.LARGE_BEARING_YN"/>
    <s v="VARCHAR2(1)"/>
    <m/>
    <s v="used"/>
    <m/>
    <m/>
    <m/>
    <m/>
    <s v="Bridge"/>
    <m/>
    <m/>
    <m/>
  </r>
  <r>
    <x v="0"/>
    <x v="1"/>
    <m/>
    <s v="Large/Special Deck Joint (checkbox)"/>
    <m/>
    <m/>
    <m/>
    <m/>
    <s v="RBS_STRUCTURES"/>
    <s v="LARGE_DECKJOINT_YN"/>
    <s v="RBS_STRUCTURES.LARGE_DECKJOINT_YN"/>
    <s v="VARCHAR2(1)"/>
    <m/>
    <s v="used"/>
    <m/>
    <m/>
    <m/>
    <m/>
    <s v="Bridge"/>
    <m/>
    <m/>
    <m/>
  </r>
  <r>
    <x v="0"/>
    <x v="1"/>
    <m/>
    <s v="Wrought Iron"/>
    <m/>
    <m/>
    <m/>
    <m/>
    <s v="RBS_STRUCTURES"/>
    <s v="WROUGHT_IRON"/>
    <s v="RBS_STRUCTURES.WROUGHT_IRON"/>
    <s v="VARCHAR2(1)"/>
    <m/>
    <s v="used"/>
    <m/>
    <m/>
    <m/>
    <m/>
    <s v="Bridge"/>
    <m/>
    <m/>
    <m/>
  </r>
  <r>
    <x v="0"/>
    <x v="1"/>
    <m/>
    <s v="Confined Space"/>
    <m/>
    <m/>
    <m/>
    <m/>
    <s v="RBS_STRUCTURES"/>
    <s v="CONFINED_SPACE"/>
    <s v="RBS_STRUCTURES.CONFINED_SPACE"/>
    <s v="VARCHAR2(2),"/>
    <m/>
    <s v="used"/>
    <m/>
    <m/>
    <m/>
    <m/>
    <s v="Bridge"/>
    <m/>
    <m/>
    <m/>
  </r>
  <r>
    <x v="0"/>
    <x v="1"/>
    <m/>
    <s v="Potential High Risk"/>
    <m/>
    <m/>
    <m/>
    <m/>
    <s v="RBS_STRUCTURES"/>
    <s v="POTENTIAL_HIGH_RISK_YN"/>
    <s v="RBS_STRUCTURES.POTENTIAL_HIGH_RISK_YN"/>
    <s v="VARCHAR2(1),"/>
    <m/>
    <s v="used"/>
    <m/>
    <m/>
    <m/>
    <m/>
    <s v="Bridge"/>
    <m/>
    <m/>
    <m/>
  </r>
  <r>
    <x v="0"/>
    <x v="1"/>
    <m/>
    <s v="Vehicular Traffic on Brdg."/>
    <m/>
    <m/>
    <m/>
    <m/>
    <s v="RBS_STRUCTURES"/>
    <s v="VEH_TRAFFIC_YN"/>
    <s v="RBS_STRUCTURES.VEH_TRAFFIC_YN"/>
    <s v="VARCHAR2(1)"/>
    <m/>
    <s v="used"/>
    <m/>
    <m/>
    <m/>
    <m/>
    <s v="Bridge"/>
    <m/>
    <m/>
    <m/>
  </r>
  <r>
    <x v="0"/>
    <x v="1"/>
    <m/>
    <s v="Safety Screen Installed"/>
    <m/>
    <m/>
    <m/>
    <m/>
    <s v="RBS_STRUCTURES"/>
    <s v="SAFE_SCREEN_INSTALLED_YN"/>
    <s v="RBS_STRUCTURES.SAFE_SCREEN_INSTALLED_YN"/>
    <s v="VARCHAR2(1)"/>
    <m/>
    <s v="used"/>
    <m/>
    <m/>
    <m/>
    <m/>
    <s v="Bridge"/>
    <m/>
    <m/>
    <m/>
  </r>
  <r>
    <x v="0"/>
    <x v="1"/>
    <m/>
    <s v="Lifts Installed"/>
    <m/>
    <m/>
    <m/>
    <m/>
    <s v="RBS_STRUCTURES"/>
    <s v="LIFT_INSTALLED_YN"/>
    <s v="RBS_STRUCTURES.LIFT_INSTALLED_YN"/>
    <s v="VARCHAR2(1)"/>
    <m/>
    <s v="used"/>
    <m/>
    <m/>
    <m/>
    <m/>
    <s v="Bridge"/>
    <m/>
    <m/>
    <m/>
  </r>
  <r>
    <x v="0"/>
    <x v="1"/>
    <m/>
    <s v="Pedestrian Use on Struct."/>
    <m/>
    <m/>
    <m/>
    <m/>
    <s v="RBS_STRUCTURES"/>
    <s v="PED_USE_YN"/>
    <s v="RBS_STRUCTURES.PED_USE_YN"/>
    <s v="VARCHAR2(1),"/>
    <m/>
    <s v="used"/>
    <m/>
    <m/>
    <m/>
    <m/>
    <s v="Bridge"/>
    <m/>
    <m/>
    <m/>
  </r>
  <r>
    <x v="0"/>
    <x v="1"/>
    <m/>
    <s v="Opening Bridge"/>
    <m/>
    <m/>
    <m/>
    <m/>
    <s v="RBS_STRUCTURES"/>
    <s v="OPENING_BRIDGE_YN"/>
    <s v="RBS_STRUCTURES.OPENING_BRIDGE_YN"/>
    <s v="VARCHAR2(1)"/>
    <m/>
    <s v="used"/>
    <m/>
    <m/>
    <m/>
    <m/>
    <s v="Bridge"/>
    <m/>
    <m/>
    <m/>
  </r>
  <r>
    <x v="0"/>
    <x v="1"/>
    <m/>
    <s v="SMP Available &lt;greyed out&gt;"/>
    <s v="Structure Management Plan Available?"/>
    <m/>
    <m/>
    <m/>
    <s v="?"/>
    <s v="?"/>
    <s v="?.?"/>
    <e v="#N/A"/>
    <m/>
    <s v="greyed out: not used?"/>
    <m/>
    <m/>
    <m/>
    <m/>
    <s v="Bridge"/>
    <m/>
    <m/>
    <m/>
  </r>
  <r>
    <x v="1"/>
    <x v="2"/>
    <s v="Slope Detail"/>
    <s v="Type"/>
    <s v="Slope Type"/>
    <m/>
    <n v="1"/>
    <m/>
    <s v="rsm_slope_sites"/>
    <s v="site_class"/>
    <s v="rsm_slope_sites.site_class"/>
    <e v="#N/A"/>
    <s v="rsm_ref_codes. Ref_type = 16"/>
    <m/>
    <m/>
    <m/>
    <m/>
    <m/>
    <m/>
    <m/>
    <m/>
    <m/>
  </r>
  <r>
    <x v="1"/>
    <x v="2"/>
    <s v="Slope Detail"/>
    <s v="Location Comment"/>
    <s v="Slope location commentary"/>
    <m/>
    <m/>
    <m/>
    <s v="rsm_slope_sites"/>
    <s v="comments (char 4000)"/>
    <s v="rsm_slope_sites.comments (char 4000)"/>
    <e v="#N/A"/>
    <m/>
    <m/>
    <m/>
    <m/>
    <m/>
    <m/>
    <m/>
    <m/>
    <m/>
    <m/>
  </r>
  <r>
    <x v="1"/>
    <x v="2"/>
    <m/>
    <m/>
    <m/>
    <m/>
    <m/>
    <m/>
    <s v="rsm_slope_sites"/>
    <s v="description (char 2000)"/>
    <s v="rsm_slope_sites.description (char 2000)"/>
    <e v="#N/A"/>
    <m/>
    <m/>
    <m/>
    <m/>
    <m/>
    <m/>
    <m/>
    <m/>
    <m/>
    <m/>
  </r>
  <r>
    <x v="1"/>
    <x v="2"/>
    <m/>
    <m/>
    <m/>
    <m/>
    <m/>
    <m/>
    <s v="rsm_ref_codes"/>
    <s v="description (char 100)"/>
    <s v="rsm_ref_codes.description (char 100)"/>
    <e v="#N/A"/>
    <m/>
    <m/>
    <m/>
    <m/>
    <m/>
    <m/>
    <m/>
    <m/>
    <m/>
    <m/>
  </r>
  <r>
    <x v="1"/>
    <x v="3"/>
    <s v="Slope Identification"/>
    <s v="Slope Type"/>
    <s v="Slope Type"/>
    <m/>
    <n v="1"/>
    <m/>
    <s v="rsm_slope_sites"/>
    <s v="site_class"/>
    <s v="rsm_slope_sites.site_class"/>
    <e v="#N/A"/>
    <s v="rsm_ref_codes. Ref_type = 16"/>
    <m/>
    <m/>
    <m/>
    <m/>
    <m/>
    <m/>
    <m/>
    <m/>
    <m/>
  </r>
  <r>
    <x v="1"/>
    <x v="3"/>
    <s v="Slope Identification"/>
    <s v="Material"/>
    <s v="Slope Material"/>
    <m/>
    <n v="1"/>
    <m/>
    <m/>
    <s v="material_id"/>
    <s v=".material_id"/>
    <e v="#N/A"/>
    <m/>
    <m/>
    <m/>
    <m/>
    <m/>
    <m/>
    <m/>
    <m/>
    <m/>
    <m/>
  </r>
  <r>
    <x v="1"/>
    <x v="3"/>
    <s v="Slope Identification"/>
    <s v="Max Height"/>
    <m/>
    <m/>
    <m/>
    <m/>
    <s v="rsm_slope_sites"/>
    <s v="max_slope_height"/>
    <s v="rsm_slope_sites.max_slope_height"/>
    <e v="#N/A"/>
    <m/>
    <s v="UOM in metre"/>
    <m/>
    <m/>
    <m/>
    <m/>
    <m/>
    <m/>
    <m/>
    <m/>
  </r>
  <r>
    <x v="1"/>
    <x v="3"/>
    <s v="Slope Identification"/>
    <s v="Avg Angle"/>
    <s v="Avg Angle Description"/>
    <m/>
    <m/>
    <m/>
    <s v="rsm_slope_sites"/>
    <s v="avg_slope_angle"/>
    <s v="rsm_slope_sites.avg_slope_angle"/>
    <e v="#N/A"/>
    <m/>
    <m/>
    <m/>
    <m/>
    <m/>
    <m/>
    <m/>
    <m/>
    <m/>
    <m/>
  </r>
  <r>
    <x v="0"/>
    <x v="4"/>
    <s v="S1 - Load Capacity Rating"/>
    <s v="B-Double Route (Y/N) - &lt;greyed out&gt;"/>
    <s v="B Double Description"/>
    <m/>
    <m/>
    <m/>
    <m/>
    <m/>
    <s v="."/>
    <e v="#N/A"/>
    <m/>
    <m/>
    <m/>
    <m/>
    <m/>
    <m/>
    <s v="Structural"/>
    <m/>
    <m/>
    <m/>
  </r>
  <r>
    <x v="0"/>
    <x v="4"/>
    <s v="S1 - Load Capacity Rating"/>
    <s v="Deficient Load Restriction (Y/N)"/>
    <m/>
    <m/>
    <m/>
    <m/>
    <s v="RBS_DEFIC_STRUCT"/>
    <s v="LOAD_LIMIT"/>
    <s v="RBS_DEFIC_STRUCT.LOAD_LIMIT"/>
    <e v="#N/A"/>
    <m/>
    <s v="calculated in RBS_BSI_V2 view"/>
    <m/>
    <m/>
    <m/>
    <m/>
    <s v="Structural"/>
    <m/>
    <m/>
    <m/>
  </r>
  <r>
    <x v="0"/>
    <x v="4"/>
    <s v="S1 - Load Capacity Rating"/>
    <s v="Load Limit Sign Posted (number)"/>
    <s v="Load Limit Description"/>
    <m/>
    <m/>
    <m/>
    <m/>
    <m/>
    <s v="."/>
    <e v="#N/A"/>
    <m/>
    <m/>
    <m/>
    <m/>
    <m/>
    <m/>
    <s v="Structural"/>
    <m/>
    <m/>
    <m/>
  </r>
  <r>
    <x v="0"/>
    <x v="4"/>
    <s v="S1 - Load Capacity Rating"/>
    <s v="Load Capacity Rating"/>
    <m/>
    <m/>
    <m/>
    <m/>
    <m/>
    <m/>
    <s v="."/>
    <e v="#N/A"/>
    <m/>
    <m/>
    <m/>
    <m/>
    <m/>
    <m/>
    <s v="Structural"/>
    <m/>
    <m/>
    <m/>
  </r>
  <r>
    <x v="0"/>
    <x v="4"/>
    <s v="S2 - Bridge Width Rating"/>
    <s v="Bridge Width Rating"/>
    <m/>
    <m/>
    <m/>
    <m/>
    <m/>
    <m/>
    <s v="."/>
    <e v="#N/A"/>
    <m/>
    <m/>
    <m/>
    <m/>
    <m/>
    <m/>
    <s v="Structural"/>
    <m/>
    <m/>
    <m/>
  </r>
  <r>
    <x v="0"/>
    <x v="4"/>
    <s v="S3 - Vertical Clearance Rating"/>
    <s v="Vertical Clearance Rating"/>
    <m/>
    <m/>
    <m/>
    <m/>
    <m/>
    <m/>
    <s v="."/>
    <e v="#N/A"/>
    <m/>
    <m/>
    <m/>
    <m/>
    <m/>
    <m/>
    <s v="Structural"/>
    <m/>
    <m/>
    <m/>
  </r>
  <r>
    <x v="0"/>
    <x v="4"/>
    <s v="S4 - Route Alternative Rating"/>
    <s v="Route Alternative Rating"/>
    <m/>
    <m/>
    <m/>
    <m/>
    <m/>
    <m/>
    <s v="."/>
    <e v="#N/A"/>
    <m/>
    <m/>
    <m/>
    <m/>
    <m/>
    <m/>
    <s v="Structural"/>
    <m/>
    <m/>
    <m/>
  </r>
  <r>
    <x v="0"/>
    <x v="4"/>
    <s v="S5 - Barrier Rating"/>
    <s v="Barrier Rating"/>
    <m/>
    <m/>
    <m/>
    <m/>
    <m/>
    <m/>
    <s v="."/>
    <e v="#N/A"/>
    <m/>
    <m/>
    <m/>
    <m/>
    <m/>
    <m/>
    <s v="Structural"/>
    <m/>
    <m/>
    <m/>
  </r>
  <r>
    <x v="0"/>
    <x v="5"/>
    <s v="Maintenance Funding"/>
    <s v="Funded By"/>
    <s v="Maintenance Funded by"/>
    <s v="n"/>
    <m/>
    <s v="y"/>
    <s v="RBS_STRUCT_MAINT_FUND"/>
    <s v="WORK_AUTH_CODE"/>
    <s v="RBS_STRUCT_MAINT_FUND.WORK_AUTH_CODE"/>
    <e v="#N/A"/>
    <m/>
    <m/>
    <m/>
    <m/>
    <m/>
    <m/>
    <s v="Bridge"/>
    <m/>
    <m/>
    <m/>
  </r>
  <r>
    <x v="0"/>
    <x v="5"/>
    <s v="Maintenance Funding"/>
    <s v="Percent"/>
    <s v="Maintenance Fund Percentage"/>
    <s v="n"/>
    <m/>
    <s v="y"/>
    <s v="RBS_STRUCT_MAINT_FUND"/>
    <s v="FUND_PCT"/>
    <s v="RBS_STRUCT_MAINT_FUND.FUND_PCT"/>
    <e v="#N/A"/>
    <m/>
    <m/>
    <m/>
    <m/>
    <m/>
    <m/>
    <s v="Bridge"/>
    <m/>
    <m/>
    <m/>
  </r>
  <r>
    <x v="0"/>
    <x v="5"/>
    <s v="Heritage Listing"/>
    <s v="Code"/>
    <s v="Heritage Code"/>
    <s v="n"/>
    <m/>
    <s v="y"/>
    <s v="RBS_STRUCT_HRTG_LISTS"/>
    <s v="HRTG_LIST_CODE"/>
    <s v="RBS_STRUCT_HRTG_LISTS.HRTG_LIST_CODE"/>
    <e v="#N/A"/>
    <m/>
    <m/>
    <m/>
    <m/>
    <m/>
    <m/>
    <s v="Bridge"/>
    <m/>
    <m/>
    <m/>
  </r>
  <r>
    <x v="0"/>
    <x v="5"/>
    <s v="Heritage Listing"/>
    <s v="Date Valid From"/>
    <s v="Heritage Date Valid From"/>
    <s v="n"/>
    <m/>
    <s v="y"/>
    <s v="RBS_STRUCT_HRTG_LISTS"/>
    <s v="DT_VALID_FROM"/>
    <s v="RBS_STRUCT_HRTG_LISTS.DT_VALID_FROM"/>
    <e v="#N/A"/>
    <m/>
    <m/>
    <m/>
    <m/>
    <m/>
    <m/>
    <s v="Bridge"/>
    <m/>
    <m/>
    <m/>
  </r>
  <r>
    <x v="0"/>
    <x v="6"/>
    <m/>
    <s v="Road Rank"/>
    <s v="Road Rank Code (1-6)"/>
    <m/>
    <m/>
    <s v="y"/>
    <s v="RBS_STRUCT_CWY"/>
    <s v="RD_RANK"/>
    <s v="RBS_STRUCT_CWY.RD_RANK"/>
    <e v="#N/A"/>
    <m/>
    <s v="Rank 1-6: 1 lowest; 6 highest traffic volume"/>
    <m/>
    <m/>
    <m/>
    <m/>
    <s v="Bridge"/>
    <m/>
    <m/>
    <m/>
  </r>
  <r>
    <x v="0"/>
    <x v="6"/>
    <m/>
    <s v="Road Rank (description)"/>
    <s v="Road Rank Description"/>
    <m/>
    <m/>
    <s v="y"/>
    <s v="rbs_ref_tables"/>
    <s v="REFERENCE_DESCR1"/>
    <s v="rbs_ref_tables.REFERENCE_DESCR1"/>
    <e v="#N/A"/>
    <s v="RBS_REF_TABLES. REF_TABLE_NAME = 'RD_RANK' "/>
    <s v="Rank 1-6: 1 lowest; 6 highest traffic volume"/>
    <m/>
    <m/>
    <m/>
    <m/>
    <s v="Bridge"/>
    <m/>
    <m/>
    <m/>
  </r>
  <r>
    <x v="0"/>
    <x v="6"/>
    <m/>
    <s v="Classification"/>
    <s v="Road Classification"/>
    <m/>
    <m/>
    <s v="y"/>
    <s v="RBS_STRUCT_CWY"/>
    <s v="RD_CLASS_CODE"/>
    <s v="RBS_STRUCT_CWY.RD_CLASS_CODE"/>
    <e v="#N/A"/>
    <m/>
    <m/>
    <m/>
    <m/>
    <m/>
    <m/>
    <s v="Bridge"/>
    <m/>
    <m/>
    <m/>
  </r>
  <r>
    <x v="0"/>
    <x v="6"/>
    <m/>
    <s v="Classification (description)"/>
    <s v="Road Class Description"/>
    <m/>
    <m/>
    <s v="y"/>
    <s v="rbs_ref_tables"/>
    <s v="REFERENCE_DESCR1"/>
    <s v="rbs_ref_tables.REFERENCE_DESCR1"/>
    <e v="#N/A"/>
    <s v="RBS_REF_TABLES. REF_TABLE_NAME = 'RDLNCLASS' "/>
    <s v="rbs_struct_cwy. Rd_class_code = rbs_ref_tables. reference code and rbs_ref_tables. ref_table_name = 'RDLNCLASS'."/>
    <m/>
    <m/>
    <m/>
    <m/>
    <m/>
    <m/>
    <m/>
    <m/>
  </r>
  <r>
    <x v="0"/>
    <x v="6"/>
    <m/>
    <s v="Road No."/>
    <m/>
    <m/>
    <m/>
    <s v="y"/>
    <s v="RBS_STRUCT_CWY"/>
    <s v="RD_NO"/>
    <s v="RBS_STRUCT_CWY.RD_NO"/>
    <e v="#N/A"/>
    <s v="RSMS. RAMSR. RAMSR_RRL_ROAD_MV"/>
    <s v="rbs_struct_cwy. Rd_no = ramsr_rrl_road_mv. Rd_no"/>
    <m/>
    <m/>
    <m/>
    <m/>
    <s v="Bridge"/>
    <m/>
    <m/>
    <m/>
  </r>
  <r>
    <x v="0"/>
    <x v="6"/>
    <m/>
    <s v="Road No. Description"/>
    <m/>
    <m/>
    <m/>
    <s v="y"/>
    <s v="RAMS.NM_ELEMENT_ALL"/>
    <s v="NE_DESCR"/>
    <s v="RAMS.NM_ELEMENT_ALL.NE_DESCR"/>
    <e v="#N/A"/>
    <s v="rbs_struct_cwy. Rd_no = rams. Nm_element_all. Ne_unique"/>
    <s v="RSMS. RAMSR_RRL_ROAD_MV table is replicated from RAMS to RSMS (not available in BIS). Relevant RAMS table: NM_ELEMENTS_ALL where ne_nt_type='ROAD'."/>
    <m/>
    <m/>
    <m/>
    <m/>
    <m/>
    <m/>
    <m/>
    <m/>
  </r>
  <r>
    <x v="0"/>
    <x v="6"/>
    <m/>
    <s v="Link No."/>
    <s v="Link Number"/>
    <m/>
    <m/>
    <s v="y"/>
    <s v="RBS_STRUCT_CWY"/>
    <s v="LC_LINK_NO"/>
    <s v="RBS_STRUCT_CWY.LC_LINK_NO"/>
    <e v="#N/A"/>
    <m/>
    <s v="A link is the shortest part of a road section recorded in ROADLOC, with a number between 0001 and 9999."/>
    <m/>
    <m/>
    <m/>
    <m/>
    <s v="Bridge"/>
    <m/>
    <m/>
    <m/>
  </r>
  <r>
    <x v="0"/>
    <x v="6"/>
    <m/>
    <s v="Carriageway Code"/>
    <s v="Carriageway Code Description"/>
    <m/>
    <m/>
    <s v="y"/>
    <s v="RBS_STRUCT_CWY"/>
    <s v="LC_CWAY_CODE"/>
    <s v="RBS_STRUCT_CWY.LC_CWAY_CODE"/>
    <e v="#N/A"/>
    <m/>
    <s v="Carriageway code: 0, 1, 3, A-Z"/>
    <m/>
    <m/>
    <m/>
    <m/>
    <s v="Bridge"/>
    <m/>
    <m/>
    <m/>
  </r>
  <r>
    <x v="0"/>
    <x v="6"/>
    <m/>
    <s v="Carriageway Code (description)"/>
    <s v="Carriageway Code Description"/>
    <m/>
    <m/>
    <s v="y"/>
    <s v="RAMS?"/>
    <m/>
    <s v="RAMS?."/>
    <e v="#N/A"/>
    <m/>
    <m/>
    <m/>
    <m/>
    <m/>
    <m/>
    <m/>
    <m/>
    <m/>
    <m/>
  </r>
  <r>
    <x v="0"/>
    <x v="6"/>
    <m/>
    <s v="Carriageway Version"/>
    <s v="Carriageway Version Description"/>
    <m/>
    <m/>
    <s v="y"/>
    <s v="RBS_STRUCT_CWY"/>
    <s v="LC_CWAY_VER"/>
    <s v="RBS_STRUCT_CWY.LC_CWAY_VER"/>
    <e v="#N/A"/>
    <m/>
    <m/>
    <m/>
    <m/>
    <m/>
    <m/>
    <s v="Bridge"/>
    <m/>
    <m/>
    <m/>
  </r>
  <r>
    <x v="0"/>
    <x v="6"/>
    <m/>
    <s v="Distance (km)"/>
    <s v="Distance km Description"/>
    <m/>
    <m/>
    <s v="y"/>
    <s v="RBS_STRUCT_CWY"/>
    <s v="DIST_FR_START"/>
    <s v="RBS_STRUCT_CWY.DIST_FR_START"/>
    <e v="#N/A"/>
    <m/>
    <m/>
    <m/>
    <m/>
    <m/>
    <m/>
    <s v="Bridge"/>
    <m/>
    <m/>
    <m/>
  </r>
  <r>
    <x v="0"/>
    <x v="6"/>
    <m/>
    <s v="Carriageway Width (m) Minimum"/>
    <s v="Width range 0-99.99"/>
    <m/>
    <m/>
    <s v="y"/>
    <s v="RBS_STRUCT_CWY"/>
    <s v="MIN_CWY_WD"/>
    <s v="RBS_STRUCT_CWY.MIN_CWY_WD"/>
    <e v="#N/A"/>
    <m/>
    <m/>
    <m/>
    <m/>
    <m/>
    <m/>
    <s v="Bridge"/>
    <m/>
    <m/>
    <m/>
  </r>
  <r>
    <x v="0"/>
    <x v="6"/>
    <m/>
    <s v="Carriageway Width (m) Maximum"/>
    <s v="Width range 0-99.99"/>
    <m/>
    <m/>
    <s v="y"/>
    <s v="RBS_STRUCT_CWY"/>
    <s v="MAX_CWY_WD"/>
    <s v="RBS_STRUCT_CWY.MAX_CWY_WD"/>
    <e v="#N/A"/>
    <m/>
    <m/>
    <m/>
    <m/>
    <m/>
    <m/>
    <s v="Bridge"/>
    <m/>
    <m/>
    <m/>
  </r>
  <r>
    <x v="0"/>
    <x v="6"/>
    <m/>
    <s v="Link for Insp.?"/>
    <s v="Link for Description"/>
    <m/>
    <m/>
    <s v="y"/>
    <s v="RBS_STRUCT_CWY"/>
    <s v="LINK_FOR_INSP_YN"/>
    <s v="RBS_STRUCT_CWY.LINK_FOR_INSP_YN"/>
    <e v="#N/A"/>
    <m/>
    <m/>
    <m/>
    <m/>
    <m/>
    <m/>
    <s v="Bridge"/>
    <m/>
    <m/>
    <m/>
  </r>
  <r>
    <x v="0"/>
    <x v="6"/>
    <m/>
    <s v="Link for Capt.?"/>
    <s v="Link for Description"/>
    <m/>
    <m/>
    <s v="y"/>
    <s v="RBS_STRUCT_CWY"/>
    <s v="LINK_FOR_CAPT_YN"/>
    <s v="RBS_STRUCT_CWY.LINK_FOR_CAPT_YN"/>
    <e v="#N/A"/>
    <m/>
    <m/>
    <m/>
    <m/>
    <m/>
    <m/>
    <s v="Bridge"/>
    <m/>
    <m/>
    <m/>
  </r>
  <r>
    <x v="0"/>
    <x v="6"/>
    <s v="Carriageway Function"/>
    <s v="Facility &lt;display only&gt;"/>
    <s v="Bridge Facility Type &lt;see General Information screen&gt;"/>
    <m/>
    <m/>
    <m/>
    <s v="RBS_STRUCTURES"/>
    <s v="FACI_TYPE_CODE"/>
    <s v="RBS_STRUCTURES.FACI_TYPE_CODE"/>
    <s v="VARCHAR2(6),"/>
    <s v="RBS_REF_TABLES. REF_TABLE_NAME = 'FCILTY_TYP' "/>
    <s v="rbs_structures. Faci_type_code = rbs_ref_tables. reference code and rbs_ref_tables. ref_table_name = 'FCILTY_TYP'._x000a__x000a_Description = REBS_REF_TABLES. REFERENCE_DESCR1. _x000a_Example: RBS_REF_TABLES. REFERENCE_CODE = 5 - Bridge; 8 - Tunnel."/>
    <m/>
    <m/>
    <m/>
    <m/>
    <s v="Bridge"/>
    <m/>
    <m/>
    <m/>
  </r>
  <r>
    <x v="0"/>
    <x v="6"/>
    <s v="Carriageway Function"/>
    <s v="Carriageway Function Code"/>
    <s v="Carriageway Function Code"/>
    <m/>
    <m/>
    <s v="y"/>
    <s v="RBS_STRUCT_CWY_FUNC"/>
    <s v="CWY_FUNC_TYPE_CODE"/>
    <s v="RBS_STRUCT_CWY_FUNC.CWY_FUNC_TYPE_CODE"/>
    <e v="#N/A"/>
    <m/>
    <m/>
    <m/>
    <m/>
    <m/>
    <m/>
    <s v="Bridge"/>
    <m/>
    <m/>
    <m/>
  </r>
  <r>
    <x v="0"/>
    <x v="6"/>
    <s v="Carriageway Function"/>
    <s v="Carriageway Function (description)"/>
    <s v="Carriageway Function Description"/>
    <m/>
    <m/>
    <s v="y"/>
    <s v="rbs_ref_tables"/>
    <s v="REFERENCE_DESCR1"/>
    <s v="rbs_ref_tables.REFERENCE_DESCR1"/>
    <e v="#N/A"/>
    <s v="RBS_REF_TABLES. REF_TABLE_NAME = 'CWAY_FUNC' "/>
    <s v="RBS_STRUCT_CWY_FUNC. CWY_FUNC_TYPE_CODE = rbs_ref_tables. reference code and rbs_ref_tables. ref_table_name = 'CWAY_FUNC'."/>
    <m/>
    <m/>
    <m/>
    <m/>
    <s v="Bridge"/>
    <m/>
    <m/>
    <m/>
  </r>
  <r>
    <x v="0"/>
    <x v="6"/>
    <s v="Vertical Clearances"/>
    <s v="Prescribed Direction From"/>
    <s v="Prescribed Direction Description"/>
    <m/>
    <m/>
    <s v="y"/>
    <s v="RBS_STRUCT_CWY"/>
    <s v="TRAFFIC_FROM"/>
    <s v="RBS_STRUCT_CWY.TRAFFIC_FROM"/>
    <e v="#N/A"/>
    <m/>
    <m/>
    <m/>
    <m/>
    <m/>
    <m/>
    <s v="Bridge"/>
    <m/>
    <m/>
    <m/>
  </r>
  <r>
    <x v="0"/>
    <x v="6"/>
    <s v="Vertical Clearances"/>
    <s v="Prescribed Direction To"/>
    <s v="Prescribed Direction Description"/>
    <m/>
    <m/>
    <s v="y"/>
    <s v="RBS_STRUCT_CWY"/>
    <s v="TRAFFIC_TO"/>
    <s v="RBS_STRUCT_CWY.TRAFFIC_TO"/>
    <e v="#N/A"/>
    <m/>
    <m/>
    <m/>
    <m/>
    <m/>
    <m/>
    <s v="Bridge"/>
    <m/>
    <m/>
    <m/>
  </r>
  <r>
    <x v="0"/>
    <x v="6"/>
    <s v="Vertical Clearances"/>
    <s v="Lane No"/>
    <s v="Lane No Description"/>
    <m/>
    <m/>
    <s v="y"/>
    <s v="RBS_CWAY_LANES"/>
    <s v="LANE_NO"/>
    <s v="RBS_CWAY_LANES.LANE_NO"/>
    <e v="#N/A"/>
    <m/>
    <m/>
    <m/>
    <m/>
    <m/>
    <m/>
    <s v="Bridge"/>
    <m/>
    <m/>
    <m/>
  </r>
  <r>
    <x v="0"/>
    <x v="6"/>
    <s v="Vertical Clearances"/>
    <s v="In Prescribed Direction"/>
    <s v="In Prescribed Description"/>
    <m/>
    <m/>
    <s v="y"/>
    <s v="RBS_CWAY_LANES"/>
    <s v="IN_PRES_DIR_YN"/>
    <s v="RBS_CWAY_LANES.IN_PRES_DIR_YN"/>
    <e v="#N/A"/>
    <m/>
    <m/>
    <m/>
    <m/>
    <m/>
    <m/>
    <s v="Bridge"/>
    <m/>
    <m/>
    <m/>
  </r>
  <r>
    <x v="0"/>
    <x v="6"/>
    <s v="Vertical Clearances"/>
    <s v="Permissible Vertical Clearance (m)"/>
    <s v="Permissible Vertical Description"/>
    <m/>
    <m/>
    <s v="y"/>
    <s v="RBS_CWAY_LANES"/>
    <s v="CLEARANCE_HEIGHT"/>
    <s v="RBS_CWAY_LANES.CLEARANCE_HEIGHT"/>
    <e v="#N/A"/>
    <m/>
    <m/>
    <m/>
    <m/>
    <m/>
    <m/>
    <s v="Bridge"/>
    <m/>
    <m/>
    <m/>
  </r>
  <r>
    <x v="0"/>
    <x v="6"/>
    <s v="Vertical Clearances"/>
    <s v="Signposted Vertical Clearance (m)"/>
    <s v="Signposted Vertical Description"/>
    <m/>
    <m/>
    <s v="y"/>
    <s v="RBS_CWAY_LANES"/>
    <s v="CLEARANCE_SIGN"/>
    <s v="RBS_CWAY_LANES.CLEARANCE_SIGN"/>
    <e v="#N/A"/>
    <m/>
    <m/>
    <m/>
    <m/>
    <m/>
    <m/>
    <s v="Bridge"/>
    <m/>
    <m/>
    <m/>
  </r>
  <r>
    <x v="0"/>
    <x v="6"/>
    <m/>
    <s v="Comments for each carriageway"/>
    <s v="Comments for Description"/>
    <m/>
    <m/>
    <s v="y"/>
    <s v="RBS_STRUCT_CWY"/>
    <s v="COMMENTS"/>
    <s v="RBS_STRUCT_CWY.COMMENTS"/>
    <e v="#N/A"/>
    <m/>
    <m/>
    <m/>
    <m/>
    <m/>
    <m/>
    <s v="Bridge"/>
    <m/>
    <m/>
    <m/>
  </r>
  <r>
    <x v="0"/>
    <x v="6"/>
    <m/>
    <s v="Approach Road Carriageway Width (m)"/>
    <s v="Approach Road Description"/>
    <m/>
    <m/>
    <s v="n"/>
    <s v="RBS_STRUCTURES"/>
    <s v="APPROACH_CWY_WIDTH"/>
    <s v="RBS_STRUCTURES.APPROACH_CWY_WIDTH"/>
    <s v="NUMBER,"/>
    <m/>
    <m/>
    <m/>
    <m/>
    <m/>
    <m/>
    <s v="Bridge"/>
    <m/>
    <m/>
    <m/>
  </r>
  <r>
    <x v="0"/>
    <x v="7"/>
    <s v="Construction Data"/>
    <s v="Year Comp. (YYYY)"/>
    <s v="Year Comp Description"/>
    <m/>
    <m/>
    <s v="y"/>
    <s v="RBS_STRUCT_CONSTRS"/>
    <s v="YR_COMPLETED"/>
    <s v="RBS_STRUCT_CONSTRS.YR_COMPLETED"/>
    <e v="#N/A"/>
    <m/>
    <m/>
    <m/>
    <m/>
    <m/>
    <m/>
    <s v="Structural"/>
    <m/>
    <m/>
    <m/>
  </r>
  <r>
    <x v="0"/>
    <x v="7"/>
    <s v="Construction Data"/>
    <s v="Est."/>
    <s v="Estimate (Y/N)"/>
    <m/>
    <m/>
    <s v="y"/>
    <s v="RBS_STRUCT_CONSTRS"/>
    <s v="ESTIMATE_YN"/>
    <s v="RBS_STRUCT_CONSTRS.ESTIMATE_YN"/>
    <e v="#N/A"/>
    <m/>
    <m/>
    <m/>
    <m/>
    <m/>
    <m/>
    <s v="Structural"/>
    <m/>
    <m/>
    <m/>
  </r>
  <r>
    <x v="0"/>
    <x v="7"/>
    <s v="Construction Data"/>
    <s v="Constr. Type"/>
    <s v="Constr Type Description"/>
    <m/>
    <m/>
    <s v="y"/>
    <s v="RBS_STRUCT_CONSTRS"/>
    <s v="STRUCT_CONSTR_TYPE_CODE"/>
    <s v="RBS_STRUCT_CONSTRS.STRUCT_CONSTR_TYPE_CODE"/>
    <e v="#N/A"/>
    <m/>
    <m/>
    <m/>
    <m/>
    <m/>
    <m/>
    <s v="Structural"/>
    <m/>
    <m/>
    <m/>
  </r>
  <r>
    <x v="0"/>
    <x v="7"/>
    <s v="Construction Data"/>
    <s v="Final Cost ($)"/>
    <s v="Final Cost Description"/>
    <m/>
    <m/>
    <s v="y"/>
    <s v="RBS_STRUCT_CONSTRS"/>
    <s v="CONSTR_COST"/>
    <s v="RBS_STRUCT_CONSTRS.CONSTR_COST"/>
    <e v="#N/A"/>
    <m/>
    <m/>
    <m/>
    <m/>
    <m/>
    <m/>
    <s v="Structural"/>
    <m/>
    <m/>
    <m/>
  </r>
  <r>
    <x v="0"/>
    <x v="7"/>
    <s v="Drawings Data"/>
    <s v="Drawing Number"/>
    <s v="Drawing Number Description"/>
    <m/>
    <m/>
    <s v="y"/>
    <s v="RBS_CONSTR_DRWGS"/>
    <s v="DRWG_NUMBER"/>
    <s v="RBS_CONSTR_DRWGS.DRWG_NUMBER"/>
    <e v="#N/A"/>
    <m/>
    <m/>
    <m/>
    <m/>
    <m/>
    <m/>
    <s v="Structural"/>
    <m/>
    <m/>
    <m/>
  </r>
  <r>
    <x v="0"/>
    <x v="7"/>
    <s v="Drawings Data"/>
    <s v="Work As Executed"/>
    <s v="Work As Description"/>
    <m/>
    <m/>
    <s v="y"/>
    <s v="RBS_CONSTR_DRWGS"/>
    <s v="WORK_EXECUTED_YN"/>
    <s v="RBS_CONSTR_DRWGS.WORK_EXECUTED_YN"/>
    <e v="#N/A"/>
    <m/>
    <m/>
    <m/>
    <m/>
    <m/>
    <m/>
    <s v="Structural"/>
    <m/>
    <m/>
    <m/>
  </r>
  <r>
    <x v="0"/>
    <x v="7"/>
    <s v="Drawings Data"/>
    <s v="Comments"/>
    <s v="Description"/>
    <m/>
    <m/>
    <s v="y"/>
    <s v="RBS_CONSTR_DRWGS"/>
    <s v="COMMENTS"/>
    <s v="RBS_CONSTR_DRWGS.COMMENTS"/>
    <e v="#N/A"/>
    <m/>
    <m/>
    <m/>
    <m/>
    <m/>
    <m/>
    <s v="Structural"/>
    <m/>
    <m/>
    <m/>
  </r>
  <r>
    <x v="0"/>
    <x v="7"/>
    <s v="Drawings Data"/>
    <s v="Design Loading Code"/>
    <s v="Design Loading Description"/>
    <m/>
    <m/>
    <s v="y"/>
    <s v="RBS_CONSTR_DRWGS"/>
    <s v="DSGN_LOAD_CODE"/>
    <s v="RBS_CONSTR_DRWGS.DSGN_LOAD_CODE"/>
    <e v="#N/A"/>
    <m/>
    <m/>
    <m/>
    <m/>
    <m/>
    <m/>
    <s v="Structural"/>
    <m/>
    <m/>
    <m/>
  </r>
  <r>
    <x v="0"/>
    <x v="7"/>
    <s v="Drawings Data"/>
    <s v="Design Loading Description"/>
    <m/>
    <m/>
    <m/>
    <s v="y"/>
    <s v="RBS_CONSTR_DRWGS"/>
    <s v="DSGN_LOAD_CODE"/>
    <s v="RBS_CONSTR_DRWGS.DSGN_LOAD_CODE"/>
    <e v="#N/A"/>
    <m/>
    <s v="Derived from RBS_CONSTR_DRWGS. DSGN_LOAD_CODE"/>
    <m/>
    <m/>
    <m/>
    <m/>
    <s v="Structural"/>
    <m/>
    <m/>
    <m/>
  </r>
  <r>
    <x v="0"/>
    <x v="7"/>
    <s v="Links for Drawing Sets in Objective"/>
    <s v="Objective ID"/>
    <s v="Objective ID Description"/>
    <m/>
    <m/>
    <s v="y"/>
    <s v="RBS_CONSTR_DRWG_LINKS"/>
    <s v="LINK_ID"/>
    <s v="RBS_CONSTR_DRWG_LINKS.LINK_ID"/>
    <e v="#N/A"/>
    <m/>
    <m/>
    <s v="Y"/>
    <m/>
    <m/>
    <m/>
    <s v="Structural"/>
    <m/>
    <m/>
    <m/>
  </r>
  <r>
    <x v="0"/>
    <x v="7"/>
    <s v="Links for Drawing Sets in Objective"/>
    <s v="Drawing Number"/>
    <s v="Drawing Number Description"/>
    <m/>
    <m/>
    <s v="y"/>
    <s v="EDM_FOLDERS"/>
    <s v="TEXT_FILE_NUMBER"/>
    <s v="EDM_FOLDERS.TEXT_FILE_NUMBER"/>
    <e v="#N/A"/>
    <m/>
    <m/>
    <m/>
    <m/>
    <m/>
    <m/>
    <s v="Structural"/>
    <m/>
    <m/>
    <m/>
  </r>
  <r>
    <x v="0"/>
    <x v="7"/>
    <s v="Links for Drawing Sets in Objective"/>
    <s v="Description"/>
    <s v="Drawing description"/>
    <m/>
    <m/>
    <s v="y"/>
    <s v="EDM_FOLDERS"/>
    <s v="NAME"/>
    <s v="EDM_FOLDERS.NAME"/>
    <e v="#N/A"/>
    <m/>
    <m/>
    <m/>
    <m/>
    <m/>
    <m/>
    <s v="Structural"/>
    <m/>
    <m/>
    <m/>
  </r>
  <r>
    <x v="0"/>
    <x v="7"/>
    <s v="Drawing Sheets"/>
    <s v="Drawing Sheet"/>
    <s v="Drawing Sheet Description"/>
    <m/>
    <m/>
    <s v="y"/>
    <s v="?"/>
    <s v="?"/>
    <s v="?.?"/>
    <e v="#N/A"/>
    <m/>
    <m/>
    <m/>
    <m/>
    <m/>
    <m/>
    <s v="Structural"/>
    <m/>
    <m/>
    <m/>
  </r>
  <r>
    <x v="0"/>
    <x v="7"/>
    <s v="Span Groups"/>
    <s v="Span From"/>
    <s v="Span From Description"/>
    <m/>
    <m/>
    <s v="y"/>
    <s v="RBS_SUPSTR_SPAN_GRPS"/>
    <s v="SPAN_FROM"/>
    <s v="RBS_SUPSTR_SPAN_GRPS.SPAN_FROM"/>
    <e v="#N/A"/>
    <m/>
    <m/>
    <m/>
    <m/>
    <m/>
    <m/>
    <s v="Structural"/>
    <m/>
    <m/>
    <m/>
  </r>
  <r>
    <x v="0"/>
    <x v="7"/>
    <s v="Span Groups"/>
    <s v="Span To"/>
    <s v="Span To Description"/>
    <m/>
    <m/>
    <s v="y"/>
    <s v="RBS_SUPSTR_SPAN_GRPS"/>
    <s v="SPAN_TO"/>
    <s v="RBS_SUPSTR_SPAN_GRPS.SPAN_TO"/>
    <e v="#N/A"/>
    <m/>
    <m/>
    <m/>
    <m/>
    <m/>
    <m/>
    <s v="Structural"/>
    <m/>
    <m/>
    <m/>
  </r>
  <r>
    <x v="0"/>
    <x v="7"/>
    <s v="Span Groups"/>
    <s v="Span Length (m)"/>
    <s v="Individual Span Group Length"/>
    <m/>
    <m/>
    <s v="y"/>
    <s v="RBS_SUPSTR_SPAN_GRPS"/>
    <s v="SPAN_LEN"/>
    <s v="RBS_SUPSTR_SPAN_GRPS.SPAN_LEN"/>
    <e v="#N/A"/>
    <m/>
    <m/>
    <m/>
    <m/>
    <m/>
    <m/>
    <s v="Structural"/>
    <m/>
    <m/>
    <m/>
  </r>
  <r>
    <x v="0"/>
    <x v="7"/>
    <s v="Span Groups"/>
    <s v="Culvert Height (m)"/>
    <s v="Culvert Height Description"/>
    <m/>
    <m/>
    <s v="y"/>
    <s v="RBS_SUPSTR_SPAN_GRPS"/>
    <s v="CULV_HGHT"/>
    <s v="RBS_SUPSTR_SPAN_GRPS.CULV_HGHT"/>
    <e v="#N/A"/>
    <m/>
    <m/>
    <m/>
    <m/>
    <m/>
    <m/>
    <s v="Structural"/>
    <m/>
    <m/>
    <m/>
  </r>
  <r>
    <x v="0"/>
    <x v="7"/>
    <s v="Span Groups"/>
    <s v="Span Material"/>
    <s v="Span Material Description"/>
    <m/>
    <m/>
    <s v="y"/>
    <s v="RBS_SUPSTR_SPAN_GRPS"/>
    <s v="SPAN_MATL_CODE"/>
    <s v="RBS_SUPSTR_SPAN_GRPS.SPAN_MATL_CODE"/>
    <e v="#N/A"/>
    <m/>
    <m/>
    <m/>
    <m/>
    <m/>
    <m/>
    <s v="Structural"/>
    <m/>
    <m/>
    <m/>
  </r>
  <r>
    <x v="0"/>
    <x v="7"/>
    <s v="Span Groups"/>
    <s v="Span Type"/>
    <s v="Span Type Description"/>
    <m/>
    <m/>
    <s v="y"/>
    <s v="RBS_SUPSTR_SPAN_GRPS"/>
    <s v="SPAN_TYPE_CODE"/>
    <s v="RBS_SUPSTR_SPAN_GRPS.SPAN_TYPE_CODE"/>
    <e v="#N/A"/>
    <m/>
    <m/>
    <m/>
    <m/>
    <m/>
    <m/>
    <s v="Structural"/>
    <m/>
    <m/>
    <m/>
  </r>
  <r>
    <x v="0"/>
    <x v="7"/>
    <s v="Span Groups"/>
    <s v="Protective Coating"/>
    <s v="Protective Coating Description"/>
    <m/>
    <m/>
    <s v="y"/>
    <s v="RBS_SUPSTR_SPAN_GRPS"/>
    <s v="PROT_COAT_TYPE_CODE (? No entries for BR2151 backend but exists in UI)"/>
    <s v="RBS_SUPSTR_SPAN_GRPS.PROT_COAT_TYPE_CODE (? No entries for BR2151 backend but exists in UI)"/>
    <e v="#N/A"/>
    <m/>
    <m/>
    <m/>
    <m/>
    <m/>
    <m/>
    <s v="Structural"/>
    <m/>
    <m/>
    <m/>
  </r>
  <r>
    <x v="0"/>
    <x v="7"/>
    <s v="Span Groups"/>
    <s v="Capitalisation Type"/>
    <s v="Capitalisation Type Description"/>
    <m/>
    <m/>
    <s v="y"/>
    <s v="RBS_SUPSTR_SPAN_GRPS"/>
    <s v="STRUCT_CAPT_TYPE_CODE"/>
    <s v="RBS_SUPSTR_SPAN_GRPS.STRUCT_CAPT_TYPE_CODE"/>
    <e v="#N/A"/>
    <s v="RBS_REF_TABLES"/>
    <m/>
    <m/>
    <m/>
    <m/>
    <m/>
    <s v="Structural"/>
    <m/>
    <m/>
    <m/>
  </r>
  <r>
    <x v="0"/>
    <x v="7"/>
    <m/>
    <s v="Overall Length (m) &lt;display only&gt;"/>
    <m/>
    <m/>
    <m/>
    <m/>
    <s v="RBS_STRUCTURES"/>
    <s v="OVERALL_LENGTH"/>
    <s v="RBS_STRUCTURES.OVERALL_LENGTH"/>
    <s v="NUMBER(6,2),"/>
    <m/>
    <s v="OVERALL_LENGTH is entered in &quot;Superstructure/Deck(1)&quot; screen."/>
    <m/>
    <m/>
    <m/>
    <m/>
    <s v="Structural"/>
    <m/>
    <m/>
    <m/>
  </r>
  <r>
    <x v="0"/>
    <x v="7"/>
    <m/>
    <s v="Total Span Length (m) &lt;display only - calculated&gt;"/>
    <m/>
    <m/>
    <m/>
    <m/>
    <s v="RBS_SPAN_GRPS_VW"/>
    <s v="TOTAL_SPAN_LENGTH"/>
    <s v="RBS_SPAN_GRPS_VW.TOTAL_SPAN_LENGTH"/>
    <e v="#N/A"/>
    <m/>
    <s v="TOTAL_SPAN_LENGTH is calculated in RBS_SPAN_GRPS_VW view."/>
    <m/>
    <m/>
    <m/>
    <m/>
    <s v="Structural"/>
    <m/>
    <m/>
    <m/>
  </r>
  <r>
    <x v="0"/>
    <x v="7"/>
    <m/>
    <s v="Span Group Remarks"/>
    <s v="Span Group Description"/>
    <m/>
    <m/>
    <m/>
    <s v="RBS_STRUCTURES"/>
    <s v="SPAN_GROUP_REMARKS"/>
    <s v="RBS_STRUCTURES.SPAN_GROUP_REMARKS"/>
    <s v="VARCHAR2(4000),"/>
    <m/>
    <m/>
    <m/>
    <m/>
    <m/>
    <m/>
    <s v="Structural"/>
    <m/>
    <m/>
    <m/>
  </r>
  <r>
    <x v="0"/>
    <x v="8"/>
    <s v="Superstructure - Deck"/>
    <s v="Footway Width LHS (m)"/>
    <s v="Footway Width Left-Hand Side (LHS) in meter"/>
    <m/>
    <m/>
    <n v="0"/>
    <s v="RBS_STRUCTURES"/>
    <s v="FTWAY_WIDTH_LHS"/>
    <s v="RBS_STRUCTURES.FTWAY_WIDTH_LHS"/>
    <s v="NUMBER(3,2),"/>
    <m/>
    <m/>
    <m/>
    <m/>
    <m/>
    <m/>
    <s v="Deck"/>
    <m/>
    <m/>
    <m/>
  </r>
  <r>
    <x v="0"/>
    <x v="8"/>
    <s v="Superstructure - Deck"/>
    <s v="Footway Width RHS (m)"/>
    <s v="Footway Width Right-Hand Side (RHS) in meter"/>
    <m/>
    <m/>
    <n v="0"/>
    <s v="RBS_STRUCTURES"/>
    <s v="FTWAY_WIDTH_RHS"/>
    <s v="RBS_STRUCTURES.FTWAY_WIDTH_RHS"/>
    <s v="NUMBER(3,2),"/>
    <m/>
    <m/>
    <m/>
    <m/>
    <m/>
    <m/>
    <s v="Deck"/>
    <m/>
    <m/>
    <m/>
  </r>
  <r>
    <x v="0"/>
    <x v="8"/>
    <s v="Superstructure - Deck"/>
    <s v="Inner Barrier Width LHS (M)"/>
    <s v="Inner Barrier Width Left-Hand Side (LHS) in meter"/>
    <m/>
    <m/>
    <n v="0"/>
    <s v="RBS_STRUCTURES"/>
    <s v="INNER_BARR_WIDTH_LHS"/>
    <s v="RBS_STRUCTURES.INNER_BARR_WIDTH_LHS"/>
    <s v="NUMBER(3,2),"/>
    <m/>
    <m/>
    <m/>
    <m/>
    <m/>
    <m/>
    <s v="Deck"/>
    <m/>
    <m/>
    <m/>
  </r>
  <r>
    <x v="0"/>
    <x v="8"/>
    <s v="Superstructure - Deck"/>
    <s v="Inner Barrier Width RHS (M)"/>
    <s v="Inner Barrier Width Right-Hand Side (RHS) in meter"/>
    <m/>
    <m/>
    <n v="0"/>
    <s v="RBS_STRUCTURES"/>
    <s v="INNER_BARR_WIDTH_RHS"/>
    <s v="RBS_STRUCTURES.INNER_BARR_WIDTH_RHS"/>
    <s v="NUMBER(3,2),"/>
    <m/>
    <m/>
    <m/>
    <m/>
    <m/>
    <m/>
    <s v="Deck"/>
    <m/>
    <m/>
    <m/>
  </r>
  <r>
    <x v="0"/>
    <x v="8"/>
    <s v="Superstructure - Deck"/>
    <s v="Overall Width Min. (m)"/>
    <s v="Overall Width Minimum"/>
    <m/>
    <m/>
    <n v="0"/>
    <s v="RBS_STRUCTURES"/>
    <s v="OVERALL_MIN_DECK_WIDTH"/>
    <s v="RBS_STRUCTURES.OVERALL_MIN_DECK_WIDTH"/>
    <s v="NUMBER(5,2),"/>
    <m/>
    <m/>
    <m/>
    <m/>
    <m/>
    <m/>
    <s v="Deck"/>
    <m/>
    <m/>
    <m/>
  </r>
  <r>
    <x v="0"/>
    <x v="8"/>
    <s v="Superstructure - Deck"/>
    <s v="Overall Width Max. (m)"/>
    <s v="Overall Width Maximum"/>
    <m/>
    <m/>
    <n v="0"/>
    <s v="RBS_STRUCTURES"/>
    <s v="OVERALL_MAX_DECK_WIDTH"/>
    <s v="RBS_STRUCTURES.OVERALL_MAX_DECK_WIDTH"/>
    <s v="NUMBER(5,2),"/>
    <m/>
    <m/>
    <m/>
    <m/>
    <m/>
    <m/>
    <s v="Deck"/>
    <m/>
    <m/>
    <m/>
  </r>
  <r>
    <x v="0"/>
    <x v="8"/>
    <s v="Superstructure - Deck"/>
    <s v="Total Span Length (m) &lt;display only - calculated&gt;"/>
    <s v="Total Span Length in meter"/>
    <m/>
    <m/>
    <n v="0"/>
    <s v="RBS_SPAN_GRPS_VW"/>
    <s v="TOTAL_SPAN_LENGTH"/>
    <s v="RBS_SPAN_GRPS_VW.TOTAL_SPAN_LENGTH"/>
    <e v="#N/A"/>
    <m/>
    <s v="TOTAL_SPAN_LENGTH is calculated in RBS_SPAN_GRPS_VW view."/>
    <m/>
    <m/>
    <m/>
    <m/>
    <s v="Deck"/>
    <m/>
    <m/>
    <m/>
  </r>
  <r>
    <x v="0"/>
    <x v="8"/>
    <s v="Superstructure - Deck"/>
    <s v="Overall Length (m)"/>
    <s v="Deck - Overall Length (m)"/>
    <m/>
    <m/>
    <n v="0"/>
    <s v="RBS_STRUCTURES"/>
    <s v="OVERALL_LENGTH"/>
    <s v="RBS_STRUCTURES.OVERALL_LENGTH"/>
    <s v="NUMBER(6,2),"/>
    <m/>
    <s v="OVERALL_LENGTH is entered in &quot;Superstructure/Deck(1)&quot; screen."/>
    <m/>
    <m/>
    <m/>
    <m/>
    <s v="Deck"/>
    <m/>
    <m/>
    <s v="ALL. RD_OVERALLLNGTH shared Class/Characteristics"/>
  </r>
  <r>
    <x v="0"/>
    <x v="8"/>
    <s v="Superstructure - Deck"/>
    <s v="Deck Area (sq. m) &lt;display only&gt;"/>
    <s v="Deck Area in Square Meter"/>
    <m/>
    <m/>
    <n v="0"/>
    <m/>
    <m/>
    <s v="."/>
    <e v="#N/A"/>
    <m/>
    <m/>
    <m/>
    <m/>
    <m/>
    <m/>
    <s v="Deck"/>
    <m/>
    <m/>
    <s v="ALL. RD_SRFACEAREA shared Class/Characteristics"/>
  </r>
  <r>
    <x v="0"/>
    <x v="8"/>
    <s v="Superstructure - Deck"/>
    <s v="Skew Angle (degrees)"/>
    <s v="Skew Angle in degrees"/>
    <m/>
    <m/>
    <n v="0"/>
    <s v="RBS_STRUCTURES"/>
    <s v="SKEW_ANGLE"/>
    <s v="RBS_STRUCTURES.SKEW_ANGLE"/>
    <s v="NUMBER(2,0),"/>
    <m/>
    <m/>
    <m/>
    <m/>
    <m/>
    <m/>
    <s v="Deck"/>
    <m/>
    <m/>
    <m/>
  </r>
  <r>
    <x v="0"/>
    <x v="8"/>
    <s v="Superstructure - Deck"/>
    <s v="Moveable Deck Span"/>
    <s v="Moveable Deck Span Type"/>
    <m/>
    <m/>
    <n v="1"/>
    <s v="RBS_STRUCTURES"/>
    <s v="MV_DECK_SPAN_TYPE_CODE"/>
    <s v="RBS_STRUCTURES.MV_DECK_SPAN_TYPE_CODE"/>
    <s v="VARCHAR2(6),"/>
    <m/>
    <m/>
    <m/>
    <m/>
    <m/>
    <m/>
    <s v="Deck"/>
    <m/>
    <m/>
    <m/>
  </r>
  <r>
    <x v="0"/>
    <x v="8"/>
    <s v="Superstructure - Deck"/>
    <s v="Moveable Deck Span In use"/>
    <s v="Moveable Deck Span In use (Indicator)"/>
    <m/>
    <m/>
    <n v="0"/>
    <s v="RBS_STRUCTURES"/>
    <s v="MV_DECKSPAN_INUSE_YN"/>
    <s v="RBS_STRUCTURES.MV_DECKSPAN_INUSE_YN"/>
    <s v="VARCHAR2(2)"/>
    <m/>
    <m/>
    <m/>
    <m/>
    <m/>
    <m/>
    <s v="Deck"/>
    <m/>
    <m/>
    <m/>
  </r>
  <r>
    <x v="0"/>
    <x v="8"/>
    <s v="Median"/>
    <s v="Median Type"/>
    <s v="Median Type Description"/>
    <m/>
    <m/>
    <m/>
    <s v="RBS_STRUCTURES"/>
    <s v="DECK_MEDN_TYPE_CODE"/>
    <s v="RBS_STRUCTURES.DECK_MEDN_TYPE_CODE"/>
    <s v="VARCHAR2(6),"/>
    <m/>
    <m/>
    <m/>
    <m/>
    <m/>
    <m/>
    <m/>
    <m/>
    <m/>
    <m/>
  </r>
  <r>
    <x v="0"/>
    <x v="8"/>
    <s v="Median"/>
    <s v="Median Height (m)"/>
    <s v="Median Height Description"/>
    <m/>
    <m/>
    <m/>
    <s v="RBS_STRUCTURES"/>
    <s v="MEDIAN_HT"/>
    <s v="RBS_STRUCTURES.MEDIAN_HT"/>
    <s v="NUMBER(3,2),"/>
    <m/>
    <m/>
    <m/>
    <m/>
    <m/>
    <m/>
    <m/>
    <m/>
    <m/>
    <m/>
  </r>
  <r>
    <x v="0"/>
    <x v="8"/>
    <s v="Median"/>
    <s v="Min. Width (m)"/>
    <s v="Min Width Description"/>
    <m/>
    <m/>
    <m/>
    <s v="RBS_STRUCTURES"/>
    <s v="MEDIAN_MIN_WIDTH"/>
    <s v="RBS_STRUCTURES.MEDIAN_MIN_WIDTH"/>
    <s v="NUMBER(4,2),"/>
    <m/>
    <m/>
    <m/>
    <m/>
    <m/>
    <m/>
    <m/>
    <m/>
    <m/>
    <m/>
  </r>
  <r>
    <x v="0"/>
    <x v="8"/>
    <s v="Median"/>
    <s v="Max Width (m)"/>
    <s v="Max Width Description"/>
    <m/>
    <m/>
    <m/>
    <s v="RBS_STRUCTURES"/>
    <s v="MEDIAN_MAX_WIDTH"/>
    <s v="RBS_STRUCTURES.MEDIAN_MAX_WIDTH"/>
    <s v="NUMBER(4,2),"/>
    <m/>
    <m/>
    <m/>
    <m/>
    <m/>
    <m/>
    <m/>
    <m/>
    <m/>
    <m/>
  </r>
  <r>
    <x v="0"/>
    <x v="8"/>
    <s v="Deck"/>
    <s v="Approach Road Alignment Satisfactory"/>
    <s v="Approach Road Description"/>
    <m/>
    <m/>
    <m/>
    <s v="RBS_STRUCTURES"/>
    <s v="RD_ALGN_OK_YN"/>
    <s v="RBS_STRUCTURES.RD_ALGN_OK_YN"/>
    <s v="VARCHAR2(1)"/>
    <m/>
    <m/>
    <m/>
    <m/>
    <m/>
    <m/>
    <m/>
    <m/>
    <m/>
    <m/>
  </r>
  <r>
    <x v="0"/>
    <x v="8"/>
    <s v="Deck"/>
    <s v="Approach Guardrail Satisfactory"/>
    <s v="Approach Guardrail Description"/>
    <m/>
    <m/>
    <m/>
    <s v="RBS_STRUCTURES"/>
    <s v="GUARD_OK_YN"/>
    <s v="RBS_STRUCTURES.GUARD_OK_YN"/>
    <s v="VARCHAR2(1)"/>
    <m/>
    <m/>
    <m/>
    <m/>
    <m/>
    <m/>
    <m/>
    <m/>
    <m/>
    <m/>
  </r>
  <r>
    <x v="0"/>
    <x v="8"/>
    <s v="Girder"/>
    <s v="No. of Longitudinal Girders (per Span)"/>
    <s v="No. of Longitudinal Girders (per Span)"/>
    <m/>
    <m/>
    <m/>
    <s v="RBS_STRUCTURES"/>
    <s v="NO_OF_TIMBER_GIRDERS"/>
    <s v="RBS_STRUCTURES.NO_OF_TIMBER_GIRDERS"/>
    <s v="NUMBER(4,0),"/>
    <m/>
    <m/>
    <m/>
    <m/>
    <m/>
    <m/>
    <m/>
    <m/>
    <m/>
    <m/>
  </r>
  <r>
    <x v="0"/>
    <x v="8"/>
    <s v="Girder"/>
    <s v="Comments"/>
    <s v="Girder Comments"/>
    <m/>
    <m/>
    <m/>
    <s v="RBS_STRUCTURES"/>
    <s v="COMMENT_GIRDERS"/>
    <s v="RBS_STRUCTURES.COMMENT_GIRDERS"/>
    <s v="VARCHAR2(250),"/>
    <m/>
    <m/>
    <m/>
    <m/>
    <m/>
    <m/>
    <m/>
    <m/>
    <m/>
    <m/>
  </r>
  <r>
    <x v="0"/>
    <x v="8"/>
    <s v="Lamps on Deck"/>
    <s v="No. of Lamps"/>
    <s v="No of Description"/>
    <m/>
    <m/>
    <m/>
    <s v="RBS_STRUCTURES"/>
    <s v="NO_OF_LAMPS"/>
    <s v="RBS_STRUCTURES.NO_OF_LAMPS"/>
    <s v="NUMBER(3,0),"/>
    <m/>
    <m/>
    <m/>
    <m/>
    <m/>
    <m/>
    <m/>
    <m/>
    <m/>
    <m/>
  </r>
  <r>
    <x v="0"/>
    <x v="8"/>
    <s v="Lamps on Deck"/>
    <s v="No. of Light Poles"/>
    <s v="No of Description"/>
    <m/>
    <m/>
    <m/>
    <s v="RBS_STRUCTURES"/>
    <s v="NO_OF_LAMP_POSTS"/>
    <s v="RBS_STRUCTURES.NO_OF_LAMP_POSTS"/>
    <s v="NUMBER(3,0),"/>
    <m/>
    <m/>
    <m/>
    <m/>
    <m/>
    <m/>
    <m/>
    <m/>
    <m/>
    <m/>
  </r>
  <r>
    <x v="0"/>
    <x v="8"/>
    <s v="Lamps on Deck"/>
    <s v="Comments"/>
    <s v="Description"/>
    <m/>
    <m/>
    <m/>
    <s v="RBS_STRUCTURES"/>
    <s v="COMMENT_LIGHTING"/>
    <s v="RBS_STRUCTURES.COMMENT_LIGHTING"/>
    <s v="VARCHAR2(250),"/>
    <m/>
    <m/>
    <m/>
    <m/>
    <m/>
    <m/>
    <m/>
    <m/>
    <m/>
    <m/>
  </r>
  <r>
    <x v="0"/>
    <x v="8"/>
    <s v="Lamps on Deck"/>
    <s v="Utility - Street Lighting - Owner"/>
    <s v="Utility Street Description"/>
    <m/>
    <m/>
    <m/>
    <m/>
    <m/>
    <s v="."/>
    <e v="#N/A"/>
    <m/>
    <m/>
    <m/>
    <m/>
    <m/>
    <m/>
    <m/>
    <m/>
    <m/>
    <m/>
  </r>
  <r>
    <x v="0"/>
    <x v="8"/>
    <s v="Lamps on Deck"/>
    <s v="Utility - Street Lighting - Agreement Date"/>
    <s v="Utility Street Description"/>
    <m/>
    <m/>
    <m/>
    <m/>
    <m/>
    <s v="."/>
    <e v="#N/A"/>
    <m/>
    <m/>
    <m/>
    <m/>
    <m/>
    <m/>
    <m/>
    <m/>
    <m/>
    <m/>
  </r>
  <r>
    <x v="0"/>
    <x v="8"/>
    <s v="Lamps on Deck"/>
    <s v="Light Poles Information - Controlled by"/>
    <s v="Light Poles Description"/>
    <m/>
    <m/>
    <m/>
    <s v="RBS_STRUCTURES"/>
    <s v="LAMP_POST_CONTROLLED_BY"/>
    <s v="RBS_STRUCTURES.LAMP_POST_CONTROLLED_BY"/>
    <s v="VARCHAR2(6),"/>
    <m/>
    <m/>
    <m/>
    <m/>
    <m/>
    <m/>
    <m/>
    <m/>
    <m/>
    <m/>
  </r>
  <r>
    <x v="0"/>
    <x v="8"/>
    <s v="Lamps on Deck"/>
    <s v="Light Poles Information - Inspected by"/>
    <s v="Light Poles Description"/>
    <m/>
    <m/>
    <m/>
    <s v="RBS_STRUCTURES"/>
    <s v="LAMP_POST_INSPECTED_BY"/>
    <s v="RBS_STRUCTURES.LAMP_POST_INSPECTED_BY"/>
    <s v="VARCHAR2(6),"/>
    <m/>
    <m/>
    <m/>
    <m/>
    <m/>
    <m/>
    <m/>
    <m/>
    <m/>
    <m/>
  </r>
  <r>
    <x v="0"/>
    <x v="8"/>
    <s v="Lamps on Deck"/>
    <s v="Light Poles Information - Maintained by"/>
    <s v="Light Poles Description"/>
    <m/>
    <m/>
    <m/>
    <s v="RBS_STRUCTURES"/>
    <s v="LAMP_POST_MAINTAINED_BY"/>
    <s v="RBS_STRUCTURES.LAMP_POST_MAINTAINED_BY"/>
    <s v="VARCHAR2(6),"/>
    <m/>
    <m/>
    <m/>
    <m/>
    <m/>
    <m/>
    <m/>
    <m/>
    <m/>
    <m/>
  </r>
  <r>
    <x v="0"/>
    <x v="8"/>
    <s v="Light Pole Details"/>
    <s v="Light Pole ID From"/>
    <s v="Light Pole Description"/>
    <m/>
    <m/>
    <m/>
    <s v="RBS_STRUCT_LAMP_POSTS"/>
    <s v="START_LAMP_POST_ID"/>
    <s v="RBS_STRUCT_LAMP_POSTS.START_LAMP_POST_ID"/>
    <e v="#N/A"/>
    <m/>
    <m/>
    <m/>
    <m/>
    <m/>
    <m/>
    <m/>
    <m/>
    <m/>
    <m/>
  </r>
  <r>
    <x v="0"/>
    <x v="8"/>
    <s v="Light Pole Details"/>
    <s v="Light Pole ID To"/>
    <s v="Light Pole Description"/>
    <m/>
    <m/>
    <m/>
    <s v="RBS_STRUCT_LAMP_POSTS"/>
    <s v="END_LAMP_POST_ID"/>
    <s v="RBS_STRUCT_LAMP_POSTS.END_LAMP_POST_ID"/>
    <e v="#N/A"/>
    <m/>
    <m/>
    <m/>
    <m/>
    <m/>
    <m/>
    <m/>
    <m/>
    <m/>
    <m/>
  </r>
  <r>
    <x v="0"/>
    <x v="8"/>
    <s v="Light Pole Details"/>
    <s v="Light Pole Type"/>
    <s v="Light Pole Description"/>
    <m/>
    <m/>
    <m/>
    <s v="RBS_STRUCT_LAMP_POSTS"/>
    <s v="POST_TYPE"/>
    <s v="RBS_STRUCT_LAMP_POSTS.POST_TYPE"/>
    <e v="#N/A"/>
    <m/>
    <m/>
    <m/>
    <m/>
    <m/>
    <m/>
    <m/>
    <m/>
    <m/>
    <m/>
  </r>
  <r>
    <x v="0"/>
    <x v="8"/>
    <s v="Light Pole Details"/>
    <s v="Light Pole Height"/>
    <s v="Description"/>
    <m/>
    <m/>
    <m/>
    <s v="RBS_STRUCT_LAMP_POSTS"/>
    <s v="HEIGHT"/>
    <s v="RBS_STRUCT_LAMP_POSTS.HEIGHT"/>
    <e v="#N/A"/>
    <m/>
    <m/>
    <m/>
    <m/>
    <m/>
    <m/>
    <m/>
    <m/>
    <m/>
    <m/>
  </r>
  <r>
    <x v="0"/>
    <x v="8"/>
    <s v="Light Pole Details"/>
    <s v="Light Pole Outreach"/>
    <s v="Description"/>
    <m/>
    <m/>
    <m/>
    <s v="RBS_STRUCT_LAMP_POSTS"/>
    <s v="OUTREACH"/>
    <s v="RBS_STRUCT_LAMP_POSTS.OUTREACH"/>
    <e v="#N/A"/>
    <m/>
    <m/>
    <m/>
    <m/>
    <m/>
    <m/>
    <m/>
    <m/>
    <m/>
    <m/>
  </r>
  <r>
    <x v="0"/>
    <x v="8"/>
    <s v="Light Pole Details"/>
    <s v="Light Pole - Year Installed"/>
    <s v="Year Installed Description"/>
    <m/>
    <m/>
    <m/>
    <s v="RBS_STRUCT_LAMP_POSTS"/>
    <s v="INSTALLED_YEAR"/>
    <s v="RBS_STRUCT_LAMP_POSTS.INSTALLED_YEAR"/>
    <e v="#N/A"/>
    <m/>
    <m/>
    <m/>
    <m/>
    <m/>
    <m/>
    <m/>
    <m/>
    <m/>
    <m/>
  </r>
  <r>
    <x v="0"/>
    <x v="8"/>
    <s v="Light Pole Details"/>
    <s v="Light Pole Comments (Notes, Drawing No., Specification etc.) "/>
    <s v="Comments Notes Description"/>
    <m/>
    <m/>
    <m/>
    <s v="RBS_STRUCT_LAMP_POSTS"/>
    <s v="COMMENTS"/>
    <s v="RBS_STRUCT_LAMP_POSTS.COMMENTS"/>
    <e v="#N/A"/>
    <m/>
    <m/>
    <m/>
    <m/>
    <m/>
    <m/>
    <m/>
    <m/>
    <m/>
    <m/>
  </r>
  <r>
    <x v="0"/>
    <x v="9"/>
    <s v="Structure Barrier"/>
    <s v="Required Barrier Capacity"/>
    <s v="Required Barrier Description"/>
    <m/>
    <m/>
    <m/>
    <m/>
    <m/>
    <s v="."/>
    <e v="#N/A"/>
    <m/>
    <m/>
    <m/>
    <m/>
    <m/>
    <m/>
    <m/>
    <m/>
    <m/>
    <m/>
  </r>
  <r>
    <x v="0"/>
    <x v="9"/>
    <s v="Structure Barrier"/>
    <s v="Maximum Possible Upgrade Level"/>
    <s v="Maximum Possible Description"/>
    <m/>
    <m/>
    <m/>
    <m/>
    <m/>
    <s v="."/>
    <e v="#N/A"/>
    <m/>
    <m/>
    <m/>
    <m/>
    <m/>
    <m/>
    <m/>
    <m/>
    <m/>
    <m/>
  </r>
  <r>
    <x v="0"/>
    <x v="9"/>
    <s v="Structure Barrier"/>
    <s v="Existing Level"/>
    <s v="Existing Level Description"/>
    <m/>
    <m/>
    <m/>
    <m/>
    <m/>
    <s v="."/>
    <e v="#N/A"/>
    <m/>
    <m/>
    <m/>
    <m/>
    <m/>
    <m/>
    <m/>
    <m/>
    <m/>
    <m/>
  </r>
  <r>
    <x v="0"/>
    <x v="9"/>
    <s v="Structure Barrier"/>
    <s v="Existing Barrier Deficiency"/>
    <s v="Existing Barrier Description"/>
    <m/>
    <m/>
    <m/>
    <m/>
    <m/>
    <s v="."/>
    <e v="#N/A"/>
    <m/>
    <m/>
    <m/>
    <m/>
    <m/>
    <m/>
    <m/>
    <m/>
    <m/>
    <m/>
  </r>
  <r>
    <x v="0"/>
    <x v="9"/>
    <s v="Structure Barrier"/>
    <s v="Barrier Type"/>
    <s v="Barrier Type Description"/>
    <m/>
    <m/>
    <m/>
    <m/>
    <m/>
    <s v="."/>
    <e v="#N/A"/>
    <m/>
    <m/>
    <m/>
    <m/>
    <m/>
    <m/>
    <m/>
    <m/>
    <m/>
    <m/>
  </r>
  <r>
    <x v="0"/>
    <x v="9"/>
    <s v="Structure Barrier"/>
    <s v="Barrier Height (m)"/>
    <s v="Barrier Height Description"/>
    <m/>
    <m/>
    <m/>
    <m/>
    <m/>
    <s v="."/>
    <e v="#N/A"/>
    <m/>
    <m/>
    <m/>
    <m/>
    <m/>
    <m/>
    <m/>
    <m/>
    <m/>
    <m/>
  </r>
  <r>
    <x v="0"/>
    <x v="9"/>
    <s v="Structure Barrier"/>
    <s v="Barrier Material"/>
    <s v="Barrier Material Description"/>
    <m/>
    <m/>
    <m/>
    <m/>
    <m/>
    <s v="."/>
    <e v="#N/A"/>
    <m/>
    <m/>
    <m/>
    <m/>
    <m/>
    <m/>
    <m/>
    <m/>
    <m/>
    <m/>
  </r>
  <r>
    <x v="0"/>
    <x v="9"/>
    <s v="Structure Barrier"/>
    <s v="Barrier Protective Coating"/>
    <s v="Barrier Protective Description"/>
    <m/>
    <m/>
    <m/>
    <m/>
    <m/>
    <s v="."/>
    <e v="#N/A"/>
    <m/>
    <m/>
    <m/>
    <m/>
    <m/>
    <m/>
    <m/>
    <m/>
    <m/>
    <m/>
  </r>
  <r>
    <x v="0"/>
    <x v="9"/>
    <s v="Wearing Surface Material"/>
    <s v="Wearing Surface Material Type"/>
    <s v="Wearing Surface Material Description"/>
    <m/>
    <m/>
    <m/>
    <m/>
    <m/>
    <s v="."/>
    <e v="#N/A"/>
    <m/>
    <m/>
    <m/>
    <m/>
    <m/>
    <m/>
    <m/>
    <m/>
    <m/>
    <m/>
  </r>
  <r>
    <x v="0"/>
    <x v="9"/>
    <s v="Deck Material"/>
    <s v="Deck Material Type"/>
    <s v="Deck Material Description"/>
    <m/>
    <m/>
    <m/>
    <m/>
    <m/>
    <s v="."/>
    <e v="#N/A"/>
    <m/>
    <m/>
    <m/>
    <m/>
    <m/>
    <m/>
    <m/>
    <m/>
    <m/>
    <m/>
  </r>
  <r>
    <x v="0"/>
    <x v="9"/>
    <s v="Deck Joint Type"/>
    <s v="Deck Joint Type"/>
    <s v="Deck Joint Description"/>
    <m/>
    <m/>
    <m/>
    <m/>
    <m/>
    <s v="."/>
    <e v="#N/A"/>
    <m/>
    <m/>
    <m/>
    <m/>
    <m/>
    <m/>
    <m/>
    <m/>
    <m/>
    <m/>
  </r>
  <r>
    <x v="0"/>
    <x v="9"/>
    <s v="Deck Joint Type"/>
    <s v="Deck Joint - No of Joints"/>
    <s v="Deck Joint Description"/>
    <m/>
    <m/>
    <m/>
    <m/>
    <m/>
    <s v="."/>
    <e v="#N/A"/>
    <m/>
    <m/>
    <m/>
    <m/>
    <m/>
    <m/>
    <m/>
    <m/>
    <m/>
    <m/>
  </r>
  <r>
    <x v="0"/>
    <x v="9"/>
    <s v="Deck Continuity Type"/>
    <s v="Deck Continuity Type"/>
    <s v="Deck Continuity Description"/>
    <m/>
    <m/>
    <m/>
    <m/>
    <m/>
    <s v="."/>
    <e v="#N/A"/>
    <m/>
    <m/>
    <m/>
    <m/>
    <m/>
    <m/>
    <m/>
    <m/>
    <m/>
    <m/>
  </r>
  <r>
    <x v="0"/>
    <x v="9"/>
    <s v="Joint Type Details"/>
    <s v="Joint Location"/>
    <s v="Joint Location Description"/>
    <m/>
    <m/>
    <m/>
    <s v="Rbs_deck_join_on_supstr"/>
    <m/>
    <s v="Rbs_deck_join_on_supstr."/>
    <e v="#N/A"/>
    <m/>
    <m/>
    <m/>
    <m/>
    <m/>
    <m/>
    <m/>
    <m/>
    <m/>
    <m/>
  </r>
  <r>
    <x v="0"/>
    <x v="9"/>
    <s v="Joint Type Details"/>
    <s v="Joint ID"/>
    <s v="Joint ID Description"/>
    <m/>
    <m/>
    <m/>
    <s v="Rbs_deck_join_on_supstr"/>
    <m/>
    <s v="Rbs_deck_join_on_supstr."/>
    <e v="#N/A"/>
    <m/>
    <m/>
    <m/>
    <m/>
    <m/>
    <m/>
    <m/>
    <m/>
    <m/>
    <m/>
  </r>
  <r>
    <x v="0"/>
    <x v="9"/>
    <s v="Joint Type Details"/>
    <s v="Brand Name"/>
    <s v="Brand Name Description"/>
    <m/>
    <m/>
    <m/>
    <s v="Rbs_deck_join_on_supstr"/>
    <m/>
    <s v="Rbs_deck_join_on_supstr."/>
    <e v="#N/A"/>
    <m/>
    <m/>
    <m/>
    <m/>
    <m/>
    <m/>
    <m/>
    <m/>
    <m/>
    <m/>
  </r>
  <r>
    <x v="0"/>
    <x v="9"/>
    <s v="Joint Type Details"/>
    <s v="Product/Model"/>
    <s v="Product Model Description"/>
    <m/>
    <m/>
    <m/>
    <s v="Rbs_deck_join_on_supstr"/>
    <m/>
    <s v="Rbs_deck_join_on_supstr."/>
    <e v="#N/A"/>
    <m/>
    <m/>
    <m/>
    <m/>
    <m/>
    <m/>
    <m/>
    <m/>
    <m/>
    <m/>
  </r>
  <r>
    <x v="0"/>
    <x v="9"/>
    <s v="Joint Type Details"/>
    <s v="Year of Installation"/>
    <s v="Year of Description"/>
    <m/>
    <m/>
    <m/>
    <s v="Rbs_deck_join_on_supstr"/>
    <m/>
    <s v="Rbs_deck_join_on_supstr."/>
    <e v="#N/A"/>
    <m/>
    <m/>
    <m/>
    <m/>
    <m/>
    <m/>
    <m/>
    <m/>
    <m/>
    <m/>
  </r>
  <r>
    <x v="0"/>
    <x v="9"/>
    <s v="Joint Type Details"/>
    <s v="Comments"/>
    <s v="Description"/>
    <m/>
    <m/>
    <m/>
    <s v="Rbs_deck_join_on_supstr"/>
    <m/>
    <s v="Rbs_deck_join_on_supstr."/>
    <e v="#N/A"/>
    <m/>
    <m/>
    <m/>
    <m/>
    <m/>
    <m/>
    <m/>
    <m/>
    <m/>
    <m/>
  </r>
  <r>
    <x v="0"/>
    <x v="10"/>
    <m/>
    <s v="Utility Type"/>
    <s v="Utility Type Description"/>
    <m/>
    <m/>
    <m/>
    <m/>
    <m/>
    <s v="."/>
    <e v="#N/A"/>
    <m/>
    <m/>
    <m/>
    <m/>
    <m/>
    <m/>
    <m/>
    <m/>
    <m/>
    <m/>
  </r>
  <r>
    <x v="0"/>
    <x v="10"/>
    <m/>
    <s v="Utility Owner"/>
    <s v="Utility Owner Description"/>
    <m/>
    <m/>
    <m/>
    <m/>
    <m/>
    <s v="."/>
    <e v="#N/A"/>
    <m/>
    <m/>
    <m/>
    <m/>
    <m/>
    <m/>
    <m/>
    <m/>
    <m/>
    <m/>
  </r>
  <r>
    <x v="0"/>
    <x v="10"/>
    <m/>
    <s v="Utility - No. off/Size"/>
    <s v="No off Description"/>
    <m/>
    <m/>
    <m/>
    <m/>
    <m/>
    <s v="."/>
    <e v="#N/A"/>
    <m/>
    <m/>
    <m/>
    <m/>
    <m/>
    <m/>
    <m/>
    <m/>
    <m/>
    <m/>
  </r>
  <r>
    <x v="0"/>
    <x v="10"/>
    <m/>
    <s v="Agreement Date (DD-MMM-YYYY)"/>
    <s v="Agreement Date Description"/>
    <m/>
    <m/>
    <m/>
    <m/>
    <m/>
    <s v="."/>
    <e v="#N/A"/>
    <m/>
    <m/>
    <m/>
    <m/>
    <m/>
    <m/>
    <m/>
    <m/>
    <m/>
    <m/>
  </r>
  <r>
    <x v="0"/>
    <x v="11"/>
    <s v="Substructure (tabsheet)"/>
    <s v="Year Completed (YYYY)"/>
    <s v="Year Completed Description"/>
    <m/>
    <m/>
    <m/>
    <m/>
    <m/>
    <s v="."/>
    <e v="#N/A"/>
    <m/>
    <m/>
    <m/>
    <m/>
    <m/>
    <m/>
    <m/>
    <m/>
    <m/>
    <m/>
  </r>
  <r>
    <x v="0"/>
    <x v="11"/>
    <s v="Substructure (tabsheet)"/>
    <s v="Construction Type"/>
    <s v="Construction Type Description"/>
    <m/>
    <m/>
    <m/>
    <m/>
    <m/>
    <s v="."/>
    <e v="#N/A"/>
    <m/>
    <m/>
    <m/>
    <m/>
    <m/>
    <m/>
    <m/>
    <m/>
    <m/>
    <m/>
  </r>
  <r>
    <x v="0"/>
    <x v="11"/>
    <s v="Substructure (tabsheet)"/>
    <s v="Abutment/Pier"/>
    <s v="Abutment Pier Description"/>
    <m/>
    <m/>
    <m/>
    <m/>
    <m/>
    <s v="."/>
    <e v="#N/A"/>
    <m/>
    <m/>
    <m/>
    <m/>
    <m/>
    <m/>
    <m/>
    <m/>
    <m/>
    <m/>
  </r>
  <r>
    <x v="0"/>
    <x v="11"/>
    <s v="Substructure (tabsheet)"/>
    <s v="From"/>
    <s v="Description"/>
    <m/>
    <m/>
    <m/>
    <m/>
    <m/>
    <s v="."/>
    <e v="#N/A"/>
    <m/>
    <m/>
    <m/>
    <m/>
    <m/>
    <m/>
    <m/>
    <m/>
    <m/>
    <m/>
  </r>
  <r>
    <x v="0"/>
    <x v="11"/>
    <s v="Substructure (tabsheet)"/>
    <s v="To"/>
    <s v="Description"/>
    <m/>
    <m/>
    <m/>
    <m/>
    <m/>
    <s v="."/>
    <e v="#N/A"/>
    <m/>
    <m/>
    <m/>
    <m/>
    <m/>
    <m/>
    <m/>
    <m/>
    <m/>
    <m/>
  </r>
  <r>
    <x v="0"/>
    <x v="11"/>
    <s v="Bearing"/>
    <s v="Bearing Type"/>
    <s v="Description"/>
    <m/>
    <m/>
    <m/>
    <m/>
    <m/>
    <s v="."/>
    <e v="#N/A"/>
    <m/>
    <m/>
    <m/>
    <m/>
    <m/>
    <m/>
    <m/>
    <m/>
    <m/>
    <m/>
  </r>
  <r>
    <x v="0"/>
    <x v="11"/>
    <s v="Bearing"/>
    <s v="Bearing No. Off"/>
    <s v="No Off Description"/>
    <m/>
    <m/>
    <m/>
    <m/>
    <m/>
    <s v="."/>
    <e v="#N/A"/>
    <m/>
    <m/>
    <m/>
    <m/>
    <m/>
    <m/>
    <m/>
    <m/>
    <m/>
    <m/>
  </r>
  <r>
    <x v="0"/>
    <x v="11"/>
    <s v="Bearing"/>
    <s v="Bearing Support Type"/>
    <s v="Support Type Description"/>
    <m/>
    <m/>
    <m/>
    <m/>
    <m/>
    <s v="."/>
    <e v="#N/A"/>
    <m/>
    <m/>
    <m/>
    <m/>
    <m/>
    <m/>
    <m/>
    <m/>
    <m/>
    <m/>
  </r>
  <r>
    <x v="0"/>
    <x v="11"/>
    <s v="Abutment/Pier"/>
    <s v="Abut/Pier Material"/>
    <s v="Description"/>
    <m/>
    <m/>
    <m/>
    <m/>
    <m/>
    <s v="."/>
    <e v="#N/A"/>
    <m/>
    <m/>
    <m/>
    <m/>
    <m/>
    <m/>
    <m/>
    <m/>
    <m/>
    <m/>
  </r>
  <r>
    <x v="0"/>
    <x v="11"/>
    <s v="Abutment/Pier"/>
    <s v="Abut/Pier Type"/>
    <s v="Description"/>
    <m/>
    <m/>
    <m/>
    <m/>
    <m/>
    <s v="."/>
    <e v="#N/A"/>
    <m/>
    <m/>
    <m/>
    <m/>
    <m/>
    <m/>
    <m/>
    <m/>
    <m/>
    <m/>
  </r>
  <r>
    <x v="0"/>
    <x v="11"/>
    <s v="Footing"/>
    <s v="Footing Material"/>
    <s v="Description"/>
    <m/>
    <m/>
    <m/>
    <m/>
    <m/>
    <s v="."/>
    <e v="#N/A"/>
    <m/>
    <m/>
    <m/>
    <m/>
    <m/>
    <m/>
    <m/>
    <m/>
    <m/>
    <m/>
  </r>
  <r>
    <x v="0"/>
    <x v="11"/>
    <s v="Footing"/>
    <s v="Footing Type"/>
    <s v="Description"/>
    <m/>
    <m/>
    <m/>
    <m/>
    <m/>
    <s v="."/>
    <e v="#N/A"/>
    <m/>
    <m/>
    <m/>
    <m/>
    <m/>
    <m/>
    <m/>
    <m/>
    <m/>
    <m/>
  </r>
  <r>
    <x v="0"/>
    <x v="11"/>
    <s v="Batter/Streambed Protection"/>
    <s v="Batter Protection Type"/>
    <s v="Batter Protection Description"/>
    <m/>
    <m/>
    <m/>
    <m/>
    <m/>
    <s v="."/>
    <e v="#N/A"/>
    <m/>
    <m/>
    <m/>
    <m/>
    <m/>
    <m/>
    <m/>
    <m/>
    <m/>
    <m/>
  </r>
  <r>
    <x v="0"/>
    <x v="11"/>
    <s v="Batter/Streambed Protection"/>
    <s v="Streambed Protection Type"/>
    <s v="Streambed Protection Description"/>
    <m/>
    <m/>
    <m/>
    <m/>
    <m/>
    <s v="."/>
    <e v="#N/A"/>
    <m/>
    <m/>
    <m/>
    <m/>
    <m/>
    <m/>
    <m/>
    <m/>
    <m/>
    <m/>
  </r>
  <r>
    <x v="0"/>
    <x v="11"/>
    <s v="Bed Level/Scour Details (tabsheet)"/>
    <s v="Abutment/Pier Number"/>
    <s v="Abutment Pier Description"/>
    <m/>
    <m/>
    <m/>
    <m/>
    <m/>
    <s v="."/>
    <e v="#N/A"/>
    <m/>
    <m/>
    <m/>
    <m/>
    <m/>
    <m/>
    <m/>
    <m/>
    <m/>
    <m/>
  </r>
  <r>
    <x v="0"/>
    <x v="11"/>
    <s v="Bed Level/Scour Details (tabsheet)"/>
    <s v="Original Bed Level (AHD Australian Height Datum in metre)"/>
    <s v="Original Bed Description"/>
    <m/>
    <m/>
    <m/>
    <m/>
    <m/>
    <s v="."/>
    <e v="#N/A"/>
    <m/>
    <m/>
    <m/>
    <m/>
    <m/>
    <m/>
    <m/>
    <m/>
    <m/>
    <m/>
  </r>
  <r>
    <x v="0"/>
    <x v="11"/>
    <s v="Bed Level/Scour Details (tabsheet)"/>
    <s v="Scour Warning Bed Level (AHD Australian Height Datum in metre)"/>
    <s v="Scour Warning Description"/>
    <m/>
    <m/>
    <m/>
    <m/>
    <m/>
    <s v="."/>
    <e v="#N/A"/>
    <m/>
    <m/>
    <m/>
    <m/>
    <m/>
    <m/>
    <m/>
    <m/>
    <m/>
    <m/>
  </r>
  <r>
    <x v="0"/>
    <x v="11"/>
    <s v="Bed Level/Scour Details (tabsheet)"/>
    <s v="Structurally Critical Bed Level (AHD Australian Height Datum in metre)"/>
    <s v="Structurally Critical Description"/>
    <m/>
    <m/>
    <m/>
    <m/>
    <m/>
    <s v="."/>
    <e v="#N/A"/>
    <m/>
    <m/>
    <m/>
    <m/>
    <m/>
    <m/>
    <m/>
    <m/>
    <m/>
    <m/>
  </r>
  <r>
    <x v="0"/>
    <x v="11"/>
    <s v="Bed Level/Scour Details (tabsheet)"/>
    <s v="Month/Year Inspection (MMM-YYYY)"/>
    <s v="Month Year Description"/>
    <m/>
    <m/>
    <m/>
    <m/>
    <m/>
    <s v="."/>
    <e v="#N/A"/>
    <m/>
    <m/>
    <m/>
    <m/>
    <m/>
    <m/>
    <m/>
    <m/>
    <m/>
    <m/>
  </r>
  <r>
    <x v="0"/>
    <x v="11"/>
    <s v="Bed Level/Scour Details (tabsheet)"/>
    <s v="Bed Level Up stream"/>
    <s v="Bed Level Description"/>
    <m/>
    <m/>
    <m/>
    <m/>
    <m/>
    <s v="."/>
    <e v="#N/A"/>
    <m/>
    <m/>
    <m/>
    <m/>
    <m/>
    <m/>
    <m/>
    <m/>
    <m/>
    <m/>
  </r>
  <r>
    <x v="0"/>
    <x v="11"/>
    <s v="Bed Level/Scour Details (tabsheet)"/>
    <s v="Bed Level Down stream"/>
    <s v="Bed Level Description"/>
    <m/>
    <m/>
    <m/>
    <m/>
    <m/>
    <s v="."/>
    <e v="#N/A"/>
    <m/>
    <m/>
    <m/>
    <m/>
    <m/>
    <m/>
    <m/>
    <m/>
    <m/>
    <m/>
  </r>
  <r>
    <x v="0"/>
    <x v="11"/>
    <s v="Bed Level/Scour Details (tabsheet)"/>
    <s v="Comments"/>
    <s v="Description"/>
    <m/>
    <m/>
    <m/>
    <m/>
    <m/>
    <s v="."/>
    <e v="#N/A"/>
    <m/>
    <m/>
    <m/>
    <m/>
    <m/>
    <m/>
    <m/>
    <m/>
    <m/>
    <m/>
  </r>
  <r>
    <x v="0"/>
    <x v="11"/>
    <s v="Overview (tab)"/>
    <s v="(Bed Level measurement in table view)"/>
    <s v="Bed Level Description"/>
    <m/>
    <m/>
    <m/>
    <m/>
    <m/>
    <s v="."/>
    <e v="#N/A"/>
    <m/>
    <m/>
    <m/>
    <m/>
    <m/>
    <m/>
    <m/>
    <m/>
    <m/>
    <m/>
  </r>
  <r>
    <x v="0"/>
    <x v="12"/>
    <m/>
    <s v="Deck Above NWL (m)"/>
    <s v="Deck Above Description"/>
    <m/>
    <m/>
    <m/>
    <m/>
    <m/>
    <s v="."/>
    <e v="#N/A"/>
    <m/>
    <m/>
    <m/>
    <m/>
    <m/>
    <m/>
    <m/>
    <m/>
    <m/>
    <m/>
  </r>
  <r>
    <x v="0"/>
    <x v="12"/>
    <m/>
    <s v="Deck Above/Below HFL (m)"/>
    <s v="Deck Above Description"/>
    <m/>
    <m/>
    <m/>
    <m/>
    <m/>
    <s v="."/>
    <e v="#N/A"/>
    <m/>
    <m/>
    <m/>
    <m/>
    <m/>
    <m/>
    <m/>
    <m/>
    <m/>
    <m/>
  </r>
  <r>
    <x v="0"/>
    <x v="12"/>
    <m/>
    <s v="HFL Observerd Year (YYYY)"/>
    <s v="HFL Observerd Description"/>
    <m/>
    <m/>
    <m/>
    <m/>
    <m/>
    <s v="."/>
    <e v="#N/A"/>
    <m/>
    <m/>
    <m/>
    <m/>
    <m/>
    <m/>
    <m/>
    <m/>
    <m/>
    <m/>
  </r>
  <r>
    <x v="0"/>
    <x v="12"/>
    <m/>
    <s v="Catchment Area (sq.km.)"/>
    <s v="Catchment Area Description"/>
    <m/>
    <m/>
    <m/>
    <m/>
    <m/>
    <s v="."/>
    <e v="#N/A"/>
    <m/>
    <m/>
    <m/>
    <m/>
    <m/>
    <m/>
    <m/>
    <m/>
    <m/>
    <m/>
  </r>
  <r>
    <x v="0"/>
    <x v="12"/>
    <m/>
    <s v="Min. Vertical Navig. Clearance (m)"/>
    <s v="Min Vertical Description"/>
    <m/>
    <m/>
    <m/>
    <m/>
    <m/>
    <s v="."/>
    <e v="#N/A"/>
    <m/>
    <m/>
    <m/>
    <m/>
    <m/>
    <m/>
    <m/>
    <m/>
    <m/>
    <m/>
  </r>
  <r>
    <x v="0"/>
    <x v="12"/>
    <m/>
    <s v="Min. Horizontal Naviga. Clearance (m)"/>
    <s v="Min Horizontal Description"/>
    <m/>
    <m/>
    <m/>
    <m/>
    <m/>
    <s v="."/>
    <e v="#N/A"/>
    <m/>
    <m/>
    <m/>
    <m/>
    <m/>
    <m/>
    <m/>
    <m/>
    <m/>
    <m/>
  </r>
  <r>
    <x v="0"/>
    <x v="12"/>
    <m/>
    <s v="Comments"/>
    <s v="Description"/>
    <m/>
    <m/>
    <m/>
    <m/>
    <m/>
    <s v="."/>
    <e v="#N/A"/>
    <m/>
    <m/>
    <m/>
    <m/>
    <m/>
    <m/>
    <m/>
    <m/>
    <m/>
    <m/>
  </r>
  <r>
    <x v="0"/>
    <x v="12"/>
    <s v="Stream Type"/>
    <s v="Stream Type"/>
    <s v="Stream Type Description"/>
    <m/>
    <m/>
    <m/>
    <m/>
    <m/>
    <s v="."/>
    <e v="#N/A"/>
    <m/>
    <m/>
    <m/>
    <m/>
    <m/>
    <m/>
    <m/>
    <m/>
    <m/>
    <m/>
  </r>
  <r>
    <x v="0"/>
    <x v="13"/>
    <m/>
    <s v="Nature of Deficiency"/>
    <s v="Nature of Description"/>
    <m/>
    <m/>
    <m/>
    <m/>
    <m/>
    <s v="."/>
    <e v="#N/A"/>
    <m/>
    <m/>
    <m/>
    <m/>
    <m/>
    <m/>
    <m/>
    <m/>
    <m/>
    <m/>
  </r>
  <r>
    <x v="0"/>
    <x v="13"/>
    <m/>
    <s v="Dated from"/>
    <s v="Dated from Description"/>
    <m/>
    <m/>
    <m/>
    <m/>
    <m/>
    <s v="."/>
    <e v="#N/A"/>
    <m/>
    <m/>
    <m/>
    <m/>
    <m/>
    <m/>
    <m/>
    <m/>
    <m/>
    <m/>
  </r>
  <r>
    <x v="0"/>
    <x v="13"/>
    <m/>
    <s v="Date Deficiency Corrected"/>
    <s v="Date Deficiency Description"/>
    <m/>
    <m/>
    <m/>
    <m/>
    <m/>
    <s v="."/>
    <e v="#N/A"/>
    <m/>
    <m/>
    <m/>
    <m/>
    <m/>
    <m/>
    <m/>
    <m/>
    <m/>
    <m/>
  </r>
  <r>
    <x v="0"/>
    <x v="13"/>
    <m/>
    <s v="Temporary Provision"/>
    <s v="Temporary Provision Description"/>
    <m/>
    <m/>
    <m/>
    <m/>
    <m/>
    <s v="."/>
    <e v="#N/A"/>
    <m/>
    <m/>
    <m/>
    <m/>
    <m/>
    <m/>
    <m/>
    <m/>
    <m/>
    <m/>
  </r>
  <r>
    <x v="0"/>
    <x v="13"/>
    <m/>
    <s v="Posted Load Limit for Rigid Trucks (t)"/>
    <s v="Posted Load Description"/>
    <m/>
    <m/>
    <m/>
    <m/>
    <m/>
    <s v="."/>
    <e v="#N/A"/>
    <m/>
    <m/>
    <m/>
    <m/>
    <m/>
    <m/>
    <m/>
    <m/>
    <m/>
    <m/>
  </r>
  <r>
    <x v="0"/>
    <x v="13"/>
    <m/>
    <s v="Posted Load Limit for Semitrailers (t)"/>
    <s v="Posted Load Description"/>
    <m/>
    <m/>
    <m/>
    <m/>
    <m/>
    <s v="."/>
    <e v="#N/A"/>
    <m/>
    <m/>
    <m/>
    <m/>
    <m/>
    <m/>
    <m/>
    <m/>
    <m/>
    <m/>
  </r>
  <r>
    <x v="0"/>
    <x v="13"/>
    <m/>
    <s v="Detour Length (km)"/>
    <s v="Detour Length Description"/>
    <m/>
    <m/>
    <m/>
    <m/>
    <m/>
    <s v="."/>
    <e v="#N/A"/>
    <m/>
    <m/>
    <m/>
    <m/>
    <m/>
    <m/>
    <m/>
    <m/>
    <m/>
    <m/>
  </r>
  <r>
    <x v="0"/>
    <x v="13"/>
    <m/>
    <s v="Detour Capable of Carrying Vehicles Exceeding 42.5t Gross"/>
    <s v="Detour Capable Description"/>
    <m/>
    <m/>
    <m/>
    <m/>
    <m/>
    <s v="."/>
    <e v="#N/A"/>
    <m/>
    <m/>
    <m/>
    <m/>
    <m/>
    <m/>
    <m/>
    <m/>
    <m/>
    <m/>
  </r>
  <r>
    <x v="0"/>
    <x v="13"/>
    <m/>
    <s v="Max. Axle Load on Detour for Vehicles Exceeding 42.5t Gross"/>
    <s v="Max Axle Description"/>
    <m/>
    <m/>
    <m/>
    <m/>
    <m/>
    <s v="."/>
    <e v="#N/A"/>
    <m/>
    <m/>
    <m/>
    <m/>
    <m/>
    <m/>
    <m/>
    <m/>
    <m/>
    <m/>
  </r>
  <r>
    <x v="0"/>
    <x v="13"/>
    <m/>
    <s v="Details of Route Capable of Carrying Vehicles Exceeding 42.5t Gross"/>
    <s v="Details of Description"/>
    <m/>
    <m/>
    <m/>
    <m/>
    <m/>
    <s v="."/>
    <e v="#N/A"/>
    <m/>
    <m/>
    <m/>
    <m/>
    <m/>
    <m/>
    <m/>
    <m/>
    <m/>
    <m/>
  </r>
  <r>
    <x v="0"/>
    <x v="13"/>
    <m/>
    <s v="Repairs Proposal"/>
    <s v="Repairs Proposal Description"/>
    <m/>
    <m/>
    <m/>
    <m/>
    <m/>
    <s v="."/>
    <e v="#N/A"/>
    <m/>
    <m/>
    <m/>
    <m/>
    <m/>
    <m/>
    <m/>
    <m/>
    <m/>
    <m/>
  </r>
  <r>
    <x v="0"/>
    <x v="13"/>
    <m/>
    <s v="Estimated Cost ($)"/>
    <s v="Estimated Cost Description"/>
    <m/>
    <m/>
    <m/>
    <m/>
    <m/>
    <s v="."/>
    <e v="#N/A"/>
    <m/>
    <m/>
    <m/>
    <m/>
    <m/>
    <m/>
    <m/>
    <m/>
    <m/>
    <m/>
  </r>
  <r>
    <x v="0"/>
    <x v="13"/>
    <m/>
    <s v="Programme Year (YYYY)"/>
    <s v="Programme Year Description"/>
    <m/>
    <m/>
    <m/>
    <m/>
    <m/>
    <s v="."/>
    <e v="#N/A"/>
    <m/>
    <m/>
    <m/>
    <m/>
    <m/>
    <m/>
    <m/>
    <m/>
    <m/>
    <m/>
  </r>
  <r>
    <x v="0"/>
    <x v="13"/>
    <m/>
    <s v="Comments"/>
    <s v="Description"/>
    <m/>
    <m/>
    <m/>
    <m/>
    <m/>
    <s v="."/>
    <e v="#N/A"/>
    <m/>
    <m/>
    <m/>
    <m/>
    <m/>
    <m/>
    <m/>
    <m/>
    <m/>
    <m/>
  </r>
  <r>
    <x v="0"/>
    <x v="14"/>
    <m/>
    <s v="On B-Double Route &lt;checkbox - display only&gt;"/>
    <s v="On B Description"/>
    <m/>
    <m/>
    <m/>
    <m/>
    <m/>
    <s v="."/>
    <e v="#N/A"/>
    <m/>
    <m/>
    <m/>
    <m/>
    <m/>
    <m/>
    <m/>
    <m/>
    <m/>
    <m/>
  </r>
  <r>
    <x v="0"/>
    <x v="14"/>
    <s v="Route Assessment (tabsheet)"/>
    <s v="Analysed Vehicle Configuration"/>
    <s v="Analysed Vehicle Description"/>
    <m/>
    <m/>
    <m/>
    <m/>
    <m/>
    <s v="."/>
    <e v="#N/A"/>
    <m/>
    <m/>
    <m/>
    <m/>
    <m/>
    <m/>
    <m/>
    <m/>
    <m/>
    <m/>
  </r>
  <r>
    <x v="0"/>
    <x v="14"/>
    <s v="Route Assessment (tabsheet)"/>
    <s v="Vehicle Category"/>
    <s v="Vehicle Category Description"/>
    <m/>
    <m/>
    <m/>
    <m/>
    <m/>
    <s v="."/>
    <e v="#N/A"/>
    <m/>
    <m/>
    <m/>
    <m/>
    <m/>
    <m/>
    <m/>
    <m/>
    <m/>
    <m/>
  </r>
  <r>
    <x v="0"/>
    <x v="14"/>
    <s v="Route Assessment (tabsheet)"/>
    <s v="Vehicle Config. Description"/>
    <s v="Vehicle Config Description"/>
    <m/>
    <m/>
    <m/>
    <m/>
    <m/>
    <s v="."/>
    <e v="#N/A"/>
    <m/>
    <m/>
    <m/>
    <m/>
    <m/>
    <m/>
    <m/>
    <m/>
    <m/>
    <m/>
  </r>
  <r>
    <x v="0"/>
    <x v="14"/>
    <s v="Route Assessment (tabsheet)"/>
    <s v="Approved (radio button)"/>
    <s v="Approved radio Description"/>
    <m/>
    <m/>
    <m/>
    <m/>
    <m/>
    <s v="."/>
    <e v="#N/A"/>
    <m/>
    <m/>
    <m/>
    <m/>
    <m/>
    <m/>
    <m/>
    <m/>
    <m/>
    <m/>
  </r>
  <r>
    <x v="0"/>
    <x v="14"/>
    <s v="Route Assessment (tabsheet)"/>
    <s v="Not Approved (radio button)"/>
    <s v="Not Approved Description"/>
    <m/>
    <m/>
    <m/>
    <m/>
    <m/>
    <s v="."/>
    <e v="#N/A"/>
    <m/>
    <m/>
    <m/>
    <m/>
    <m/>
    <m/>
    <m/>
    <m/>
    <m/>
    <m/>
  </r>
  <r>
    <x v="0"/>
    <x v="14"/>
    <s v="Route Assessment (tabsheet)"/>
    <s v="Not Assessed (radio button)"/>
    <s v="Not Assessed Description"/>
    <m/>
    <m/>
    <m/>
    <m/>
    <m/>
    <s v="."/>
    <e v="#N/A"/>
    <m/>
    <m/>
    <m/>
    <m/>
    <m/>
    <m/>
    <m/>
    <m/>
    <m/>
    <m/>
  </r>
  <r>
    <x v="0"/>
    <x v="14"/>
    <s v="Route Assessment (tabsheet)"/>
    <s v="Not Applicable (radio button)"/>
    <s v="Not Applicable Description"/>
    <m/>
    <m/>
    <m/>
    <m/>
    <m/>
    <s v="."/>
    <e v="#N/A"/>
    <m/>
    <m/>
    <m/>
    <m/>
    <m/>
    <m/>
    <m/>
    <m/>
    <m/>
    <m/>
  </r>
  <r>
    <x v="0"/>
    <x v="14"/>
    <s v="Route Assessment (tabsheet)"/>
    <s v="Date Approved"/>
    <s v="Date Approved Description"/>
    <m/>
    <m/>
    <m/>
    <m/>
    <m/>
    <s v="."/>
    <e v="#N/A"/>
    <m/>
    <m/>
    <m/>
    <m/>
    <m/>
    <m/>
    <m/>
    <m/>
    <m/>
    <m/>
  </r>
  <r>
    <x v="0"/>
    <x v="14"/>
    <s v="Route Assessment (tabsheet)"/>
    <s v="Date Updated in BIS"/>
    <s v="Date Updated Description"/>
    <m/>
    <m/>
    <m/>
    <m/>
    <m/>
    <s v="."/>
    <e v="#N/A"/>
    <m/>
    <m/>
    <m/>
    <m/>
    <m/>
    <m/>
    <m/>
    <m/>
    <m/>
    <m/>
  </r>
  <r>
    <x v="0"/>
    <x v="14"/>
    <s v="Route Assessment (tabsheet)"/>
    <s v="Cost of Upgrade"/>
    <s v="Cost of Description"/>
    <m/>
    <m/>
    <m/>
    <m/>
    <m/>
    <s v="."/>
    <e v="#N/A"/>
    <m/>
    <m/>
    <m/>
    <m/>
    <m/>
    <m/>
    <m/>
    <m/>
    <m/>
    <m/>
  </r>
  <r>
    <x v="0"/>
    <x v="14"/>
    <s v="Route Assessment (tabsheet)"/>
    <s v="Comments on Route Assessment"/>
    <s v="Comments on Description"/>
    <m/>
    <m/>
    <m/>
    <m/>
    <m/>
    <s v="."/>
    <e v="#N/A"/>
    <m/>
    <m/>
    <m/>
    <m/>
    <m/>
    <m/>
    <m/>
    <m/>
    <m/>
    <m/>
  </r>
  <r>
    <x v="0"/>
    <x v="14"/>
    <s v="Route Assessment (tabsheet)"/>
    <s v="List of Vehicle Configurations (button)"/>
    <m/>
    <m/>
    <m/>
    <m/>
    <m/>
    <m/>
    <s v="."/>
    <e v="#N/A"/>
    <m/>
    <s v="http://ofm-prod-weblogic.itservices.rms.nsw.gov.au:7777/webreports/rbs_insp/HML_fact_sheet.pdf"/>
    <n v="1"/>
    <m/>
    <m/>
    <m/>
    <m/>
    <m/>
    <m/>
    <m/>
  </r>
  <r>
    <x v="0"/>
    <x v="14"/>
    <s v="Load Rating Assessment (tabsheet inactive)"/>
    <s v="Load Rating Assessment (display only)"/>
    <s v="Load Rating Description"/>
    <m/>
    <m/>
    <m/>
    <m/>
    <m/>
    <s v="."/>
    <e v="#N/A"/>
    <m/>
    <m/>
    <m/>
    <m/>
    <m/>
    <m/>
    <m/>
    <m/>
    <m/>
    <m/>
  </r>
  <r>
    <x v="0"/>
    <x v="15"/>
    <s v="Issues/Special Features (tabsheet)"/>
    <s v="Feature/Issue"/>
    <s v="Feature Issue Description"/>
    <m/>
    <m/>
    <m/>
    <m/>
    <m/>
    <s v="."/>
    <e v="#N/A"/>
    <m/>
    <m/>
    <m/>
    <m/>
    <m/>
    <m/>
    <m/>
    <m/>
    <m/>
    <m/>
  </r>
  <r>
    <x v="0"/>
    <x v="15"/>
    <s v="Issues/Special Features (tabsheet)"/>
    <s v="Description"/>
    <s v="Description"/>
    <m/>
    <m/>
    <m/>
    <m/>
    <m/>
    <s v="."/>
    <e v="#N/A"/>
    <m/>
    <m/>
    <m/>
    <m/>
    <m/>
    <m/>
    <m/>
    <m/>
    <m/>
    <m/>
  </r>
  <r>
    <x v="0"/>
    <x v="15"/>
    <s v="Issues/Special Features (tabsheet)"/>
    <s v="Comments"/>
    <s v="Description"/>
    <m/>
    <m/>
    <m/>
    <m/>
    <m/>
    <s v="."/>
    <e v="#N/A"/>
    <m/>
    <m/>
    <m/>
    <m/>
    <m/>
    <m/>
    <m/>
    <m/>
    <m/>
    <m/>
  </r>
  <r>
    <x v="0"/>
    <x v="15"/>
    <s v="Coating/Paint History (tabsheet)"/>
    <s v="Year"/>
    <s v="Description"/>
    <m/>
    <m/>
    <m/>
    <m/>
    <m/>
    <s v="."/>
    <e v="#N/A"/>
    <m/>
    <m/>
    <m/>
    <m/>
    <m/>
    <m/>
    <m/>
    <m/>
    <m/>
    <m/>
  </r>
  <r>
    <x v="0"/>
    <x v="15"/>
    <s v="Coating/Paint History (tabsheet)"/>
    <s v="Structural part Coated"/>
    <s v="Structural part Description"/>
    <m/>
    <m/>
    <m/>
    <m/>
    <m/>
    <s v="."/>
    <e v="#N/A"/>
    <m/>
    <m/>
    <m/>
    <m/>
    <m/>
    <m/>
    <m/>
    <m/>
    <m/>
    <m/>
  </r>
  <r>
    <x v="0"/>
    <x v="15"/>
    <s v="Coating/Paint History (tabsheet)"/>
    <s v="Predominant Coating Type"/>
    <s v="Predominant Coating Description"/>
    <m/>
    <m/>
    <m/>
    <m/>
    <m/>
    <s v="."/>
    <e v="#N/A"/>
    <m/>
    <m/>
    <m/>
    <m/>
    <m/>
    <m/>
    <m/>
    <m/>
    <m/>
    <m/>
  </r>
  <r>
    <x v="0"/>
    <x v="15"/>
    <s v="Coating/Paint History (tabsheet)"/>
    <s v="Paint Thickness (DFT in microns)"/>
    <s v="Paint Thickness Description"/>
    <m/>
    <m/>
    <m/>
    <m/>
    <m/>
    <s v="."/>
    <e v="#N/A"/>
    <m/>
    <m/>
    <m/>
    <m/>
    <m/>
    <m/>
    <m/>
    <m/>
    <m/>
    <m/>
  </r>
  <r>
    <x v="0"/>
    <x v="15"/>
    <s v="Coating/Paint History (tabsheet)"/>
    <s v="Comments"/>
    <s v="Description"/>
    <m/>
    <m/>
    <m/>
    <m/>
    <m/>
    <s v="."/>
    <e v="#N/A"/>
    <m/>
    <m/>
    <m/>
    <m/>
    <m/>
    <m/>
    <m/>
    <m/>
    <m/>
    <m/>
  </r>
  <r>
    <x v="0"/>
    <x v="15"/>
    <s v="Monitoring System/Gantries (tabsheet)"/>
    <s v="Monitoring System"/>
    <s v="Monitoring System Description"/>
    <m/>
    <m/>
    <m/>
    <m/>
    <m/>
    <s v="."/>
    <e v="#N/A"/>
    <m/>
    <m/>
    <m/>
    <m/>
    <m/>
    <m/>
    <m/>
    <m/>
    <m/>
    <m/>
  </r>
  <r>
    <x v="0"/>
    <x v="15"/>
    <s v="Monitoring System/Gantries (tabsheet)"/>
    <s v="Monitor ID"/>
    <s v="Monitor ID Description"/>
    <m/>
    <m/>
    <m/>
    <m/>
    <m/>
    <s v="."/>
    <e v="#N/A"/>
    <m/>
    <m/>
    <m/>
    <m/>
    <m/>
    <m/>
    <m/>
    <m/>
    <m/>
    <m/>
  </r>
  <r>
    <x v="0"/>
    <x v="15"/>
    <s v="Monitoring System/Gantries (tabsheet)"/>
    <s v="Structure Part Monitored"/>
    <s v="Structure Part Description"/>
    <m/>
    <m/>
    <m/>
    <m/>
    <m/>
    <s v="."/>
    <e v="#N/A"/>
    <m/>
    <m/>
    <m/>
    <m/>
    <m/>
    <m/>
    <m/>
    <m/>
    <m/>
    <m/>
  </r>
  <r>
    <x v="0"/>
    <x v="15"/>
    <s v="Monitoring System/Gantries (tabsheet)"/>
    <s v="Monitoring Type"/>
    <s v="Monitoring Type Description"/>
    <m/>
    <m/>
    <m/>
    <m/>
    <m/>
    <s v="."/>
    <e v="#N/A"/>
    <m/>
    <m/>
    <m/>
    <m/>
    <m/>
    <m/>
    <m/>
    <m/>
    <m/>
    <m/>
  </r>
  <r>
    <x v="0"/>
    <x v="15"/>
    <s v="Monitoring System/Gantries (tabsheet)"/>
    <s v="Management System (Y/N)"/>
    <s v="Management System Description"/>
    <m/>
    <m/>
    <m/>
    <m/>
    <m/>
    <s v="."/>
    <e v="#N/A"/>
    <m/>
    <m/>
    <m/>
    <m/>
    <m/>
    <m/>
    <m/>
    <m/>
    <m/>
    <m/>
  </r>
  <r>
    <x v="0"/>
    <x v="15"/>
    <s v="Monitoring System/Gantries (tabsheet)"/>
    <s v="Managed By"/>
    <s v="Managed By Description"/>
    <m/>
    <m/>
    <m/>
    <m/>
    <m/>
    <s v="."/>
    <e v="#N/A"/>
    <m/>
    <m/>
    <m/>
    <m/>
    <m/>
    <m/>
    <m/>
    <m/>
    <m/>
    <m/>
  </r>
  <r>
    <x v="0"/>
    <x v="15"/>
    <s v="Monitoring System/Gantries (tabsheet)"/>
    <s v="Gantry No"/>
    <s v="Gantry No Description"/>
    <m/>
    <m/>
    <m/>
    <m/>
    <m/>
    <s v="."/>
    <e v="#N/A"/>
    <m/>
    <m/>
    <m/>
    <m/>
    <m/>
    <m/>
    <m/>
    <m/>
    <m/>
    <m/>
  </r>
  <r>
    <x v="0"/>
    <x v="15"/>
    <s v="Monitoring System/Gantries (tabsheet)"/>
    <s v="Description"/>
    <s v="Description"/>
    <m/>
    <m/>
    <m/>
    <m/>
    <m/>
    <s v="."/>
    <e v="#N/A"/>
    <m/>
    <m/>
    <m/>
    <m/>
    <m/>
    <m/>
    <m/>
    <m/>
    <m/>
    <m/>
  </r>
  <r>
    <x v="0"/>
    <x v="15"/>
    <s v="Monitoring System/Gantries (tabsheet)"/>
    <s v="Safe Working Load (kg.)"/>
    <s v="Safe Working Description"/>
    <m/>
    <m/>
    <m/>
    <m/>
    <m/>
    <s v="."/>
    <e v="#N/A"/>
    <m/>
    <m/>
    <m/>
    <m/>
    <m/>
    <m/>
    <m/>
    <m/>
    <m/>
    <m/>
  </r>
  <r>
    <x v="0"/>
    <x v="16"/>
    <s v="Inventory &lt;tabsheet&gt;"/>
    <s v="Main-Component"/>
    <s v="Main Component Description"/>
    <m/>
    <m/>
    <m/>
    <m/>
    <m/>
    <s v="."/>
    <e v="#N/A"/>
    <m/>
    <m/>
    <m/>
    <m/>
    <m/>
    <m/>
    <m/>
    <m/>
    <m/>
    <m/>
  </r>
  <r>
    <x v="0"/>
    <x v="16"/>
    <s v="Inventory &lt;tabsheet&gt;"/>
    <s v="Component Name"/>
    <s v="Component Name Description"/>
    <m/>
    <m/>
    <m/>
    <m/>
    <m/>
    <s v="."/>
    <e v="#N/A"/>
    <m/>
    <m/>
    <m/>
    <m/>
    <m/>
    <m/>
    <m/>
    <m/>
    <m/>
    <m/>
  </r>
  <r>
    <x v="0"/>
    <x v="16"/>
    <s v="Inventory &lt;tabsheet&gt;"/>
    <s v="Component ID"/>
    <s v="Component ID Description"/>
    <m/>
    <m/>
    <m/>
    <m/>
    <m/>
    <s v="."/>
    <e v="#N/A"/>
    <m/>
    <m/>
    <m/>
    <m/>
    <m/>
    <m/>
    <m/>
    <m/>
    <m/>
    <m/>
  </r>
  <r>
    <x v="0"/>
    <x v="16"/>
    <s v="Inventory &lt;tabsheet&gt;"/>
    <s v="Electrical (checkbox)"/>
    <s v="Electrical checkbox Description"/>
    <m/>
    <m/>
    <m/>
    <m/>
    <m/>
    <s v="."/>
    <e v="#N/A"/>
    <m/>
    <m/>
    <m/>
    <m/>
    <m/>
    <m/>
    <m/>
    <m/>
    <m/>
    <m/>
  </r>
  <r>
    <x v="0"/>
    <x v="16"/>
    <s v="Inventory &lt;tabsheet&gt;"/>
    <s v="Mechanical (checkbox)"/>
    <s v="Mechanical checkbox Description"/>
    <m/>
    <m/>
    <m/>
    <m/>
    <m/>
    <s v="."/>
    <e v="#N/A"/>
    <m/>
    <m/>
    <m/>
    <m/>
    <m/>
    <m/>
    <m/>
    <m/>
    <m/>
    <m/>
  </r>
  <r>
    <x v="0"/>
    <x v="16"/>
    <s v="Inventory &lt;tabsheet&gt;"/>
    <s v="Hydraulic (checkbox)"/>
    <s v="Hydraulic checkbox Description"/>
    <m/>
    <m/>
    <m/>
    <m/>
    <m/>
    <s v="."/>
    <e v="#N/A"/>
    <m/>
    <m/>
    <m/>
    <m/>
    <m/>
    <m/>
    <m/>
    <m/>
    <m/>
    <m/>
  </r>
  <r>
    <x v="0"/>
    <x v="16"/>
    <s v="Inventory &lt;tabsheet&gt;"/>
    <s v="Make"/>
    <s v="Description"/>
    <m/>
    <m/>
    <m/>
    <m/>
    <m/>
    <s v="."/>
    <e v="#N/A"/>
    <m/>
    <m/>
    <m/>
    <m/>
    <m/>
    <m/>
    <m/>
    <m/>
    <m/>
    <m/>
  </r>
  <r>
    <x v="0"/>
    <x v="16"/>
    <s v="Inventory &lt;tabsheet&gt;"/>
    <s v="Model"/>
    <s v="Description"/>
    <m/>
    <m/>
    <m/>
    <m/>
    <m/>
    <s v="."/>
    <e v="#N/A"/>
    <m/>
    <m/>
    <m/>
    <m/>
    <m/>
    <m/>
    <m/>
    <m/>
    <m/>
    <m/>
  </r>
  <r>
    <x v="0"/>
    <x v="16"/>
    <s v="Inventory &lt;tabsheet&gt;"/>
    <s v="Sub Type"/>
    <s v="Sub Type Description"/>
    <m/>
    <m/>
    <m/>
    <m/>
    <m/>
    <s v="."/>
    <e v="#N/A"/>
    <m/>
    <m/>
    <m/>
    <m/>
    <m/>
    <m/>
    <m/>
    <m/>
    <m/>
    <m/>
  </r>
  <r>
    <x v="0"/>
    <x v="16"/>
    <s v="Inventory &lt;tabsheet&gt;"/>
    <s v="Serial No."/>
    <s v="Serial No Description"/>
    <m/>
    <m/>
    <m/>
    <m/>
    <m/>
    <s v="."/>
    <e v="#N/A"/>
    <m/>
    <m/>
    <m/>
    <m/>
    <m/>
    <m/>
    <m/>
    <m/>
    <m/>
    <m/>
  </r>
  <r>
    <x v="0"/>
    <x v="16"/>
    <s v="Inventory &lt;tabsheet&gt;"/>
    <s v="Description"/>
    <s v="Description"/>
    <m/>
    <m/>
    <m/>
    <m/>
    <m/>
    <s v="."/>
    <e v="#N/A"/>
    <m/>
    <m/>
    <m/>
    <m/>
    <m/>
    <m/>
    <m/>
    <m/>
    <m/>
    <m/>
  </r>
  <r>
    <x v="0"/>
    <x v="16"/>
    <s v="Inventory &lt;tabsheet&gt;"/>
    <s v="Comments"/>
    <s v="Description"/>
    <m/>
    <m/>
    <m/>
    <m/>
    <m/>
    <s v="."/>
    <e v="#N/A"/>
    <m/>
    <m/>
    <m/>
    <m/>
    <m/>
    <m/>
    <m/>
    <m/>
    <m/>
    <m/>
  </r>
  <r>
    <x v="0"/>
    <x v="16"/>
    <s v="Inventory &lt;tabsheet&gt;"/>
    <s v="No of Items"/>
    <s v="No of Description"/>
    <m/>
    <m/>
    <m/>
    <m/>
    <m/>
    <s v="."/>
    <e v="#N/A"/>
    <m/>
    <m/>
    <m/>
    <m/>
    <m/>
    <m/>
    <m/>
    <m/>
    <m/>
    <m/>
  </r>
  <r>
    <x v="0"/>
    <x v="16"/>
    <s v="Inventory &lt;tabsheet&gt;"/>
    <s v="No of items Description"/>
    <s v="No of Description"/>
    <m/>
    <m/>
    <m/>
    <m/>
    <m/>
    <s v="."/>
    <e v="#N/A"/>
    <m/>
    <m/>
    <m/>
    <m/>
    <m/>
    <m/>
    <m/>
    <m/>
    <m/>
    <m/>
  </r>
  <r>
    <x v="0"/>
    <x v="16"/>
    <s v="Inventory &lt;tabsheet&gt;"/>
    <s v="Material"/>
    <s v="Description"/>
    <m/>
    <m/>
    <m/>
    <m/>
    <m/>
    <s v="."/>
    <e v="#N/A"/>
    <m/>
    <m/>
    <m/>
    <m/>
    <m/>
    <m/>
    <m/>
    <m/>
    <m/>
    <m/>
  </r>
  <r>
    <x v="0"/>
    <x v="16"/>
    <s v="Inventory &lt;tabsheet&gt;"/>
    <s v="Part No."/>
    <s v="Part No Description"/>
    <m/>
    <m/>
    <m/>
    <m/>
    <m/>
    <s v="."/>
    <e v="#N/A"/>
    <m/>
    <m/>
    <m/>
    <m/>
    <m/>
    <m/>
    <m/>
    <m/>
    <m/>
    <m/>
  </r>
  <r>
    <x v="0"/>
    <x v="16"/>
    <s v="Inventory &lt;tabsheet&gt;"/>
    <s v="Supplier"/>
    <s v="Description"/>
    <m/>
    <m/>
    <m/>
    <m/>
    <m/>
    <s v="."/>
    <e v="#N/A"/>
    <m/>
    <m/>
    <m/>
    <m/>
    <m/>
    <m/>
    <m/>
    <m/>
    <m/>
    <m/>
  </r>
  <r>
    <x v="0"/>
    <x v="16"/>
    <s v="Inventory &lt;tabsheet&gt;"/>
    <s v="Component Location"/>
    <s v="Component Location Description"/>
    <m/>
    <m/>
    <m/>
    <m/>
    <m/>
    <s v="."/>
    <e v="#N/A"/>
    <m/>
    <m/>
    <m/>
    <m/>
    <m/>
    <m/>
    <m/>
    <m/>
    <m/>
    <m/>
  </r>
  <r>
    <x v="0"/>
    <x v="16"/>
    <s v="Inventory &lt;tabsheet&gt;"/>
    <s v="Ratings"/>
    <s v="Description"/>
    <m/>
    <m/>
    <m/>
    <m/>
    <m/>
    <s v="."/>
    <e v="#N/A"/>
    <m/>
    <m/>
    <m/>
    <m/>
    <m/>
    <m/>
    <m/>
    <m/>
    <m/>
    <m/>
  </r>
  <r>
    <x v="0"/>
    <x v="16"/>
    <s v="Inventory &lt;tabsheet&gt;"/>
    <s v="Location Stored"/>
    <s v="Location Stored Description"/>
    <m/>
    <m/>
    <m/>
    <m/>
    <m/>
    <s v="."/>
    <e v="#N/A"/>
    <m/>
    <m/>
    <m/>
    <m/>
    <m/>
    <m/>
    <m/>
    <m/>
    <m/>
    <m/>
  </r>
  <r>
    <x v="0"/>
    <x v="16"/>
    <s v="Inventory &lt;tabsheet&gt;"/>
    <s v="Shelf Life (in years)"/>
    <s v="Shelf Life Description"/>
    <m/>
    <m/>
    <m/>
    <m/>
    <m/>
    <s v="."/>
    <e v="#N/A"/>
    <m/>
    <m/>
    <m/>
    <m/>
    <m/>
    <m/>
    <m/>
    <m/>
    <m/>
    <m/>
  </r>
  <r>
    <x v="0"/>
    <x v="16"/>
    <s v="Inventory &lt;tabsheet&gt;"/>
    <s v="Other Attributes"/>
    <s v="Other Attributes Description"/>
    <m/>
    <m/>
    <m/>
    <m/>
    <m/>
    <s v="."/>
    <e v="#N/A"/>
    <m/>
    <m/>
    <m/>
    <m/>
    <m/>
    <m/>
    <m/>
    <m/>
    <m/>
    <m/>
  </r>
  <r>
    <x v="0"/>
    <x v="16"/>
    <s v="Inventory &lt;tabsheet&gt;"/>
    <s v="Plan ID"/>
    <s v="Plan ID Description"/>
    <m/>
    <m/>
    <m/>
    <m/>
    <m/>
    <s v="."/>
    <e v="#N/A"/>
    <m/>
    <m/>
    <m/>
    <m/>
    <m/>
    <m/>
    <m/>
    <m/>
    <m/>
    <m/>
  </r>
  <r>
    <x v="0"/>
    <x v="16"/>
    <s v="Inventory &lt;tabsheet&gt;"/>
    <s v="Drawing Number"/>
    <s v="Drawing Number Description"/>
    <m/>
    <m/>
    <m/>
    <m/>
    <m/>
    <s v="."/>
    <e v="#N/A"/>
    <m/>
    <m/>
    <m/>
    <m/>
    <m/>
    <m/>
    <m/>
    <m/>
    <m/>
    <m/>
  </r>
  <r>
    <x v="0"/>
    <x v="16"/>
    <s v="Inventory &lt;tabsheet&gt;"/>
    <s v="Drawing Refeence"/>
    <s v="Drawing Refeence Description"/>
    <m/>
    <m/>
    <m/>
    <m/>
    <m/>
    <s v="."/>
    <e v="#N/A"/>
    <m/>
    <m/>
    <m/>
    <m/>
    <m/>
    <m/>
    <m/>
    <m/>
    <m/>
    <m/>
  </r>
  <r>
    <x v="0"/>
    <x v="16"/>
    <s v="Inventory &lt;tabsheet&gt;"/>
    <s v="Drawing Name"/>
    <s v="Drawing Name Description"/>
    <m/>
    <m/>
    <m/>
    <m/>
    <m/>
    <s v="."/>
    <e v="#N/A"/>
    <m/>
    <m/>
    <m/>
    <m/>
    <m/>
    <m/>
    <m/>
    <m/>
    <m/>
    <m/>
  </r>
  <r>
    <x v="0"/>
    <x v="16"/>
    <s v="Inventory &lt;tabsheet&gt;"/>
    <s v="Drawing Location"/>
    <s v="Drawing Location Description"/>
    <m/>
    <m/>
    <m/>
    <m/>
    <m/>
    <s v="."/>
    <e v="#N/A"/>
    <m/>
    <m/>
    <m/>
    <m/>
    <m/>
    <m/>
    <m/>
    <m/>
    <m/>
    <m/>
  </r>
  <r>
    <x v="0"/>
    <x v="16"/>
    <s v="Inventory &lt;tabsheet&gt;"/>
    <s v="Image Additional"/>
    <s v="Image Additional Description"/>
    <m/>
    <m/>
    <m/>
    <m/>
    <m/>
    <s v="."/>
    <e v="#N/A"/>
    <m/>
    <m/>
    <m/>
    <m/>
    <m/>
    <m/>
    <m/>
    <m/>
    <m/>
    <m/>
  </r>
  <r>
    <x v="0"/>
    <x v="16"/>
    <s v="Inventory &lt;tabsheet&gt;"/>
    <s v="Drive System"/>
    <s v="Drive System Description"/>
    <m/>
    <m/>
    <m/>
    <m/>
    <m/>
    <s v="."/>
    <e v="#N/A"/>
    <m/>
    <m/>
    <m/>
    <m/>
    <m/>
    <m/>
    <m/>
    <m/>
    <m/>
    <m/>
  </r>
  <r>
    <x v="0"/>
    <x v="16"/>
    <s v="Inspection &lt;tabsheet&gt;"/>
    <s v="Insp Frequency"/>
    <s v="Insp Frequency Description"/>
    <m/>
    <m/>
    <m/>
    <m/>
    <m/>
    <s v="."/>
    <e v="#N/A"/>
    <m/>
    <m/>
    <m/>
    <m/>
    <m/>
    <m/>
    <m/>
    <m/>
    <m/>
    <m/>
  </r>
  <r>
    <x v="0"/>
    <x v="16"/>
    <s v="Inspection &lt;tabsheet&gt;"/>
    <s v="Comp Type"/>
    <s v="Comp Type Description"/>
    <m/>
    <m/>
    <m/>
    <m/>
    <m/>
    <s v="."/>
    <e v="#N/A"/>
    <m/>
    <m/>
    <m/>
    <m/>
    <m/>
    <m/>
    <m/>
    <m/>
    <m/>
    <m/>
  </r>
  <r>
    <x v="0"/>
    <x v="16"/>
    <s v="Inspection &lt;tabsheet&gt;"/>
    <s v="Main-Component"/>
    <s v="Main Component Description"/>
    <m/>
    <m/>
    <m/>
    <m/>
    <m/>
    <s v="."/>
    <e v="#N/A"/>
    <m/>
    <m/>
    <m/>
    <m/>
    <m/>
    <m/>
    <m/>
    <m/>
    <m/>
    <m/>
  </r>
  <r>
    <x v="0"/>
    <x v="16"/>
    <s v="Inspection &lt;tabsheet&gt;"/>
    <s v="Componenet Description"/>
    <s v="Componenet Description Description"/>
    <m/>
    <m/>
    <m/>
    <m/>
    <m/>
    <s v="."/>
    <e v="#N/A"/>
    <m/>
    <m/>
    <m/>
    <m/>
    <m/>
    <m/>
    <m/>
    <m/>
    <m/>
    <m/>
  </r>
  <r>
    <x v="0"/>
    <x v="16"/>
    <s v="Inspection &lt;tabsheet&gt;"/>
    <s v="Tasklisk Group No"/>
    <s v="Tasklisk Group Description"/>
    <m/>
    <m/>
    <m/>
    <m/>
    <m/>
    <s v="."/>
    <e v="#N/A"/>
    <m/>
    <m/>
    <m/>
    <m/>
    <m/>
    <m/>
    <m/>
    <m/>
    <m/>
    <m/>
  </r>
  <r>
    <x v="0"/>
    <x v="16"/>
    <s v="Inspection &lt;tabsheet&gt;"/>
    <s v="Insp. Task List"/>
    <s v="Insp Task Description"/>
    <m/>
    <m/>
    <m/>
    <m/>
    <m/>
    <s v="."/>
    <e v="#N/A"/>
    <m/>
    <m/>
    <m/>
    <m/>
    <m/>
    <m/>
    <m/>
    <m/>
    <m/>
    <m/>
  </r>
  <r>
    <x v="0"/>
    <x v="16"/>
    <s v="Contacts"/>
    <s v="Contact Group"/>
    <s v="Contact Group Description"/>
    <m/>
    <m/>
    <m/>
    <m/>
    <m/>
    <s v="."/>
    <e v="#N/A"/>
    <m/>
    <m/>
    <m/>
    <m/>
    <m/>
    <m/>
    <m/>
    <m/>
    <m/>
    <m/>
  </r>
  <r>
    <x v="0"/>
    <x v="16"/>
    <s v="Contacts"/>
    <s v="Description"/>
    <s v="Description"/>
    <m/>
    <m/>
    <m/>
    <m/>
    <m/>
    <s v="."/>
    <e v="#N/A"/>
    <m/>
    <m/>
    <m/>
    <m/>
    <m/>
    <m/>
    <m/>
    <m/>
    <m/>
    <m/>
  </r>
  <r>
    <x v="0"/>
    <x v="16"/>
    <s v="Contacts"/>
    <s v="Seq"/>
    <s v="Description"/>
    <m/>
    <m/>
    <m/>
    <m/>
    <m/>
    <s v="."/>
    <e v="#N/A"/>
    <m/>
    <m/>
    <m/>
    <m/>
    <m/>
    <m/>
    <m/>
    <m/>
    <m/>
    <m/>
  </r>
  <r>
    <x v="0"/>
    <x v="16"/>
    <s v="Contacts"/>
    <s v="Contact Name"/>
    <s v="Contact Name Description"/>
    <m/>
    <m/>
    <m/>
    <m/>
    <m/>
    <s v="."/>
    <e v="#N/A"/>
    <m/>
    <m/>
    <m/>
    <m/>
    <m/>
    <m/>
    <m/>
    <m/>
    <m/>
    <m/>
  </r>
  <r>
    <x v="0"/>
    <x v="16"/>
    <s v="Contacts"/>
    <s v="Contact Number 1"/>
    <s v="Contact Number Description"/>
    <m/>
    <m/>
    <m/>
    <m/>
    <m/>
    <s v="."/>
    <e v="#N/A"/>
    <m/>
    <m/>
    <m/>
    <m/>
    <m/>
    <m/>
    <m/>
    <m/>
    <m/>
    <m/>
  </r>
  <r>
    <x v="0"/>
    <x v="16"/>
    <s v="Contacts"/>
    <s v="Contact Number 1"/>
    <s v="Contact Number Description"/>
    <m/>
    <m/>
    <m/>
    <m/>
    <m/>
    <s v="."/>
    <e v="#N/A"/>
    <m/>
    <m/>
    <m/>
    <m/>
    <m/>
    <m/>
    <m/>
    <m/>
    <m/>
    <m/>
  </r>
  <r>
    <x v="0"/>
    <x v="16"/>
    <s v="Contacts"/>
    <s v="Comments"/>
    <s v="Description"/>
    <m/>
    <m/>
    <m/>
    <m/>
    <m/>
    <s v="."/>
    <e v="#N/A"/>
    <m/>
    <m/>
    <m/>
    <m/>
    <m/>
    <m/>
    <m/>
    <m/>
    <m/>
    <m/>
  </r>
  <r>
    <x v="0"/>
    <x v="17"/>
    <m/>
    <s v="Contact Group"/>
    <s v="Contact Group Description"/>
    <m/>
    <m/>
    <m/>
    <m/>
    <m/>
    <s v="."/>
    <e v="#N/A"/>
    <m/>
    <m/>
    <m/>
    <m/>
    <m/>
    <m/>
    <m/>
    <m/>
    <m/>
    <m/>
  </r>
  <r>
    <x v="0"/>
    <x v="17"/>
    <m/>
    <s v="Primary Contact"/>
    <s v="Primary Contact Description"/>
    <m/>
    <m/>
    <m/>
    <m/>
    <m/>
    <s v="."/>
    <e v="#N/A"/>
    <m/>
    <m/>
    <m/>
    <m/>
    <m/>
    <m/>
    <m/>
    <m/>
    <m/>
    <m/>
  </r>
  <r>
    <x v="0"/>
    <x v="17"/>
    <m/>
    <s v="Organisation"/>
    <s v="Description"/>
    <m/>
    <m/>
    <m/>
    <m/>
    <m/>
    <s v="."/>
    <e v="#N/A"/>
    <m/>
    <m/>
    <m/>
    <m/>
    <m/>
    <m/>
    <m/>
    <m/>
    <m/>
    <m/>
  </r>
  <r>
    <x v="0"/>
    <x v="17"/>
    <m/>
    <s v="Position"/>
    <s v="Description"/>
    <m/>
    <m/>
    <m/>
    <m/>
    <m/>
    <s v="."/>
    <e v="#N/A"/>
    <m/>
    <m/>
    <m/>
    <m/>
    <m/>
    <m/>
    <m/>
    <m/>
    <m/>
    <m/>
  </r>
  <r>
    <x v="0"/>
    <x v="17"/>
    <m/>
    <s v="Phone Number"/>
    <s v="Phone Number Description"/>
    <m/>
    <m/>
    <m/>
    <m/>
    <m/>
    <s v="."/>
    <e v="#N/A"/>
    <m/>
    <m/>
    <m/>
    <m/>
    <m/>
    <m/>
    <m/>
    <m/>
    <m/>
    <m/>
  </r>
  <r>
    <x v="0"/>
    <x v="17"/>
    <m/>
    <s v="Mobile Number"/>
    <s v="Mobile Number Description"/>
    <m/>
    <m/>
    <m/>
    <m/>
    <m/>
    <s v="."/>
    <e v="#N/A"/>
    <m/>
    <m/>
    <m/>
    <m/>
    <m/>
    <m/>
    <m/>
    <m/>
    <m/>
    <m/>
  </r>
  <r>
    <x v="0"/>
    <x v="17"/>
    <m/>
    <s v="Address"/>
    <s v="Description"/>
    <m/>
    <m/>
    <m/>
    <m/>
    <m/>
    <s v="."/>
    <e v="#N/A"/>
    <m/>
    <m/>
    <m/>
    <m/>
    <m/>
    <m/>
    <m/>
    <m/>
    <m/>
    <m/>
  </r>
  <r>
    <x v="0"/>
    <x v="17"/>
    <m/>
    <s v="Email Address"/>
    <s v="Email Address Description"/>
    <m/>
    <m/>
    <m/>
    <m/>
    <m/>
    <s v="."/>
    <e v="#N/A"/>
    <m/>
    <m/>
    <m/>
    <m/>
    <m/>
    <m/>
    <m/>
    <m/>
    <m/>
    <m/>
  </r>
  <r>
    <x v="0"/>
    <x v="17"/>
    <m/>
    <s v="Comment"/>
    <s v="Description"/>
    <m/>
    <m/>
    <m/>
    <m/>
    <m/>
    <s v="."/>
    <e v="#N/A"/>
    <m/>
    <m/>
    <m/>
    <m/>
    <m/>
    <m/>
    <m/>
    <m/>
    <m/>
    <m/>
  </r>
  <r>
    <x v="0"/>
    <x v="18"/>
    <m/>
    <s v="Element Type"/>
    <s v="Element Type Description"/>
    <m/>
    <m/>
    <s v="y"/>
    <s v="rbs_struct_elt"/>
    <s v="struct_elt_type_code"/>
    <s v="rbs_struct_elt.struct_elt_type_code"/>
    <e v="#N/A"/>
    <s v="RBS_STRUCT_ELT_TYPES"/>
    <m/>
    <m/>
    <m/>
    <m/>
    <m/>
    <m/>
    <s v="inspection"/>
    <m/>
    <m/>
  </r>
  <r>
    <x v="0"/>
    <x v="18"/>
    <m/>
    <s v="Comments"/>
    <s v="Description"/>
    <m/>
    <m/>
    <s v="y"/>
    <s v="rbs_struct_elt"/>
    <s v="comments"/>
    <s v="rbs_struct_elt.comments"/>
    <e v="#N/A"/>
    <m/>
    <m/>
    <m/>
    <m/>
    <m/>
    <m/>
    <m/>
    <s v="inspection"/>
    <m/>
    <m/>
  </r>
  <r>
    <x v="0"/>
    <x v="18"/>
    <m/>
    <s v="Environment"/>
    <s v="Environment Exposure"/>
    <m/>
    <m/>
    <s v="y"/>
    <s v="rbs_struct_elt"/>
    <s v="env_expo_type_code"/>
    <s v="rbs_struct_elt.env_expo_type_code"/>
    <e v="#N/A"/>
    <s v="RBS_REF_TABLES"/>
    <s v="rbs_ref_tables where ref_table_name = 'ENVRN_EXPO'"/>
    <m/>
    <m/>
    <m/>
    <m/>
    <m/>
    <s v="inspection"/>
    <m/>
    <m/>
  </r>
  <r>
    <x v="0"/>
    <x v="18"/>
    <m/>
    <s v="Total Quantity"/>
    <s v="Total Quantity Description"/>
    <m/>
    <m/>
    <s v="y"/>
    <s v="rbs_struct_elt"/>
    <s v="tot_qty"/>
    <s v="rbs_struct_elt.tot_qty"/>
    <e v="#N/A"/>
    <m/>
    <m/>
    <m/>
    <m/>
    <m/>
    <m/>
    <m/>
    <s v="inspection"/>
    <m/>
    <m/>
  </r>
  <r>
    <x v="0"/>
    <x v="18"/>
    <m/>
    <s v="Units"/>
    <s v="Description"/>
    <m/>
    <m/>
    <s v="y"/>
    <s v="rbs_struct_elt_types"/>
    <m/>
    <s v="rbs_struct_elt_types."/>
    <e v="#N/A"/>
    <m/>
    <m/>
    <m/>
    <m/>
    <m/>
    <m/>
    <m/>
    <s v="inspection"/>
    <m/>
    <m/>
  </r>
  <r>
    <x v="0"/>
    <x v="18"/>
    <m/>
    <s v="Current Element?"/>
    <s v="Current Element Description"/>
    <m/>
    <m/>
    <s v="y"/>
    <m/>
    <m/>
    <s v="."/>
    <e v="#N/A"/>
    <m/>
    <m/>
    <m/>
    <m/>
    <m/>
    <m/>
    <m/>
    <s v="inspection"/>
    <m/>
    <m/>
  </r>
  <r>
    <x v="0"/>
    <x v="19"/>
    <m/>
    <s v="Equipment Code"/>
    <s v="Equipment Code Description"/>
    <m/>
    <m/>
    <s v="y"/>
    <m/>
    <m/>
    <s v="."/>
    <e v="#N/A"/>
    <m/>
    <m/>
    <m/>
    <m/>
    <m/>
    <m/>
    <m/>
    <s v="inspection"/>
    <m/>
    <m/>
  </r>
  <r>
    <x v="0"/>
    <x v="19"/>
    <m/>
    <s v="Equipment Description"/>
    <s v="Equipment Description Description"/>
    <m/>
    <m/>
    <s v="y"/>
    <m/>
    <m/>
    <s v="."/>
    <e v="#N/A"/>
    <m/>
    <m/>
    <m/>
    <m/>
    <m/>
    <m/>
    <m/>
    <s v="inspection"/>
    <m/>
    <m/>
  </r>
  <r>
    <x v="0"/>
    <x v="19"/>
    <m/>
    <s v="Comments"/>
    <s v="Description"/>
    <m/>
    <m/>
    <s v="y"/>
    <m/>
    <m/>
    <s v="."/>
    <e v="#N/A"/>
    <m/>
    <m/>
    <m/>
    <m/>
    <m/>
    <m/>
    <m/>
    <s v="inspection"/>
    <m/>
    <m/>
  </r>
  <r>
    <x v="0"/>
    <x v="20"/>
    <m/>
    <s v="Inspection Date (DD-MMM-YYYY)"/>
    <s v="Inspection Date Description"/>
    <m/>
    <m/>
    <m/>
    <m/>
    <m/>
    <s v="."/>
    <e v="#N/A"/>
    <m/>
    <m/>
    <m/>
    <m/>
    <m/>
    <m/>
    <m/>
    <s v="inspection"/>
    <m/>
    <m/>
  </r>
  <r>
    <x v="0"/>
    <x v="20"/>
    <s v="Inspection (Main Screen)"/>
    <s v="Level of Inspection"/>
    <s v="Level of Description"/>
    <m/>
    <m/>
    <m/>
    <s v="RBS_STRUCT_INSP"/>
    <s v="level_insp"/>
    <s v="RBS_STRUCT_INSP.level_insp"/>
    <e v="#N/A"/>
    <s v="RBS_REF_TABLES"/>
    <s v="rbs_ref_tables where ref_table_name = 'INSP_LVL'"/>
    <m/>
    <m/>
    <m/>
    <m/>
    <m/>
    <s v="inspection"/>
    <m/>
    <m/>
  </r>
  <r>
    <x v="0"/>
    <x v="20"/>
    <s v="Inspection (Main Screen)"/>
    <s v="Inspection Type"/>
    <s v="Inspection Type Description"/>
    <m/>
    <m/>
    <m/>
    <s v="RBS_STRUCT_INSP"/>
    <s v="insp_type_code"/>
    <s v="RBS_STRUCT_INSP.insp_type_code"/>
    <e v="#N/A"/>
    <s v="RBS_REF_TABLES"/>
    <s v="rbs_ref_tables where ref_table_name = 'INSPECTYPE'"/>
    <m/>
    <m/>
    <m/>
    <m/>
    <m/>
    <s v="inspection"/>
    <m/>
    <m/>
  </r>
  <r>
    <x v="0"/>
    <x v="20"/>
    <s v="Inspection (Main Screen)"/>
    <s v="Initials Inspector"/>
    <s v="Initials Inspector Description"/>
    <m/>
    <m/>
    <m/>
    <s v="RBS_STRUCT_INSP"/>
    <s v="inspr_initials"/>
    <s v="RBS_STRUCT_INSP.inspr_initials"/>
    <e v="#N/A"/>
    <s v="n/a"/>
    <m/>
    <m/>
    <m/>
    <m/>
    <m/>
    <m/>
    <s v="inspection"/>
    <m/>
    <m/>
  </r>
  <r>
    <x v="0"/>
    <x v="20"/>
    <s v="Inspection (Main Screen)"/>
    <s v="Inspector's name"/>
    <s v="Inspector's name Description"/>
    <m/>
    <m/>
    <m/>
    <s v="RBS_STRUCT_INSP"/>
    <m/>
    <s v="RBS_STRUCT_INSP."/>
    <e v="#N/A"/>
    <m/>
    <m/>
    <m/>
    <m/>
    <m/>
    <m/>
    <m/>
    <s v="inspection"/>
    <m/>
    <m/>
  </r>
  <r>
    <x v="0"/>
    <x v="20"/>
    <s v="Inspection (Main Screen)"/>
    <s v="Initials Engineer"/>
    <s v="Initials Engineer Description"/>
    <m/>
    <m/>
    <m/>
    <s v="RBS_STRUCT_INSP"/>
    <s v="inspr_initials"/>
    <s v="RBS_STRUCT_INSP.inspr_initials"/>
    <e v="#N/A"/>
    <s v="rbs_ref_table where ref_table_name = 'INSPECTOR' "/>
    <m/>
    <m/>
    <m/>
    <m/>
    <m/>
    <m/>
    <s v="inspection"/>
    <m/>
    <m/>
  </r>
  <r>
    <x v="0"/>
    <x v="20"/>
    <s v="Inspection (Main Screen)"/>
    <s v="Engineer's Name"/>
    <s v="Engineer's Name Description"/>
    <m/>
    <m/>
    <m/>
    <s v="RBS_STRUCT_INSP"/>
    <m/>
    <s v="RBS_STRUCT_INSP."/>
    <e v="#N/A"/>
    <m/>
    <m/>
    <m/>
    <m/>
    <m/>
    <m/>
    <m/>
    <s v="inspection"/>
    <m/>
    <m/>
  </r>
  <r>
    <x v="0"/>
    <x v="20"/>
    <s v="Inspection (Main Screen)"/>
    <s v="Temperature - C"/>
    <s v="Temperature C Description"/>
    <m/>
    <m/>
    <m/>
    <s v="RBS_STRUCT_INSP"/>
    <m/>
    <s v="RBS_STRUCT_INSP."/>
    <e v="#N/A"/>
    <m/>
    <m/>
    <m/>
    <m/>
    <m/>
    <m/>
    <m/>
    <s v="inspection"/>
    <m/>
    <m/>
  </r>
  <r>
    <x v="0"/>
    <x v="20"/>
    <s v="Inspection (Main Screen)"/>
    <s v="Temperature - Weather"/>
    <s v="Temperature Weather Description"/>
    <m/>
    <m/>
    <m/>
    <s v="RBS_STRUCT_INSP"/>
    <m/>
    <s v="RBS_STRUCT_INSP."/>
    <e v="#N/A"/>
    <m/>
    <m/>
    <m/>
    <m/>
    <m/>
    <m/>
    <m/>
    <s v="inspection"/>
    <m/>
    <m/>
  </r>
  <r>
    <x v="0"/>
    <x v="20"/>
    <s v="Inspection (Main Screen)"/>
    <s v="Proposed Date of Next Inspection (MMM-YYYY)"/>
    <s v="Proposed Date Description"/>
    <m/>
    <m/>
    <m/>
    <s v="RBS_STRUCT_INSP"/>
    <m/>
    <s v="RBS_STRUCT_INSP."/>
    <e v="#N/A"/>
    <m/>
    <m/>
    <m/>
    <m/>
    <m/>
    <m/>
    <m/>
    <s v="inspection"/>
    <m/>
    <m/>
  </r>
  <r>
    <x v="0"/>
    <x v="20"/>
    <s v="Inspection (Main Screen)"/>
    <s v="Date Entered"/>
    <s v="Date Entered Description"/>
    <m/>
    <m/>
    <m/>
    <s v="RBS_STRUCT_INSP"/>
    <m/>
    <s v="RBS_STRUCT_INSP."/>
    <e v="#N/A"/>
    <m/>
    <m/>
    <m/>
    <m/>
    <m/>
    <m/>
    <m/>
    <s v="inspection"/>
    <m/>
    <m/>
  </r>
  <r>
    <x v="0"/>
    <x v="20"/>
    <s v="Inspection (Main Screen)"/>
    <s v="Inspector's Comments"/>
    <s v="Inspector's Comments Description"/>
    <m/>
    <m/>
    <m/>
    <s v="RBS_STRUCT_INSP"/>
    <m/>
    <s v="RBS_STRUCT_INSP."/>
    <e v="#N/A"/>
    <m/>
    <m/>
    <m/>
    <m/>
    <m/>
    <m/>
    <m/>
    <s v="inspection"/>
    <m/>
    <m/>
  </r>
  <r>
    <x v="0"/>
    <x v="20"/>
    <s v="Inspection (Main Screen)"/>
    <s v="Manager's Comments"/>
    <s v="Manager's Comments Description"/>
    <m/>
    <m/>
    <m/>
    <s v="RBS_STRUCT_INSP"/>
    <m/>
    <s v="RBS_STRUCT_INSP."/>
    <e v="#N/A"/>
    <m/>
    <m/>
    <m/>
    <m/>
    <m/>
    <m/>
    <m/>
    <s v="inspection"/>
    <m/>
    <m/>
  </r>
  <r>
    <x v="0"/>
    <x v="20"/>
    <s v="Inspection (Main Screen)"/>
    <s v="Full Report / Other Attachments"/>
    <s v="Full Report Description"/>
    <m/>
    <m/>
    <m/>
    <m/>
    <m/>
    <s v="."/>
    <e v="#N/A"/>
    <m/>
    <m/>
    <m/>
    <m/>
    <m/>
    <m/>
    <m/>
    <s v="inspection"/>
    <m/>
    <m/>
  </r>
  <r>
    <x v="0"/>
    <x v="20"/>
    <s v="Condition Rating"/>
    <s v="Element Code"/>
    <m/>
    <m/>
    <m/>
    <m/>
    <s v="rbs_struct_elt_types"/>
    <s v="STRUCT_ELT_TYPE_CODE"/>
    <s v="RBS_STRUCT_ELT_TYPES.STRUCT_ELT_TYPE_CODE"/>
    <e v="#N/A"/>
    <m/>
    <m/>
    <m/>
    <m/>
    <m/>
    <m/>
    <m/>
    <s v="inspection"/>
    <m/>
    <m/>
  </r>
  <r>
    <x v="0"/>
    <x v="20"/>
    <s v="Condition Rating"/>
    <s v="Element Description"/>
    <m/>
    <m/>
    <m/>
    <m/>
    <s v="rbs_struct_elt_types"/>
    <s v="DESCRIPTION1"/>
    <s v="RBS_STRUCT_ELT_TYPES.DESCRIPTION1"/>
    <e v="#N/A"/>
    <m/>
    <m/>
    <m/>
    <m/>
    <m/>
    <m/>
    <m/>
    <s v="inspection"/>
    <m/>
    <m/>
  </r>
  <r>
    <x v="0"/>
    <x v="20"/>
    <s v="Condition Rating"/>
    <s v="Environment"/>
    <s v="Environment Exposure"/>
    <m/>
    <m/>
    <s v="y"/>
    <s v="rbs_struct_elt"/>
    <s v="ENV_EXPO_TYPE_CODE"/>
    <s v="rbs_struct_elt.ENV_EXPO_TYPE_CODE"/>
    <e v="#N/A"/>
    <s v="RBS_REF_TABLES"/>
    <s v="rbs_ref_tables where ref_table_name = 'ENVRN_EXPO'"/>
    <m/>
    <m/>
    <m/>
    <m/>
    <m/>
    <s v="inspection"/>
    <m/>
    <m/>
  </r>
  <r>
    <x v="0"/>
    <x v="20"/>
    <s v="Condition Rating"/>
    <s v="Est. Quantity in Cond. State (1)"/>
    <s v="Estimated Quantity in Cond. State (1)"/>
    <m/>
    <m/>
    <m/>
    <s v="RBS_INSPECTIONS_VW"/>
    <s v="QTY_IN_STATE1"/>
    <s v="RBS_INSPECTIONS_VW.QTY_IN_STATE1"/>
    <e v="#N/A"/>
    <s v="n/a"/>
    <m/>
    <m/>
    <n v="1"/>
    <m/>
    <m/>
    <m/>
    <s v="inspection"/>
    <m/>
    <m/>
  </r>
  <r>
    <x v="0"/>
    <x v="20"/>
    <s v="Condition Rating"/>
    <s v="Est. Quantity in Cond. State (2)"/>
    <s v="Est Quantity Description"/>
    <m/>
    <m/>
    <m/>
    <s v="RBS_ELT_COND_RATINGS"/>
    <m/>
    <s v="RBS_ELT_COND_RATINGS."/>
    <e v="#N/A"/>
    <s v="n/a"/>
    <m/>
    <m/>
    <n v="1"/>
    <m/>
    <m/>
    <m/>
    <s v="inspection"/>
    <m/>
    <m/>
  </r>
  <r>
    <x v="0"/>
    <x v="20"/>
    <s v="Condition Rating"/>
    <s v="Est. Quantity in Cond. State (3)"/>
    <s v="Est Quantity Description"/>
    <m/>
    <m/>
    <m/>
    <m/>
    <m/>
    <s v="."/>
    <e v="#N/A"/>
    <s v="n/a"/>
    <m/>
    <m/>
    <n v="1"/>
    <m/>
    <m/>
    <m/>
    <s v="inspection"/>
    <m/>
    <m/>
  </r>
  <r>
    <x v="0"/>
    <x v="20"/>
    <s v="Condition Rating"/>
    <s v="Est. Quantity in Cond. State (4)"/>
    <s v="Estimated Quantity in Cond. State (4)"/>
    <m/>
    <m/>
    <m/>
    <m/>
    <m/>
    <s v="."/>
    <e v="#N/A"/>
    <s v="n/a"/>
    <m/>
    <m/>
    <n v="1"/>
    <m/>
    <m/>
    <m/>
    <s v="inspection"/>
    <m/>
    <m/>
  </r>
  <r>
    <x v="0"/>
    <x v="20"/>
    <s v="Condition Rating"/>
    <s v="Est. Quantity in Cond. State (5) NOT USED"/>
    <s v="Estimated Quantity in Cond. State (5) NOT USED"/>
    <m/>
    <m/>
    <m/>
    <m/>
    <m/>
    <s v="."/>
    <e v="#N/A"/>
    <s v="n/a"/>
    <m/>
    <m/>
    <m/>
    <m/>
    <m/>
    <m/>
    <s v="n/a"/>
    <m/>
    <m/>
  </r>
  <r>
    <x v="0"/>
    <x v="20"/>
    <s v="Condition Rating"/>
    <s v="Est. Percent in Cond. State (1)"/>
    <s v="Estimated Percent in Cond. State (1)"/>
    <m/>
    <m/>
    <m/>
    <m/>
    <m/>
    <s v="."/>
    <e v="#N/A"/>
    <s v="n/a"/>
    <m/>
    <m/>
    <m/>
    <m/>
    <m/>
    <m/>
    <s v="inspection"/>
    <m/>
    <m/>
  </r>
  <r>
    <x v="0"/>
    <x v="20"/>
    <s v="Condition Rating"/>
    <s v="Est. Percent in Cond. State (2)"/>
    <s v="Est Percent Description"/>
    <m/>
    <m/>
    <m/>
    <m/>
    <m/>
    <s v="."/>
    <e v="#N/A"/>
    <s v="n/a"/>
    <m/>
    <m/>
    <m/>
    <m/>
    <m/>
    <m/>
    <s v="inspection"/>
    <m/>
    <m/>
  </r>
  <r>
    <x v="0"/>
    <x v="20"/>
    <s v="Condition Rating"/>
    <s v="Est. Percent in Cond. State (3)"/>
    <s v="Est Percent Description"/>
    <m/>
    <m/>
    <m/>
    <m/>
    <m/>
    <s v="."/>
    <e v="#N/A"/>
    <s v="n/a"/>
    <m/>
    <m/>
    <m/>
    <m/>
    <m/>
    <m/>
    <s v="inspection"/>
    <m/>
    <m/>
  </r>
  <r>
    <x v="0"/>
    <x v="20"/>
    <s v="Condition Rating"/>
    <s v="Est. Percent in Cond. State (4)"/>
    <s v="Est Percent Description"/>
    <m/>
    <m/>
    <m/>
    <m/>
    <m/>
    <s v="."/>
    <e v="#N/A"/>
    <s v="n/a"/>
    <m/>
    <m/>
    <m/>
    <m/>
    <m/>
    <m/>
    <s v="inspection"/>
    <m/>
    <m/>
  </r>
  <r>
    <x v="0"/>
    <x v="20"/>
    <s v="Condition Rating"/>
    <s v="Est. Percent in Cond. State (5) NOT USED"/>
    <s v="Estimated Percent in Cond. State (5) NOT USED"/>
    <m/>
    <m/>
    <m/>
    <m/>
    <m/>
    <s v="."/>
    <e v="#N/A"/>
    <s v="n/a"/>
    <m/>
    <m/>
    <m/>
    <m/>
    <m/>
    <m/>
    <s v="n/a"/>
    <m/>
    <m/>
  </r>
  <r>
    <x v="0"/>
    <x v="20"/>
    <s v="Condition Rating"/>
    <s v="Elem. Health Rating"/>
    <s v="Elem. Health Rating"/>
    <m/>
    <m/>
    <m/>
    <s v="calculated"/>
    <m/>
    <s v="calculated."/>
    <e v="#N/A"/>
    <s v="n/a"/>
    <m/>
    <m/>
    <n v="1"/>
    <m/>
    <m/>
    <m/>
    <m/>
    <m/>
    <m/>
  </r>
  <r>
    <x v="2"/>
    <x v="21"/>
    <s v="Asset"/>
    <s v="Asset table"/>
    <s v="All TfNSW Asset individual items. Overlapping assets with RAMS (roads, barriers, etc.), BIS (bridges, tunnel), RAA (culverts), RSMS (slopes)"/>
    <m/>
    <m/>
    <m/>
    <m/>
    <m/>
    <s v="."/>
    <e v="#N/A"/>
    <m/>
    <m/>
    <m/>
    <m/>
    <m/>
    <m/>
    <m/>
    <m/>
    <m/>
    <m/>
  </r>
  <r>
    <x v="2"/>
    <x v="21"/>
    <s v="Asset"/>
    <s v="ID"/>
    <s v="AV Asset unique ID"/>
    <m/>
    <m/>
    <m/>
    <m/>
    <m/>
    <s v="."/>
    <e v="#N/A"/>
    <m/>
    <m/>
    <m/>
    <m/>
    <m/>
    <m/>
    <m/>
    <m/>
    <m/>
    <m/>
  </r>
  <r>
    <x v="2"/>
    <x v="21"/>
    <s v="Asset"/>
    <s v="AssetType"/>
    <s v="Different AssetTypes: Road, Link Carriageway"/>
    <m/>
    <m/>
    <m/>
    <s v="Asset"/>
    <s v="AssetType"/>
    <s v="Asset.AssetType"/>
    <e v="#N/A"/>
    <m/>
    <m/>
    <m/>
    <m/>
    <m/>
    <m/>
    <m/>
    <m/>
    <m/>
    <m/>
  </r>
  <r>
    <x v="2"/>
    <x v="21"/>
    <s v="Asset"/>
    <s v="SpatialType"/>
    <s v="Geospatial data type: point, polyline, polygon, etc."/>
    <m/>
    <m/>
    <m/>
    <m/>
    <m/>
    <s v="."/>
    <e v="#N/A"/>
    <m/>
    <m/>
    <m/>
    <m/>
    <m/>
    <m/>
    <m/>
    <m/>
    <m/>
    <m/>
  </r>
  <r>
    <x v="2"/>
    <x v="21"/>
    <s v="AssetArea"/>
    <s v="AssetArea table"/>
    <s v="Stores Asset LinkCarriageway information"/>
    <m/>
    <m/>
    <m/>
    <m/>
    <m/>
    <s v="."/>
    <e v="#N/A"/>
    <m/>
    <m/>
    <m/>
    <m/>
    <m/>
    <m/>
    <m/>
    <m/>
    <m/>
    <m/>
  </r>
  <r>
    <x v="2"/>
    <x v="21"/>
    <s v="AssetArea"/>
    <s v="ID"/>
    <s v="AV AssetArea unique ID"/>
    <m/>
    <m/>
    <m/>
    <m/>
    <m/>
    <s v="."/>
    <e v="#N/A"/>
    <m/>
    <m/>
    <m/>
    <m/>
    <m/>
    <m/>
    <m/>
    <m/>
    <m/>
    <m/>
  </r>
  <r>
    <x v="2"/>
    <x v="21"/>
    <s v="AssetArea"/>
    <s v="direction"/>
    <m/>
    <m/>
    <m/>
    <m/>
    <s v="AssetArea"/>
    <s v="direction"/>
    <s v="AssetArea.direction"/>
    <e v="#N/A"/>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818117-1A03-4E28-A43A-DDA1E2AC8836}" name="PivotTable2" cacheId="15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3" firstHeaderRow="1" firstDataRow="1" firstDataCol="1" rowPageCount="1" colPageCount="1"/>
  <pivotFields count="22">
    <pivotField axis="axisPage" showAll="0">
      <items count="4">
        <item x="2"/>
        <item x="0"/>
        <item x="1"/>
        <item t="default"/>
      </items>
    </pivotField>
    <pivotField axis="axisRow" showAll="0">
      <items count="23">
        <item x="0"/>
        <item x="18"/>
        <item x="4"/>
        <item x="6"/>
        <item x="17"/>
        <item x="5"/>
        <item x="1"/>
        <item x="19"/>
        <item x="15"/>
        <item x="20"/>
        <item x="14"/>
        <item x="3"/>
        <item x="16"/>
        <item x="11"/>
        <item x="2"/>
        <item x="8"/>
        <item x="9"/>
        <item x="7"/>
        <item x="21"/>
        <item x="13"/>
        <item x="10"/>
        <item x="1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0">
    <i>
      <x/>
    </i>
    <i>
      <x v="1"/>
    </i>
    <i>
      <x v="2"/>
    </i>
    <i>
      <x v="3"/>
    </i>
    <i>
      <x v="4"/>
    </i>
    <i>
      <x v="5"/>
    </i>
    <i>
      <x v="6"/>
    </i>
    <i>
      <x v="7"/>
    </i>
    <i>
      <x v="8"/>
    </i>
    <i>
      <x v="9"/>
    </i>
    <i>
      <x v="10"/>
    </i>
    <i>
      <x v="12"/>
    </i>
    <i>
      <x v="13"/>
    </i>
    <i>
      <x v="15"/>
    </i>
    <i>
      <x v="16"/>
    </i>
    <i>
      <x v="17"/>
    </i>
    <i>
      <x v="19"/>
    </i>
    <i>
      <x v="20"/>
    </i>
    <i>
      <x v="21"/>
    </i>
    <i t="grand">
      <x/>
    </i>
  </rowItems>
  <colItems count="1">
    <i/>
  </colItems>
  <pageFields count="1">
    <pageField fld="0" item="1" hier="-1"/>
  </pageFields>
  <dataFields count="1">
    <dataField name="Count of UI Field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CF4AB5-2094-4164-9B81-D4FFFE18A85A}" name="PivotTable1" cacheId="15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2">
    <pivotField axis="axisRow" showAll="0">
      <items count="10">
        <item x="1"/>
        <item x="8"/>
        <item x="3"/>
        <item x="0"/>
        <item x="6"/>
        <item x="7"/>
        <item x="2"/>
        <item x="5"/>
        <item x="4"/>
        <item t="default"/>
      </items>
    </pivotField>
    <pivotField dataField="1" showAll="0"/>
  </pivotFields>
  <rowFields count="1">
    <field x="0"/>
  </rowFields>
  <rowItems count="10">
    <i>
      <x/>
    </i>
    <i>
      <x v="1"/>
    </i>
    <i>
      <x v="2"/>
    </i>
    <i>
      <x v="3"/>
    </i>
    <i>
      <x v="4"/>
    </i>
    <i>
      <x v="5"/>
    </i>
    <i>
      <x v="6"/>
    </i>
    <i>
      <x v="7"/>
    </i>
    <i>
      <x v="8"/>
    </i>
    <i t="grand">
      <x/>
    </i>
  </rowItems>
  <colItems count="1">
    <i/>
  </colItems>
  <dataFields count="1">
    <dataField name="Count of Attributes Descrip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8D49F6-E0DD-4A7E-9F61-B0276D60D0E6}" name="Table3" displayName="Table3" ref="A2:X397" totalsRowShown="0" headerRowDxfId="20">
  <autoFilter ref="A2:X397" xr:uid="{AF8D49F6-E0DD-4A7E-9F61-B0276D60D0E6}"/>
  <tableColumns count="24">
    <tableColumn id="1" xr3:uid="{F40FA341-1319-4733-8AA6-70540FFB30B1}" name="Src Sys" dataDxfId="19"/>
    <tableColumn id="9" xr3:uid="{D82E50D7-DF13-4071-B7EB-F920322303A9}" name="UI Screen" dataDxfId="18"/>
    <tableColumn id="6" xr3:uid="{D8141ABB-4CBC-4209-BAA6-97BF3CD88B29}" name="UI Section" dataDxfId="17"/>
    <tableColumn id="2" xr3:uid="{1B3FC730-9096-4AD1-9AB9-FC9BED763BFD}" name="UI Field Name" dataDxfId="16"/>
    <tableColumn id="10" xr3:uid="{C1888D04-5EB3-4625-83A6-84A461FD4A91}" name="Business Meaning" dataDxfId="15"/>
    <tableColumn id="12" xr3:uid="{F46E2ED5-7B55-46D6-B6F0-BB0267EA99E1}" name="Ind: Src Mandatory"/>
    <tableColumn id="11" xr3:uid="{403337F8-9C43-419A-B193-1B0870BC1058}" name="Ind: Critical"/>
    <tableColumn id="13" xr3:uid="{B5476FF4-91D5-4379-B72E-92D4181C0410}" name="Ind: Multiple Entries"/>
    <tableColumn id="3" xr3:uid="{48179C46-BD2F-4C81-91BC-A02F980B23FF}" name="Main Table" dataDxfId="14"/>
    <tableColumn id="4" xr3:uid="{20885614-5D68-43E0-B6BA-46680CA5B0F7}" name="Main Field Name"/>
    <tableColumn id="19" xr3:uid="{1450A288-1C0A-4ABF-8041-353012B4F250}" name="Table and Field" dataDxfId="13">
      <calculatedColumnFormula>Table3[[#This Row],[Main Table]] &amp;"."&amp; Table3[[#This Row],[Main Field Name]]</calculatedColumnFormula>
    </tableColumn>
    <tableColumn id="20" xr3:uid="{881CA4ED-DEA3-4618-9CA5-ED2D4FF00E4F}" name="Data Type" dataDxfId="12">
      <calculatedColumnFormula>VLOOKUP(Table3[[#This Row],[Table and Field]],Table5[[Table and Field]:[Data Type]],3,FALSE)</calculatedColumnFormula>
    </tableColumn>
    <tableColumn id="7" xr3:uid="{BCE36F31-38D4-4FB8-8496-04F371E1F29F}" name="Lookup Table" dataDxfId="11"/>
    <tableColumn id="5" xr3:uid="{9D9A6045-C1B3-4E52-A51B-A6617F724FB2}" name="Note" dataDxfId="10"/>
    <tableColumn id="8" xr3:uid="{F5959CBE-2A6D-4625-A18E-92C0B65B7C9A}" name="Ind: Attachment"/>
    <tableColumn id="14" xr3:uid="{0572026C-34DD-4561-8A46-54697F968383}" name="Ind: Measure Point"/>
    <tableColumn id="16" xr3:uid="{BD1A89A7-9312-49D5-9FBF-DB0A4ABEF6D4}" name="Ind: Culvert Attr"/>
    <tableColumn id="17" xr3:uid="{935BB37A-BC82-427F-B59E-6CF58F822EA0}" name="Ind: Used in BSI"/>
    <tableColumn id="15" xr3:uid="{0D206198-369B-48AE-9E03-6736653F53C0}" name="Bridge Asset Structure"/>
    <tableColumn id="18" xr3:uid="{4EB3B9BB-52F3-4235-940B-8E8749BA6C75}" name="Mst Data / Xsac" dataDxfId="9"/>
    <tableColumn id="21" xr3:uid="{9555BCF1-F301-464F-BF7D-D3A24FB86A50}" name="FLOC Mapping" dataDxfId="8"/>
    <tableColumn id="22" xr3:uid="{D8312C18-F035-42AD-AD11-AF9543BBA7DB}" name="Class / Chars Attribute" dataDxfId="7"/>
    <tableColumn id="23" xr3:uid="{5EE1156B-DEFD-44CF-B9C6-212CAA559769}" name="Chars Attr Multiple Sets"/>
    <tableColumn id="24" xr3:uid="{66A7B549-9682-4887-ACD2-93B9EAED8928}" name="Chars Attr Multiple Sets Com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71B5D1-14F4-4691-AE5D-75BB68BC43D8}" name="Table13" displayName="Table13" ref="A1:J4663" totalsRowShown="0">
  <autoFilter ref="A1:J4663" xr:uid="{00000000-0009-0000-0100-000001000000}">
    <filterColumn colId="1">
      <filters>
        <filter val="W"/>
      </filters>
    </filterColumn>
  </autoFilter>
  <tableColumns count="10">
    <tableColumn id="1" xr3:uid="{8AE603AA-BD7E-4733-B56F-0E2A2EF1764E}" name="REF_TABLE_NAME"/>
    <tableColumn id="2" xr3:uid="{E4F799FE-AE7E-4EA4-A53D-AA91484E549E}" name="REFERENCE_CODE"/>
    <tableColumn id="3" xr3:uid="{FDC0FDD1-7663-4415-A534-B5097BD34C04}" name="REFERENCE_DESCR1"/>
    <tableColumn id="4" xr3:uid="{7C59C725-FA7F-4EB2-9F82-D66BF2C6A774}" name="REFERENCE_DESCR2"/>
    <tableColumn id="5" xr3:uid="{AD4F0136-6ECF-41CF-BC47-459857B3BE5A}" name="REFERENCE_DESCR3"/>
    <tableColumn id="6" xr3:uid="{EBCB66D3-C465-452D-8F50-C80FC4E96A36}" name="REFERENCE_DESCR4"/>
    <tableColumn id="7" xr3:uid="{3BDBB347-85B8-4C44-8702-193CCFBBF156}" name="Julius ACS key word"/>
    <tableColumn id="8" xr3:uid="{618E9F33-EDBD-4143-A91A-4625DB656EF8}" name="Julius ACS Technical Obj Type TOT"/>
    <tableColumn id="9" xr3:uid="{638A143E-C01D-47E6-888B-4E8A6E75670F}" name="Julius Note"/>
    <tableColumn id="10" xr3:uid="{876E4761-AB4E-4DA5-A50D-889F6AF59C31}" name="Column1" dataDxfId="6">
      <calculatedColumnFormula>LEN(Table13[[#This Row],[REFERENCE_DESCR1]])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8A6C582-1D9A-4279-8A22-3EEACD58EF1A}" name="Table135" displayName="Table135" ref="A1:F5" totalsRowShown="0">
  <autoFilter ref="A1:F5" xr:uid="{00000000-0009-0000-0100-000001000000}"/>
  <sortState xmlns:xlrd2="http://schemas.microsoft.com/office/spreadsheetml/2017/richdata2" ref="A2:F5">
    <sortCondition ref="A2:A5"/>
  </sortState>
  <tableColumns count="6">
    <tableColumn id="1" xr3:uid="{A873052E-49FC-4774-BCB1-150389C553BA}" name="REF_TABLE_NAME"/>
    <tableColumn id="2" xr3:uid="{57EACF65-8E99-4A5B-ACC0-12DE52AA775A}" name="REFERENCE_CODE"/>
    <tableColumn id="3" xr3:uid="{D4A727BC-5CAA-44DF-B6D2-59053228B973}" name="REFERENCE_DESCR1"/>
    <tableColumn id="4" xr3:uid="{CF3EE24E-C070-4B67-A1C5-51C5AC569EAB}" name="REFERENCE_DESCR2"/>
    <tableColumn id="5" xr3:uid="{64FDFDAF-00F1-470C-894A-43F3E5D6293B}" name="REFERENCE_DESCR3"/>
    <tableColumn id="6" xr3:uid="{A213876F-C39B-43E2-A757-4D546ABE55CB}" name="REFERENCE_DESCR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1CE908-8483-4DF3-9A53-7EA1224CE3A4}" name="Table7" displayName="Table7" ref="A1:B216" totalsRowShown="0">
  <autoFilter ref="A1:B216" xr:uid="{CD1CE908-8483-4DF3-9A53-7EA1224CE3A4}"/>
  <tableColumns count="2">
    <tableColumn id="1" xr3:uid="{C187EA46-A6E7-444A-9BFB-3AF4ED28F2BF}" name="Attributes Grouping"/>
    <tableColumn id="2" xr3:uid="{1CA6D3A0-149B-4026-AD1F-B0BCBD50E65A}" name="Attributes Descrip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1AE636-8325-4CA4-B812-B74F6839ED72}" name="Table5" displayName="Table5" ref="A1:H121" totalsRowShown="0">
  <autoFilter ref="A1:H121" xr:uid="{151AE636-8325-4CA4-B812-B74F6839ED72}"/>
  <sortState xmlns:xlrd2="http://schemas.microsoft.com/office/spreadsheetml/2017/richdata2" ref="A2:H121">
    <sortCondition ref="C2:C121"/>
  </sortState>
  <tableColumns count="8">
    <tableColumn id="1" xr3:uid="{EB5D46A9-E3BC-4FE3-83B8-A32225F60DC2}" name="Table Name"/>
    <tableColumn id="2" xr3:uid="{4C4B6B68-BD4F-455E-8FC3-47868473FB7B}" name="Field Name"/>
    <tableColumn id="7" xr3:uid="{BEAACBD4-5B23-4494-B608-D9AD8905C914}" name="Table and Field" dataDxfId="5">
      <calculatedColumnFormula>Table5[[#This Row],[Table Name]]&amp;"." &amp;Table5[[#This Row],[Field Name]]</calculatedColumnFormula>
    </tableColumn>
    <tableColumn id="8" xr3:uid="{6DD016AB-B2C8-475B-9005-D64F1C895951}" name="Seq"/>
    <tableColumn id="3" xr3:uid="{242C8956-3354-4FC5-9CA8-02AC6C5F86A7}" name="Data Type"/>
    <tableColumn id="4" xr3:uid="{42C13B32-A6BF-45A2-A5D4-B77BFEBE5DC2}" name="Column2"/>
    <tableColumn id="5" xr3:uid="{8E33425C-8D0E-489C-A3B9-07E69ACF6DA6}" name="Column3"/>
    <tableColumn id="6" xr3:uid="{A5668D24-7DEF-40EE-BF48-21B9B7C2FAB4}" name="Column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3711DF-2D5C-4E9C-8689-C4E7CF6B53EB}" name="Table6" displayName="Table6" ref="A4:D29" totalsRowShown="0" headerRowDxfId="4">
  <autoFilter ref="A4:D29" xr:uid="{203711DF-2D5C-4E9C-8689-C4E7CF6B53EB}"/>
  <tableColumns count="4">
    <tableColumn id="1" xr3:uid="{2482CD63-AD90-41DF-A370-685685612233}" name="Road Carriageway Code"/>
    <tableColumn id="2" xr3:uid="{D8866E2C-CA0F-45D1-8890-F5000622C073}" name="Long Description" dataDxfId="3"/>
    <tableColumn id="3" xr3:uid="{1864838C-9595-47B4-B59B-E73102BE0D66}" name="Prescribed / Counter"/>
    <tableColumn id="4" xr3:uid="{40325145-C5E2-4466-A4D5-C077BAF84535}" name="Short Descrip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9BC7B0-0D0B-4275-887D-7A6628A84A62}" name="Table14" displayName="Table14" ref="A1:H2177" totalsRowShown="0">
  <autoFilter ref="A1:H2177" xr:uid="{436766F6-6AC7-44A9-A815-3AFB141E0B58}"/>
  <tableColumns count="8">
    <tableColumn id="1" xr3:uid="{156127FC-4919-4E14-8827-063263565B6D}" name="RD_ID" dataDxfId="2"/>
    <tableColumn id="2" xr3:uid="{D6FD0AE1-9938-48D2-A4DE-B0F265F67F29}" name="RD_NO"/>
    <tableColumn id="3" xr3:uid="{6A8F9F7B-6220-48DD-BC58-F6F435DEBBE8}" name="RD_DESCR"/>
    <tableColumn id="4" xr3:uid="{FB573FE4-3685-43ED-96FF-684EC0343DA3}" name="RC_CLASS"/>
    <tableColumn id="5" xr3:uid="{D28BC748-85B6-438E-BA4E-67987E926668}" name="RD_STATUS"/>
    <tableColumn id="6" xr3:uid="{08EA802A-64A4-4A7F-B2CD-E82250D5CA1C}" name="RD_STATUS_DATE" dataDxfId="1"/>
    <tableColumn id="7" xr3:uid="{8B96A4AF-38ED-458B-9754-8746D9D51DEB}" name="HCO_START_DATE" dataDxfId="0"/>
    <tableColumn id="8" xr3:uid="{7943ED27-D7BE-439B-BB8E-924E54B7A0CB}" name="HCO_END_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237" dT="2025-11-10T00:16:34.39" personId="{4639F01D-700A-40BA-88C2-AA2542D3EFF7}" id="{683D76D2-F51C-4498-AC22-1D09D87D3B92}">
    <text>@Julius Shen apparently this is supposed to be "PROT" not "PORT". Kindly check. Thanks</text>
    <mentions>
      <mention mentionpersonId="{1CCBB6D7-7B54-4FCD-8665-1CFD56465C09}" mentionId="{8B920E58-18F6-4717-B7A1-524AE16E37BE}" startIndex="0" length="12"/>
    </mentions>
  </threadedComment>
  <threadedComment ref="J237" dT="2025-11-10T03:00:40.52" personId="{655ECE34-DC81-42F0-9C6F-632C01EF3D6A}" id="{6BF675D2-8111-411B-8299-60A139E9817B}" parentId="{683D76D2-F51C-4498-AC22-1D09D87D3B92}">
    <text>@Alton Sandico Yes, you are correct. I have updated the field to the correct one: EMBANK_PROT_TYPE_CODE</text>
    <mentions>
      <mention mentionpersonId="{CE78E7F6-A20E-4989-BFDE-CE1E0F2DCE9D}" mentionId="{A542D457-5317-4B53-875D-CE33632C2502}" startIndex="0" length="14"/>
    </mentions>
  </threadedComment>
  <threadedComment ref="J237" dT="2025-11-10T03:04:03.67" personId="{4639F01D-700A-40BA-88C2-AA2542D3EFF7}" id="{616ABC82-85A6-4921-A5CC-EF478272BF45}" parentId="{683D76D2-F51C-4498-AC22-1D09D87D3B92}">
    <text>@Julius Shen Thanks</text>
    <mentions>
      <mention mentionpersonId="{1CCBB6D7-7B54-4FCD-8665-1CFD56465C09}" mentionId="{58B97AE6-7DA0-4FA1-80C0-1549CA1BC0AC}" startIndex="0" length="12"/>
    </mentions>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printerSettings" Target="../printerSettings/printerSettings1.bin"/><Relationship Id="rId7" Type="http://schemas.openxmlformats.org/officeDocument/2006/relationships/comments" Target="../comments1.xml"/><Relationship Id="rId2" Type="http://schemas.openxmlformats.org/officeDocument/2006/relationships/hyperlink" Target="../../../../../../../../:x:/r/sites/RAISI734/Shared%20Documents/RAISI%20Phase%201/4.%20Analyse%20and%20Design/4.2%20Explore/4.2.04%20Data%20Management/4.2.04.09%20Reference%20Documentation/Source%20obj%20tables%20register%20-%20RAISI%20Data%20Team.xlsx?d=w4f589d64d03840a698b01c00f47a6842&amp;csf=1&amp;web=1&amp;e=oX7Uc6" TargetMode="External"/><Relationship Id="rId1" Type="http://schemas.openxmlformats.org/officeDocument/2006/relationships/hyperlink" Target="http://ofm-prod-weblogic.itservices.rms.nsw.gov.au:7777/webreports/rbs_insp/HML_fact_sheet.pdf"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hyperlink" Target="../../../../../../../../:p:/r/sites/RAISI734/Shared%20Documents/RAISI%20Phase%201/4.%20Analyse%20and%20Design/4.2%20Explore/4.2.04%20Data%20Management/4.2.04.09%20Reference%20Documentation/BIS%20Bridge%20System/BIS%20Bridge%20System%20Features%20Summary.pptx?d=wc79d988cfaf24b14b446e512e27267f8&amp;csf=1&amp;web=1&amp;e=E5Or2C"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F1524-0A1E-451F-A417-63E8A193AF63}">
  <dimension ref="A1:X397"/>
  <sheetViews>
    <sheetView tabSelected="1" zoomScaleNormal="100" workbookViewId="0">
      <pane xSplit="4" ySplit="2" topLeftCell="E3" activePane="bottomRight" state="frozen"/>
      <selection pane="bottomRight" activeCell="M126" sqref="M126"/>
      <selection pane="bottomLeft" activeCell="A2" sqref="A2"/>
      <selection pane="topRight" activeCell="E1" sqref="E1"/>
    </sheetView>
  </sheetViews>
  <sheetFormatPr defaultRowHeight="14.45" outlineLevelCol="1"/>
  <cols>
    <col min="1" max="1" width="5.42578125" style="1" customWidth="1"/>
    <col min="2" max="2" width="12.28515625" style="6" customWidth="1"/>
    <col min="3" max="3" width="12.42578125" style="1" customWidth="1"/>
    <col min="4" max="4" width="21.7109375" style="3" customWidth="1"/>
    <col min="5" max="5" width="27.28515625" style="6" customWidth="1"/>
    <col min="6" max="6" width="7.28515625" style="7" customWidth="1"/>
    <col min="7" max="7" width="6.7109375" customWidth="1"/>
    <col min="8" max="8" width="10" customWidth="1"/>
    <col min="9" max="9" width="31.28515625" customWidth="1"/>
    <col min="10" max="10" width="31.140625" customWidth="1"/>
    <col min="11" max="11" width="22.7109375" style="17" customWidth="1" outlineLevel="1"/>
    <col min="12" max="12" width="12.7109375" style="17" customWidth="1" outlineLevel="1"/>
    <col min="13" max="13" width="18.7109375" style="32" customWidth="1"/>
    <col min="14" max="14" width="47.7109375" style="6" customWidth="1"/>
    <col min="15" max="15" width="12.42578125" customWidth="1" outlineLevel="1"/>
    <col min="16" max="17" width="8.85546875" customWidth="1" outlineLevel="1"/>
    <col min="18" max="18" width="7.28515625" customWidth="1" outlineLevel="1"/>
    <col min="19" max="19" width="8.85546875" customWidth="1" outlineLevel="1"/>
    <col min="20" max="20" width="8.28515625" style="6" customWidth="1" outlineLevel="1"/>
    <col min="21" max="21" width="8.85546875" style="6" customWidth="1" outlineLevel="1"/>
    <col min="22" max="22" width="18.42578125" style="6" customWidth="1"/>
    <col min="24" max="24" width="10.7109375" customWidth="1"/>
  </cols>
  <sheetData>
    <row r="1" spans="1:24" ht="15.6">
      <c r="A1" s="11" t="s">
        <v>0</v>
      </c>
      <c r="B1" s="7"/>
      <c r="C1"/>
      <c r="D1" s="4"/>
    </row>
    <row r="2" spans="1:24" s="8" customFormat="1" ht="57.6">
      <c r="A2" s="8" t="s">
        <v>1</v>
      </c>
      <c r="B2" s="8" t="s">
        <v>2</v>
      </c>
      <c r="C2" s="8" t="s">
        <v>3</v>
      </c>
      <c r="D2" s="2" t="s">
        <v>4</v>
      </c>
      <c r="E2" s="8" t="s">
        <v>5</v>
      </c>
      <c r="F2" s="5" t="s">
        <v>6</v>
      </c>
      <c r="G2" s="8" t="s">
        <v>7</v>
      </c>
      <c r="H2" s="5" t="s">
        <v>8</v>
      </c>
      <c r="I2" s="8" t="s">
        <v>9</v>
      </c>
      <c r="J2" s="8" t="s">
        <v>10</v>
      </c>
      <c r="K2" s="18" t="s">
        <v>11</v>
      </c>
      <c r="L2" s="18" t="s">
        <v>12</v>
      </c>
      <c r="M2" s="18" t="s">
        <v>13</v>
      </c>
      <c r="N2" s="8" t="s">
        <v>14</v>
      </c>
      <c r="O2" s="8" t="s">
        <v>15</v>
      </c>
      <c r="P2" s="8" t="s">
        <v>16</v>
      </c>
      <c r="Q2" s="8" t="s">
        <v>17</v>
      </c>
      <c r="R2" s="8" t="s">
        <v>18</v>
      </c>
      <c r="S2" s="8" t="s">
        <v>19</v>
      </c>
      <c r="T2" s="5" t="s">
        <v>20</v>
      </c>
      <c r="U2" s="5" t="s">
        <v>21</v>
      </c>
      <c r="V2" s="5" t="s">
        <v>22</v>
      </c>
      <c r="W2" s="8" t="s">
        <v>23</v>
      </c>
      <c r="X2" s="8" t="s">
        <v>24</v>
      </c>
    </row>
    <row r="3" spans="1:24" ht="27.6">
      <c r="A3" s="6" t="s">
        <v>25</v>
      </c>
      <c r="B3" s="6" t="s">
        <v>26</v>
      </c>
      <c r="C3" s="6" t="s">
        <v>26</v>
      </c>
      <c r="D3" s="1" t="s">
        <v>27</v>
      </c>
      <c r="E3" s="6" t="s">
        <v>28</v>
      </c>
      <c r="I3" s="7" t="s">
        <v>29</v>
      </c>
      <c r="J3" t="s">
        <v>30</v>
      </c>
      <c r="K3" s="17" t="str">
        <f>Table3[[#This Row],[Main Table]] &amp;"."&amp; Table3[[#This Row],[Main Field Name]]</f>
        <v>RBS_STRUCTURES.CURRENT_YN</v>
      </c>
      <c r="L3" s="17" t="str">
        <f>VLOOKUP(Table3[[#This Row],[Table and Field]],Table5[[Table and Field]:[Data Type]],3,FALSE)</f>
        <v>VARCHAR2(1)</v>
      </c>
      <c r="M3" s="32" t="s">
        <v>31</v>
      </c>
      <c r="N3" s="6" t="s">
        <v>32</v>
      </c>
    </row>
    <row r="4" spans="1:24" ht="27.6">
      <c r="A4" s="6" t="s">
        <v>25</v>
      </c>
      <c r="B4" s="6" t="s">
        <v>33</v>
      </c>
      <c r="C4" s="6"/>
      <c r="D4" s="3" t="s">
        <v>34</v>
      </c>
      <c r="E4" s="6" t="s">
        <v>35</v>
      </c>
      <c r="F4" s="7" t="s">
        <v>36</v>
      </c>
      <c r="I4" s="7" t="s">
        <v>29</v>
      </c>
      <c r="J4" t="s">
        <v>37</v>
      </c>
      <c r="K4" s="17" t="str">
        <f>Table3[[#This Row],[Main Table]] &amp;"."&amp; Table3[[#This Row],[Main Field Name]]</f>
        <v>RBS_STRUCTURES.BRIDGE_NUMBER</v>
      </c>
      <c r="L4" s="17" t="str">
        <f>VLOOKUP(Table3[[#This Row],[Table and Field]],Table5[[Table and Field]:[Data Type]],3,FALSE)</f>
        <v>NUMBER(5,0),</v>
      </c>
      <c r="N4" s="6" t="s">
        <v>38</v>
      </c>
      <c r="S4" t="s">
        <v>39</v>
      </c>
      <c r="U4" s="6" t="s">
        <v>40</v>
      </c>
    </row>
    <row r="5" spans="1:24" ht="41.45">
      <c r="A5" s="6" t="s">
        <v>25</v>
      </c>
      <c r="B5" s="6" t="s">
        <v>33</v>
      </c>
      <c r="C5" s="6"/>
      <c r="D5" s="3" t="s">
        <v>41</v>
      </c>
      <c r="E5" s="6" t="s">
        <v>42</v>
      </c>
      <c r="I5" s="7"/>
      <c r="K5" s="17" t="str">
        <f>Table3[[#This Row],[Main Table]] &amp;"."&amp; Table3[[#This Row],[Main Field Name]]</f>
        <v>.</v>
      </c>
      <c r="L5" s="17" t="e">
        <f>VLOOKUP(Table3[[#This Row],[Table and Field]],Table5[[Table and Field]:[Data Type]],3,FALSE)</f>
        <v>#N/A</v>
      </c>
      <c r="S5" t="s">
        <v>39</v>
      </c>
      <c r="U5" s="6" t="s">
        <v>43</v>
      </c>
    </row>
    <row r="6" spans="1:24" ht="41.45">
      <c r="A6" s="6" t="s">
        <v>25</v>
      </c>
      <c r="B6" s="6" t="s">
        <v>33</v>
      </c>
      <c r="C6" s="6"/>
      <c r="D6" s="3" t="s">
        <v>44</v>
      </c>
      <c r="E6" s="6" t="s">
        <v>45</v>
      </c>
      <c r="I6" s="7"/>
      <c r="K6" s="17" t="str">
        <f>Table3[[#This Row],[Main Table]] &amp;"."&amp; Table3[[#This Row],[Main Field Name]]</f>
        <v>.</v>
      </c>
      <c r="L6" s="17" t="e">
        <f>VLOOKUP(Table3[[#This Row],[Table and Field]],Table5[[Table and Field]:[Data Type]],3,FALSE)</f>
        <v>#N/A</v>
      </c>
      <c r="S6" t="s">
        <v>39</v>
      </c>
      <c r="U6" s="6" t="s">
        <v>43</v>
      </c>
    </row>
    <row r="7" spans="1:24" ht="41.45">
      <c r="A7" s="6" t="s">
        <v>25</v>
      </c>
      <c r="B7" s="6" t="s">
        <v>33</v>
      </c>
      <c r="C7" s="6" t="s">
        <v>46</v>
      </c>
      <c r="D7" s="3" t="s">
        <v>47</v>
      </c>
      <c r="E7" s="6" t="s">
        <v>48</v>
      </c>
      <c r="F7" s="6" t="s">
        <v>36</v>
      </c>
      <c r="I7" s="7" t="s">
        <v>29</v>
      </c>
      <c r="J7" t="s">
        <v>49</v>
      </c>
      <c r="K7" s="17" t="str">
        <f>Table3[[#This Row],[Main Table]] &amp;"."&amp; Table3[[#This Row],[Main Field Name]]</f>
        <v>RBS_STRUCTURES.DESCRIPTION_TYPE</v>
      </c>
      <c r="L7" s="17" t="str">
        <f>VLOOKUP(Table3[[#This Row],[Table and Field]],Table5[[Table and Field]:[Data Type]],3,FALSE)</f>
        <v>VARCHAR2(25),</v>
      </c>
      <c r="N7" s="6" t="s">
        <v>50</v>
      </c>
      <c r="S7" t="s">
        <v>39</v>
      </c>
    </row>
    <row r="8" spans="1:24" ht="41.45">
      <c r="A8" s="6" t="s">
        <v>25</v>
      </c>
      <c r="B8" s="6" t="s">
        <v>33</v>
      </c>
      <c r="C8" s="6" t="s">
        <v>46</v>
      </c>
      <c r="D8" s="3" t="s">
        <v>51</v>
      </c>
      <c r="E8" s="6" t="s">
        <v>52</v>
      </c>
      <c r="F8" s="7" t="s">
        <v>36</v>
      </c>
      <c r="I8" s="7" t="s">
        <v>29</v>
      </c>
      <c r="J8" t="s">
        <v>53</v>
      </c>
      <c r="K8" s="17" t="str">
        <f>Table3[[#This Row],[Main Table]] &amp;"."&amp; Table3[[#This Row],[Main Field Name]]</f>
        <v>RBS_STRUCTURES.DESCRIPTION_OVER</v>
      </c>
      <c r="L8" s="17" t="str">
        <f>VLOOKUP(Table3[[#This Row],[Table and Field]],Table5[[Table and Field]:[Data Type]],3,FALSE)</f>
        <v>VARCHAR2(25),</v>
      </c>
      <c r="N8" s="6" t="s">
        <v>50</v>
      </c>
      <c r="S8" t="s">
        <v>39</v>
      </c>
    </row>
    <row r="9" spans="1:24" ht="41.45">
      <c r="A9" s="6" t="s">
        <v>25</v>
      </c>
      <c r="B9" s="6" t="s">
        <v>33</v>
      </c>
      <c r="C9" s="6" t="s">
        <v>46</v>
      </c>
      <c r="D9" s="3" t="s">
        <v>54</v>
      </c>
      <c r="E9" s="6" t="s">
        <v>55</v>
      </c>
      <c r="F9" s="7" t="s">
        <v>56</v>
      </c>
      <c r="I9" s="7" t="s">
        <v>29</v>
      </c>
      <c r="J9" t="s">
        <v>57</v>
      </c>
      <c r="K9" s="17" t="str">
        <f>Table3[[#This Row],[Main Table]] &amp;"."&amp; Table3[[#This Row],[Main Field Name]]</f>
        <v>RBS_STRUCTURES.DESCRIPTION_AT</v>
      </c>
      <c r="L9" s="17" t="str">
        <f>VLOOKUP(Table3[[#This Row],[Table and Field]],Table5[[Table and Field]:[Data Type]],3,FALSE)</f>
        <v>VARCHAR2(25),</v>
      </c>
      <c r="N9" s="6" t="s">
        <v>50</v>
      </c>
      <c r="S9" t="s">
        <v>39</v>
      </c>
    </row>
    <row r="10" spans="1:24" ht="41.45">
      <c r="A10" s="6" t="s">
        <v>25</v>
      </c>
      <c r="B10" s="6" t="s">
        <v>33</v>
      </c>
      <c r="C10" s="6" t="s">
        <v>46</v>
      </c>
      <c r="D10" s="3" t="s">
        <v>58</v>
      </c>
      <c r="E10" s="6" t="s">
        <v>59</v>
      </c>
      <c r="F10" s="7" t="s">
        <v>56</v>
      </c>
      <c r="I10" s="7" t="s">
        <v>29</v>
      </c>
      <c r="J10" t="s">
        <v>60</v>
      </c>
      <c r="K10" s="17" t="str">
        <f>Table3[[#This Row],[Main Table]] &amp;"."&amp; Table3[[#This Row],[Main Field Name]]</f>
        <v>RBS_STRUCTURES.DESCRIPTION_AT2</v>
      </c>
      <c r="L10" s="17" t="str">
        <f>VLOOKUP(Table3[[#This Row],[Table and Field]],Table5[[Table and Field]:[Data Type]],3,FALSE)</f>
        <v>VARCHAR2(25),</v>
      </c>
      <c r="N10" s="6" t="s">
        <v>50</v>
      </c>
      <c r="S10" t="s">
        <v>39</v>
      </c>
    </row>
    <row r="11" spans="1:24" s="27" customFormat="1" ht="41.45">
      <c r="A11" s="24" t="s">
        <v>25</v>
      </c>
      <c r="B11" s="24" t="s">
        <v>33</v>
      </c>
      <c r="C11" s="24" t="s">
        <v>46</v>
      </c>
      <c r="D11" s="25" t="s">
        <v>61</v>
      </c>
      <c r="E11" s="24"/>
      <c r="F11" s="26" t="s">
        <v>56</v>
      </c>
      <c r="I11" s="26" t="s">
        <v>29</v>
      </c>
      <c r="J11" s="27" t="s">
        <v>62</v>
      </c>
      <c r="K11" s="28" t="str">
        <f>Table3[[#This Row],[Main Table]] &amp;"."&amp; Table3[[#This Row],[Main Field Name]]</f>
        <v>RBS_STRUCTURES.BRIDGE_NAME</v>
      </c>
      <c r="L11" s="28" t="str">
        <f>VLOOKUP(Table3[[#This Row],[Table and Field]],Table5[[Table and Field]:[Data Type]],3,FALSE)</f>
        <v>VARCHAR2(25),</v>
      </c>
      <c r="M11" s="34"/>
      <c r="N11" s="24"/>
      <c r="S11" s="27" t="s">
        <v>39</v>
      </c>
      <c r="T11" s="24" t="s">
        <v>63</v>
      </c>
      <c r="U11" s="24" t="s">
        <v>64</v>
      </c>
      <c r="V11" s="24" t="s">
        <v>65</v>
      </c>
    </row>
    <row r="12" spans="1:24" ht="27.6">
      <c r="A12" s="6" t="s">
        <v>25</v>
      </c>
      <c r="B12" s="6" t="s">
        <v>33</v>
      </c>
      <c r="C12" s="6" t="s">
        <v>66</v>
      </c>
      <c r="D12" s="3" t="s">
        <v>67</v>
      </c>
      <c r="E12" s="6" t="s">
        <v>68</v>
      </c>
      <c r="F12" s="7" t="s">
        <v>36</v>
      </c>
      <c r="I12" s="7" t="s">
        <v>29</v>
      </c>
      <c r="J12" t="s">
        <v>69</v>
      </c>
      <c r="K12" s="17" t="str">
        <f>Table3[[#This Row],[Main Table]] &amp;"."&amp; Table3[[#This Row],[Main Field Name]]</f>
        <v>RBS_STRUCTURES.LA_ID_REGION</v>
      </c>
      <c r="L12" s="17" t="str">
        <f>VLOOKUP(Table3[[#This Row],[Table and Field]],Table5[[Table and Field]:[Data Type]],3,FALSE)</f>
        <v>NUMBER(7,0),</v>
      </c>
      <c r="M12" s="32" t="s">
        <v>70</v>
      </c>
      <c r="N12" s="6" t="s">
        <v>71</v>
      </c>
      <c r="S12" t="s">
        <v>39</v>
      </c>
      <c r="U12" s="6" t="s">
        <v>72</v>
      </c>
    </row>
    <row r="13" spans="1:24" ht="27.6">
      <c r="A13" s="6" t="s">
        <v>25</v>
      </c>
      <c r="B13" s="6" t="s">
        <v>33</v>
      </c>
      <c r="C13" s="6" t="s">
        <v>66</v>
      </c>
      <c r="D13" s="3" t="s">
        <v>73</v>
      </c>
      <c r="E13" s="6" t="s">
        <v>74</v>
      </c>
      <c r="F13" s="7" t="s">
        <v>36</v>
      </c>
      <c r="I13" s="7" t="s">
        <v>75</v>
      </c>
      <c r="J13" t="s">
        <v>76</v>
      </c>
      <c r="K13" s="17" t="str">
        <f>Table3[[#This Row],[Main Table]] &amp;"."&amp; Table3[[#This Row],[Main Field Name]]</f>
        <v>rbs_subz_la.la_descr</v>
      </c>
      <c r="L13" s="17" t="e">
        <f>VLOOKUP(Table3[[#This Row],[Table and Field]],Table5[[Table and Field]:[Data Type]],3,FALSE)</f>
        <v>#N/A</v>
      </c>
      <c r="M13" s="32" t="s">
        <v>70</v>
      </c>
      <c r="N13" s="6" t="s">
        <v>77</v>
      </c>
      <c r="S13" t="s">
        <v>39</v>
      </c>
    </row>
    <row r="14" spans="1:24" ht="41.45">
      <c r="A14" s="6" t="s">
        <v>25</v>
      </c>
      <c r="B14" s="6" t="s">
        <v>33</v>
      </c>
      <c r="C14" s="6" t="s">
        <v>66</v>
      </c>
      <c r="D14" s="3" t="s">
        <v>78</v>
      </c>
      <c r="F14" s="7" t="s">
        <v>36</v>
      </c>
      <c r="I14" s="7" t="s">
        <v>29</v>
      </c>
      <c r="J14" t="s">
        <v>79</v>
      </c>
      <c r="K14" s="17" t="str">
        <f>Table3[[#This Row],[Main Table]] &amp;"."&amp; Table3[[#This Row],[Main Field Name]]</f>
        <v>RBS_STRUCTURES.LA_ID_ZONE</v>
      </c>
      <c r="L14" s="17" t="str">
        <f>VLOOKUP(Table3[[#This Row],[Table and Field]],Table5[[Table and Field]:[Data Type]],3,FALSE)</f>
        <v>NUMBER(7,0),</v>
      </c>
      <c r="M14" s="32" t="s">
        <v>70</v>
      </c>
      <c r="N14" s="6" t="s">
        <v>80</v>
      </c>
      <c r="S14" t="s">
        <v>39</v>
      </c>
    </row>
    <row r="15" spans="1:24" ht="27.6">
      <c r="A15" s="6" t="s">
        <v>25</v>
      </c>
      <c r="B15" s="6" t="s">
        <v>33</v>
      </c>
      <c r="C15" s="6" t="s">
        <v>66</v>
      </c>
      <c r="D15" s="3" t="s">
        <v>81</v>
      </c>
      <c r="F15" s="7" t="s">
        <v>36</v>
      </c>
      <c r="I15" s="7" t="s">
        <v>29</v>
      </c>
      <c r="J15" t="s">
        <v>82</v>
      </c>
      <c r="K15" s="17" t="str">
        <f>Table3[[#This Row],[Main Table]] &amp;"."&amp; Table3[[#This Row],[Main Field Name]]</f>
        <v>RBS_STRUCTURES.LA_ID_SUBZ_NETW</v>
      </c>
      <c r="L15" s="17" t="str">
        <f>VLOOKUP(Table3[[#This Row],[Table and Field]],Table5[[Table and Field]:[Data Type]],3,FALSE)</f>
        <v>NUMBER(7,0),</v>
      </c>
      <c r="M15" s="32" t="s">
        <v>70</v>
      </c>
      <c r="N15" s="6" t="s">
        <v>83</v>
      </c>
      <c r="S15" t="s">
        <v>39</v>
      </c>
    </row>
    <row r="16" spans="1:24" ht="27.6">
      <c r="A16" s="6" t="s">
        <v>25</v>
      </c>
      <c r="B16" s="6" t="s">
        <v>33</v>
      </c>
      <c r="C16" s="6" t="s">
        <v>66</v>
      </c>
      <c r="D16" s="3" t="s">
        <v>84</v>
      </c>
      <c r="F16" s="7" t="s">
        <v>36</v>
      </c>
      <c r="I16" s="7" t="s">
        <v>29</v>
      </c>
      <c r="J16" t="s">
        <v>85</v>
      </c>
      <c r="K16" s="17" t="str">
        <f>Table3[[#This Row],[Main Table]] &amp;"."&amp; Table3[[#This Row],[Main Field Name]]</f>
        <v>RBS_STRUCTURES.LA_ID_LGA</v>
      </c>
      <c r="L16" s="17" t="str">
        <f>VLOOKUP(Table3[[#This Row],[Table and Field]],Table5[[Table and Field]:[Data Type]],3,FALSE)</f>
        <v>NUMBER(10,0),</v>
      </c>
      <c r="M16" s="32" t="s">
        <v>86</v>
      </c>
      <c r="N16" s="6" t="s">
        <v>87</v>
      </c>
      <c r="S16" t="s">
        <v>39</v>
      </c>
      <c r="U16" s="6" t="s">
        <v>88</v>
      </c>
    </row>
    <row r="17" spans="1:21" ht="27.6">
      <c r="A17" s="6" t="s">
        <v>25</v>
      </c>
      <c r="B17" s="6" t="s">
        <v>33</v>
      </c>
      <c r="C17" s="6" t="s">
        <v>66</v>
      </c>
      <c r="D17" s="3" t="s">
        <v>89</v>
      </c>
      <c r="F17" s="7" t="s">
        <v>36</v>
      </c>
      <c r="I17" s="7" t="s">
        <v>90</v>
      </c>
      <c r="J17" t="s">
        <v>76</v>
      </c>
      <c r="K17" s="17" t="str">
        <f>Table3[[#This Row],[Main Table]] &amp;"."&amp; Table3[[#This Row],[Main Field Name]]</f>
        <v>RRL_LA.la_descr</v>
      </c>
      <c r="L17" s="17" t="e">
        <f>VLOOKUP(Table3[[#This Row],[Table and Field]],Table5[[Table and Field]:[Data Type]],3,FALSE)</f>
        <v>#N/A</v>
      </c>
      <c r="M17" s="32" t="s">
        <v>91</v>
      </c>
      <c r="N17" s="6" t="s">
        <v>91</v>
      </c>
    </row>
    <row r="18" spans="1:21" ht="27.6">
      <c r="A18" s="6" t="s">
        <v>25</v>
      </c>
      <c r="B18" s="6" t="s">
        <v>33</v>
      </c>
      <c r="C18" s="6" t="s">
        <v>66</v>
      </c>
      <c r="D18" s="3" t="s">
        <v>92</v>
      </c>
      <c r="I18" s="7" t="s">
        <v>29</v>
      </c>
      <c r="J18" t="s">
        <v>93</v>
      </c>
      <c r="K18" s="17" t="str">
        <f>Table3[[#This Row],[Main Table]] &amp;"."&amp; Table3[[#This Row],[Main Field Name]]</f>
        <v>RBS_STRUCTURES.LA_ID_FE</v>
      </c>
      <c r="L18" s="17" t="str">
        <f>VLOOKUP(Table3[[#This Row],[Table and Field]],Table5[[Table and Field]:[Data Type]],3,FALSE)</f>
        <v>NUMBER(10,0),</v>
      </c>
      <c r="S18" t="s">
        <v>39</v>
      </c>
    </row>
    <row r="19" spans="1:21" ht="28.9">
      <c r="A19" s="6" t="s">
        <v>25</v>
      </c>
      <c r="B19" s="6" t="s">
        <v>33</v>
      </c>
      <c r="C19" s="6" t="s">
        <v>66</v>
      </c>
      <c r="D19" s="3" t="s">
        <v>94</v>
      </c>
      <c r="I19" s="7"/>
      <c r="K19" s="17" t="str">
        <f>Table3[[#This Row],[Main Table]] &amp;"."&amp; Table3[[#This Row],[Main Field Name]]</f>
        <v>.</v>
      </c>
      <c r="L19" s="17" t="e">
        <f>VLOOKUP(Table3[[#This Row],[Table and Field]],Table5[[Table and Field]:[Data Type]],3,FALSE)</f>
        <v>#N/A</v>
      </c>
    </row>
    <row r="20" spans="1:21" ht="27.6">
      <c r="A20" s="6" t="s">
        <v>25</v>
      </c>
      <c r="B20" s="6" t="s">
        <v>33</v>
      </c>
      <c r="C20" s="6" t="s">
        <v>66</v>
      </c>
      <c r="D20" s="3" t="s">
        <v>95</v>
      </c>
      <c r="I20" s="7" t="s">
        <v>29</v>
      </c>
      <c r="J20" t="s">
        <v>96</v>
      </c>
      <c r="K20" s="17" t="str">
        <f>Table3[[#This Row],[Main Table]] &amp;"."&amp; Table3[[#This Row],[Main Field Name]]</f>
        <v>RBS_STRUCTURES.LA_ID_SE</v>
      </c>
      <c r="L20" s="17" t="str">
        <f>VLOOKUP(Table3[[#This Row],[Table and Field]],Table5[[Table and Field]:[Data Type]],3,FALSE)</f>
        <v>NUMBER(10,0),</v>
      </c>
      <c r="S20" t="s">
        <v>39</v>
      </c>
      <c r="U20" s="6" t="s">
        <v>97</v>
      </c>
    </row>
    <row r="21" spans="1:21" ht="36.6">
      <c r="A21" s="6" t="s">
        <v>25</v>
      </c>
      <c r="B21" s="6" t="s">
        <v>33</v>
      </c>
      <c r="C21" s="6" t="s">
        <v>66</v>
      </c>
      <c r="D21" s="3" t="s">
        <v>98</v>
      </c>
      <c r="I21" s="7" t="s">
        <v>99</v>
      </c>
      <c r="J21" t="s">
        <v>100</v>
      </c>
      <c r="K21" s="17" t="str">
        <f>Table3[[#This Row],[Main Table]] &amp;"."&amp; Table3[[#This Row],[Main Field Name]]</f>
        <v>rbs_ref_tables.REFERENCE_DESCR1</v>
      </c>
      <c r="L21" s="17" t="e">
        <f>VLOOKUP(Table3[[#This Row],[Table and Field]],Table5[[Table and Field]:[Data Type]],3,FALSE)</f>
        <v>#N/A</v>
      </c>
      <c r="M21" s="32" t="s">
        <v>101</v>
      </c>
      <c r="N21" s="6" t="s">
        <v>102</v>
      </c>
    </row>
    <row r="22" spans="1:21" ht="36.6">
      <c r="A22" s="6" t="s">
        <v>25</v>
      </c>
      <c r="B22" s="6" t="s">
        <v>33</v>
      </c>
      <c r="C22" s="6"/>
      <c r="D22" s="3" t="s">
        <v>103</v>
      </c>
      <c r="E22" s="6" t="s">
        <v>104</v>
      </c>
      <c r="I22" s="7" t="s">
        <v>29</v>
      </c>
      <c r="J22" t="s">
        <v>105</v>
      </c>
      <c r="K22" s="17" t="str">
        <f>Table3[[#This Row],[Main Table]] &amp;"."&amp; Table3[[#This Row],[Main Field Name]]</f>
        <v>RBS_STRUCTURES.OPER_STAT_CODE</v>
      </c>
      <c r="L22" s="17" t="str">
        <f>VLOOKUP(Table3[[#This Row],[Table and Field]],Table5[[Table and Field]:[Data Type]],3,FALSE)</f>
        <v>VARCHAR2(6),</v>
      </c>
      <c r="M22" s="32" t="s">
        <v>106</v>
      </c>
      <c r="N22" s="6" t="s">
        <v>107</v>
      </c>
      <c r="S22" t="s">
        <v>39</v>
      </c>
      <c r="U22" s="6" t="s">
        <v>108</v>
      </c>
    </row>
    <row r="23" spans="1:21" ht="36.6">
      <c r="A23" s="6" t="s">
        <v>25</v>
      </c>
      <c r="B23" s="6" t="s">
        <v>33</v>
      </c>
      <c r="C23" s="6"/>
      <c r="D23" s="3" t="s">
        <v>109</v>
      </c>
      <c r="E23" s="6" t="s">
        <v>110</v>
      </c>
      <c r="I23" s="7" t="s">
        <v>99</v>
      </c>
      <c r="J23" t="s">
        <v>100</v>
      </c>
      <c r="K23" s="17" t="str">
        <f>Table3[[#This Row],[Main Table]] &amp;"."&amp; Table3[[#This Row],[Main Field Name]]</f>
        <v>rbs_ref_tables.REFERENCE_DESCR1</v>
      </c>
      <c r="L23" s="17" t="e">
        <f>VLOOKUP(Table3[[#This Row],[Table and Field]],Table5[[Table and Field]:[Data Type]],3,FALSE)</f>
        <v>#N/A</v>
      </c>
      <c r="M23" s="32" t="s">
        <v>106</v>
      </c>
      <c r="N23" s="6" t="s">
        <v>111</v>
      </c>
      <c r="S23" t="s">
        <v>39</v>
      </c>
    </row>
    <row r="24" spans="1:21" ht="27.6">
      <c r="A24" s="6" t="s">
        <v>25</v>
      </c>
      <c r="B24" s="6" t="s">
        <v>33</v>
      </c>
      <c r="C24" s="6"/>
      <c r="D24" s="3" t="s">
        <v>112</v>
      </c>
      <c r="I24" s="7" t="s">
        <v>29</v>
      </c>
      <c r="J24" t="s">
        <v>113</v>
      </c>
      <c r="K24" s="17" t="str">
        <f>Table3[[#This Row],[Main Table]] &amp;"."&amp; Table3[[#This Row],[Main Field Name]]</f>
        <v>RBS_STRUCTURES.DT_OPEN_TO_TRAFFIC</v>
      </c>
      <c r="L24" s="17" t="str">
        <f>VLOOKUP(Table3[[#This Row],[Table and Field]],Table5[[Table and Field]:[Data Type]],3,FALSE)</f>
        <v>DATE,</v>
      </c>
      <c r="S24" t="s">
        <v>39</v>
      </c>
    </row>
    <row r="25" spans="1:21" ht="27.6">
      <c r="A25" s="6" t="s">
        <v>25</v>
      </c>
      <c r="B25" s="6" t="s">
        <v>33</v>
      </c>
      <c r="C25" s="6"/>
      <c r="D25" s="3" t="s">
        <v>114</v>
      </c>
      <c r="I25" s="7" t="s">
        <v>29</v>
      </c>
      <c r="J25" t="s">
        <v>115</v>
      </c>
      <c r="K25" s="17" t="str">
        <f>Table3[[#This Row],[Main Table]] &amp;"."&amp; Table3[[#This Row],[Main Field Name]]</f>
        <v>RBS_STRUCTURES.GENERAL_FILE_NO</v>
      </c>
      <c r="L25" s="17" t="str">
        <f>VLOOKUP(Table3[[#This Row],[Table and Field]],Table5[[Table and Field]:[Data Type]],3,FALSE)</f>
        <v>VARCHAR2(100),</v>
      </c>
      <c r="S25" t="s">
        <v>39</v>
      </c>
    </row>
    <row r="26" spans="1:21" ht="27.6">
      <c r="A26" s="6" t="s">
        <v>25</v>
      </c>
      <c r="B26" s="6" t="s">
        <v>33</v>
      </c>
      <c r="C26" s="6"/>
      <c r="D26" s="3" t="s">
        <v>116</v>
      </c>
      <c r="E26" s="6" t="s">
        <v>117</v>
      </c>
      <c r="H26" t="s">
        <v>56</v>
      </c>
      <c r="I26" s="7" t="s">
        <v>29</v>
      </c>
      <c r="J26" t="s">
        <v>118</v>
      </c>
      <c r="K26" s="17" t="str">
        <f>Table3[[#This Row],[Main Table]] &amp;"."&amp; Table3[[#This Row],[Main Field Name]]</f>
        <v>RBS_STRUCTURES.RD_RANK_CODE</v>
      </c>
      <c r="L26" s="17" t="str">
        <f>VLOOKUP(Table3[[#This Row],[Table and Field]],Table5[[Table and Field]:[Data Type]],3,FALSE)</f>
        <v>VARCHAR2(1),</v>
      </c>
      <c r="N26" s="6" t="s">
        <v>119</v>
      </c>
      <c r="S26" t="s">
        <v>39</v>
      </c>
    </row>
    <row r="27" spans="1:21" ht="27.6">
      <c r="A27" s="6" t="s">
        <v>25</v>
      </c>
      <c r="B27" s="6" t="s">
        <v>33</v>
      </c>
      <c r="C27" s="6"/>
      <c r="D27" s="3" t="s">
        <v>120</v>
      </c>
      <c r="E27" s="6" t="s">
        <v>121</v>
      </c>
      <c r="I27" s="7" t="s">
        <v>29</v>
      </c>
      <c r="J27" t="s">
        <v>122</v>
      </c>
      <c r="K27" s="17" t="str">
        <f>Table3[[#This Row],[Main Table]] &amp;"."&amp; Table3[[#This Row],[Main Field Name]]</f>
        <v>RBS_STRUCTURES.RD_CLASS_CODE</v>
      </c>
      <c r="L27" s="17" t="str">
        <f>VLOOKUP(Table3[[#This Row],[Table and Field]],Table5[[Table and Field]:[Data Type]],3,FALSE)</f>
        <v>VARCHAR2(6),</v>
      </c>
      <c r="S27" t="s">
        <v>39</v>
      </c>
    </row>
    <row r="28" spans="1:21" ht="41.45">
      <c r="A28" s="6" t="s">
        <v>25</v>
      </c>
      <c r="B28" s="6" t="s">
        <v>33</v>
      </c>
      <c r="C28" s="6"/>
      <c r="D28" s="3" t="s">
        <v>123</v>
      </c>
      <c r="E28" s="6" t="s">
        <v>124</v>
      </c>
      <c r="F28" s="7" t="s">
        <v>36</v>
      </c>
      <c r="I28" s="7" t="s">
        <v>29</v>
      </c>
      <c r="J28" t="s">
        <v>125</v>
      </c>
      <c r="K28" s="17" t="str">
        <f>Table3[[#This Row],[Main Table]] &amp;"."&amp; Table3[[#This Row],[Main Field Name]]</f>
        <v>RBS_STRUCTURES.WA_OWN</v>
      </c>
      <c r="L28" s="17" t="str">
        <f>VLOOKUP(Table3[[#This Row],[Table and Field]],Table5[[Table and Field]:[Data Type]],3,FALSE)</f>
        <v>VARCHAR2(6),</v>
      </c>
      <c r="M28" s="32" t="s">
        <v>126</v>
      </c>
      <c r="N28" s="6" t="s">
        <v>127</v>
      </c>
      <c r="S28" t="s">
        <v>39</v>
      </c>
      <c r="U28" s="6" t="s">
        <v>128</v>
      </c>
    </row>
    <row r="29" spans="1:21" ht="41.45">
      <c r="A29" s="6" t="s">
        <v>25</v>
      </c>
      <c r="B29" s="6" t="s">
        <v>33</v>
      </c>
      <c r="C29" s="6"/>
      <c r="D29" s="3" t="s">
        <v>129</v>
      </c>
      <c r="E29" s="6" t="s">
        <v>130</v>
      </c>
      <c r="I29" s="9" t="s">
        <v>99</v>
      </c>
      <c r="J29" t="s">
        <v>100</v>
      </c>
      <c r="K29" s="17" t="str">
        <f>Table3[[#This Row],[Main Table]] &amp;"."&amp; Table3[[#This Row],[Main Field Name]]</f>
        <v>rbs_ref_tables.REFERENCE_DESCR1</v>
      </c>
      <c r="L29" s="17" t="s">
        <v>131</v>
      </c>
      <c r="M29" s="32" t="s">
        <v>126</v>
      </c>
      <c r="N29" s="6" t="s">
        <v>132</v>
      </c>
      <c r="S29" t="s">
        <v>39</v>
      </c>
      <c r="U29" s="6" t="s">
        <v>128</v>
      </c>
    </row>
    <row r="30" spans="1:21" ht="41.45">
      <c r="A30" s="6" t="s">
        <v>25</v>
      </c>
      <c r="B30" s="6" t="s">
        <v>33</v>
      </c>
      <c r="C30" s="6"/>
      <c r="D30" s="3" t="s">
        <v>133</v>
      </c>
      <c r="E30" s="6" t="s">
        <v>134</v>
      </c>
      <c r="F30" s="7" t="s">
        <v>36</v>
      </c>
      <c r="I30" s="7" t="s">
        <v>29</v>
      </c>
      <c r="J30" t="s">
        <v>135</v>
      </c>
      <c r="K30" s="17" t="str">
        <f>Table3[[#This Row],[Main Table]] &amp;"."&amp; Table3[[#This Row],[Main Field Name]]</f>
        <v>RBS_STRUCTURES.WA_INSPECT</v>
      </c>
      <c r="L30" s="17" t="str">
        <f>VLOOKUP(Table3[[#This Row],[Table and Field]],Table5[[Table and Field]:[Data Type]],3,FALSE)</f>
        <v>VARCHAR2(6),</v>
      </c>
      <c r="M30" s="32" t="s">
        <v>126</v>
      </c>
      <c r="N30" s="6" t="s">
        <v>136</v>
      </c>
      <c r="S30" t="s">
        <v>39</v>
      </c>
      <c r="U30" s="6" t="s">
        <v>128</v>
      </c>
    </row>
    <row r="31" spans="1:21" ht="41.45">
      <c r="A31" s="6" t="s">
        <v>25</v>
      </c>
      <c r="B31" s="6" t="s">
        <v>33</v>
      </c>
      <c r="C31" s="6"/>
      <c r="D31" s="3" t="s">
        <v>137</v>
      </c>
      <c r="E31" s="6" t="s">
        <v>138</v>
      </c>
      <c r="I31" s="7" t="s">
        <v>99</v>
      </c>
      <c r="J31" t="s">
        <v>100</v>
      </c>
      <c r="K31" s="17" t="str">
        <f>Table3[[#This Row],[Main Table]] &amp;"."&amp; Table3[[#This Row],[Main Field Name]]</f>
        <v>rbs_ref_tables.REFERENCE_DESCR1</v>
      </c>
      <c r="L31" s="17" t="s">
        <v>131</v>
      </c>
      <c r="M31" s="32" t="s">
        <v>126</v>
      </c>
      <c r="U31" s="6" t="s">
        <v>128</v>
      </c>
    </row>
    <row r="32" spans="1:21" ht="41.45">
      <c r="A32" s="6" t="s">
        <v>25</v>
      </c>
      <c r="B32" s="6" t="s">
        <v>33</v>
      </c>
      <c r="C32" s="6"/>
      <c r="D32" s="3" t="s">
        <v>139</v>
      </c>
      <c r="E32" s="6" t="s">
        <v>140</v>
      </c>
      <c r="F32" s="7" t="s">
        <v>36</v>
      </c>
      <c r="I32" s="7" t="s">
        <v>29</v>
      </c>
      <c r="J32" t="s">
        <v>141</v>
      </c>
      <c r="K32" s="17" t="str">
        <f>Table3[[#This Row],[Main Table]] &amp;"."&amp; Table3[[#This Row],[Main Field Name]]</f>
        <v>RBS_STRUCTURES.WA_MAINT</v>
      </c>
      <c r="L32" s="17" t="str">
        <f>VLOOKUP(Table3[[#This Row],[Table and Field]],Table5[[Table and Field]:[Data Type]],3,FALSE)</f>
        <v>VARCHAR2(6),</v>
      </c>
      <c r="M32" s="32" t="s">
        <v>126</v>
      </c>
      <c r="N32" s="6" t="s">
        <v>142</v>
      </c>
      <c r="S32" t="s">
        <v>39</v>
      </c>
      <c r="U32" s="6" t="s">
        <v>128</v>
      </c>
    </row>
    <row r="33" spans="1:21" ht="41.45">
      <c r="A33" s="6" t="s">
        <v>25</v>
      </c>
      <c r="B33" s="6" t="s">
        <v>33</v>
      </c>
      <c r="C33" s="6"/>
      <c r="D33" s="3" t="s">
        <v>143</v>
      </c>
      <c r="E33" s="6" t="s">
        <v>144</v>
      </c>
      <c r="I33" s="7" t="s">
        <v>99</v>
      </c>
      <c r="J33" t="s">
        <v>100</v>
      </c>
      <c r="K33" s="17" t="str">
        <f>Table3[[#This Row],[Main Table]] &amp;"."&amp; Table3[[#This Row],[Main Field Name]]</f>
        <v>rbs_ref_tables.REFERENCE_DESCR1</v>
      </c>
      <c r="L33" s="17" t="e">
        <f>VLOOKUP(Table3[[#This Row],[Table and Field]],Table5[[Table and Field]:[Data Type]],3,FALSE)</f>
        <v>#N/A</v>
      </c>
      <c r="M33" s="32" t="s">
        <v>126</v>
      </c>
      <c r="U33" s="6" t="s">
        <v>128</v>
      </c>
    </row>
    <row r="34" spans="1:21" ht="41.45">
      <c r="A34" s="6" t="s">
        <v>25</v>
      </c>
      <c r="B34" s="6" t="s">
        <v>33</v>
      </c>
      <c r="C34" s="6"/>
      <c r="D34" s="3" t="s">
        <v>145</v>
      </c>
      <c r="E34" s="6" t="s">
        <v>146</v>
      </c>
      <c r="I34" s="7" t="s">
        <v>29</v>
      </c>
      <c r="J34" t="s">
        <v>147</v>
      </c>
      <c r="K34" s="17" t="str">
        <f>Table3[[#This Row],[Main Table]] &amp;"."&amp; Table3[[#This Row],[Main Field Name]]</f>
        <v>RBS_STRUCTURES.OFFICE_ID</v>
      </c>
      <c r="L34" s="17" t="str">
        <f>VLOOKUP(Table3[[#This Row],[Table and Field]],Table5[[Table and Field]:[Data Type]],3,FALSE)</f>
        <v>NUMBER(4,0),</v>
      </c>
      <c r="S34" t="s">
        <v>39</v>
      </c>
      <c r="U34" s="6" t="s">
        <v>128</v>
      </c>
    </row>
    <row r="35" spans="1:21" ht="41.45">
      <c r="A35" s="6" t="s">
        <v>25</v>
      </c>
      <c r="B35" s="6" t="s">
        <v>33</v>
      </c>
      <c r="C35" s="6"/>
      <c r="D35" s="3" t="s">
        <v>148</v>
      </c>
      <c r="E35" s="6" t="s">
        <v>149</v>
      </c>
      <c r="I35" s="7" t="s">
        <v>29</v>
      </c>
      <c r="J35" t="s">
        <v>150</v>
      </c>
      <c r="K35" s="17" t="str">
        <f>Table3[[#This Row],[Main Table]] &amp;"."&amp; Table3[[#This Row],[Main Field Name]]</f>
        <v>RBS_STRUCTURES.BRIDGE_OFFICE_ID_INSPECT</v>
      </c>
      <c r="L35" s="17" t="str">
        <f>VLOOKUP(Table3[[#This Row],[Table and Field]],Table5[[Table and Field]:[Data Type]],3,FALSE)</f>
        <v>NUMBER(4,0),</v>
      </c>
      <c r="S35" t="s">
        <v>39</v>
      </c>
      <c r="U35" s="6" t="s">
        <v>128</v>
      </c>
    </row>
    <row r="36" spans="1:21" ht="41.45">
      <c r="A36" s="6" t="s">
        <v>25</v>
      </c>
      <c r="B36" s="6" t="s">
        <v>33</v>
      </c>
      <c r="C36" s="6"/>
      <c r="D36" s="3" t="s">
        <v>151</v>
      </c>
      <c r="E36" s="6" t="s">
        <v>152</v>
      </c>
      <c r="I36" s="7" t="s">
        <v>29</v>
      </c>
      <c r="J36" t="s">
        <v>153</v>
      </c>
      <c r="K36" s="17" t="str">
        <f>Table3[[#This Row],[Main Table]] &amp;"."&amp; Table3[[#This Row],[Main Field Name]]</f>
        <v>RBS_STRUCTURES.BRIDGE_OFFICE_ID_MAINT</v>
      </c>
      <c r="L36" s="17" t="str">
        <f>VLOOKUP(Table3[[#This Row],[Table and Field]],Table5[[Table and Field]:[Data Type]],3,FALSE)</f>
        <v>NUMBER(4,0),</v>
      </c>
      <c r="S36" t="s">
        <v>39</v>
      </c>
      <c r="U36" s="6" t="s">
        <v>128</v>
      </c>
    </row>
    <row r="37" spans="1:21" ht="41.45">
      <c r="A37" s="6" t="s">
        <v>25</v>
      </c>
      <c r="B37" s="6" t="s">
        <v>33</v>
      </c>
      <c r="C37" s="6"/>
      <c r="D37" s="3" t="s">
        <v>154</v>
      </c>
      <c r="E37" s="6" t="s">
        <v>155</v>
      </c>
      <c r="I37" s="7" t="s">
        <v>29</v>
      </c>
      <c r="J37" t="s">
        <v>147</v>
      </c>
      <c r="K37" s="17" t="str">
        <f>Table3[[#This Row],[Main Table]] &amp;"."&amp; Table3[[#This Row],[Main Field Name]]</f>
        <v>RBS_STRUCTURES.OFFICE_ID</v>
      </c>
      <c r="L37" s="17" t="str">
        <f>VLOOKUP(Table3[[#This Row],[Table and Field]],Table5[[Table and Field]:[Data Type]],3,FALSE)</f>
        <v>NUMBER(4,0),</v>
      </c>
      <c r="M37" s="32" t="s">
        <v>156</v>
      </c>
      <c r="S37" t="s">
        <v>39</v>
      </c>
      <c r="U37" s="6" t="s">
        <v>128</v>
      </c>
    </row>
    <row r="38" spans="1:21" ht="41.45">
      <c r="A38" s="6" t="s">
        <v>25</v>
      </c>
      <c r="B38" s="6" t="s">
        <v>33</v>
      </c>
      <c r="C38" s="6"/>
      <c r="D38" s="3" t="s">
        <v>157</v>
      </c>
      <c r="E38" s="6" t="s">
        <v>158</v>
      </c>
      <c r="I38" s="7" t="s">
        <v>29</v>
      </c>
      <c r="J38" t="s">
        <v>150</v>
      </c>
      <c r="K38" s="17" t="str">
        <f>Table3[[#This Row],[Main Table]] &amp;"."&amp; Table3[[#This Row],[Main Field Name]]</f>
        <v>RBS_STRUCTURES.BRIDGE_OFFICE_ID_INSPECT</v>
      </c>
      <c r="L38" s="17" t="str">
        <f>VLOOKUP(Table3[[#This Row],[Table and Field]],Table5[[Table and Field]:[Data Type]],3,FALSE)</f>
        <v>NUMBER(4,0),</v>
      </c>
      <c r="M38" s="32" t="s">
        <v>156</v>
      </c>
      <c r="S38" t="s">
        <v>39</v>
      </c>
      <c r="U38" s="6" t="s">
        <v>128</v>
      </c>
    </row>
    <row r="39" spans="1:21" ht="41.45">
      <c r="A39" s="6" t="s">
        <v>25</v>
      </c>
      <c r="B39" s="6" t="s">
        <v>33</v>
      </c>
      <c r="C39" s="6"/>
      <c r="D39" s="3" t="s">
        <v>159</v>
      </c>
      <c r="E39" s="6" t="s">
        <v>160</v>
      </c>
      <c r="I39" s="7" t="s">
        <v>29</v>
      </c>
      <c r="J39" t="s">
        <v>153</v>
      </c>
      <c r="K39" s="17" t="str">
        <f>Table3[[#This Row],[Main Table]] &amp;"."&amp; Table3[[#This Row],[Main Field Name]]</f>
        <v>RBS_STRUCTURES.BRIDGE_OFFICE_ID_MAINT</v>
      </c>
      <c r="L39" s="17" t="str">
        <f>VLOOKUP(Table3[[#This Row],[Table and Field]],Table5[[Table and Field]:[Data Type]],3,FALSE)</f>
        <v>NUMBER(4,0),</v>
      </c>
      <c r="M39" s="32" t="s">
        <v>156</v>
      </c>
      <c r="S39" t="s">
        <v>39</v>
      </c>
      <c r="U39" s="6" t="s">
        <v>128</v>
      </c>
    </row>
    <row r="40" spans="1:21" ht="27.6">
      <c r="A40" s="6" t="s">
        <v>25</v>
      </c>
      <c r="B40" s="6" t="s">
        <v>33</v>
      </c>
      <c r="C40" s="6" t="s">
        <v>161</v>
      </c>
      <c r="D40" s="3" t="s">
        <v>162</v>
      </c>
      <c r="E40" s="6" t="s">
        <v>46</v>
      </c>
      <c r="I40" s="7" t="s">
        <v>29</v>
      </c>
      <c r="J40" t="s">
        <v>163</v>
      </c>
      <c r="K40" s="17" t="str">
        <f>Table3[[#This Row],[Main Table]] &amp;"."&amp; Table3[[#This Row],[Main Field Name]]</f>
        <v>RBS_STRUCTURES.LATITUDE</v>
      </c>
      <c r="L40" s="17" t="str">
        <f>VLOOKUP(Table3[[#This Row],[Table and Field]],Table5[[Table and Field]:[Data Type]],3,FALSE)</f>
        <v>NUMBER(8,5),</v>
      </c>
      <c r="S40" t="s">
        <v>39</v>
      </c>
      <c r="U40" s="6" t="s">
        <v>164</v>
      </c>
    </row>
    <row r="41" spans="1:21" ht="27.6">
      <c r="A41" s="6" t="s">
        <v>25</v>
      </c>
      <c r="B41" s="6" t="s">
        <v>33</v>
      </c>
      <c r="C41" s="6" t="s">
        <v>161</v>
      </c>
      <c r="D41" s="3" t="s">
        <v>165</v>
      </c>
      <c r="E41" s="6" t="s">
        <v>46</v>
      </c>
      <c r="I41" s="7" t="s">
        <v>29</v>
      </c>
      <c r="J41" t="s">
        <v>166</v>
      </c>
      <c r="K41" s="17" t="str">
        <f>Table3[[#This Row],[Main Table]] &amp;"."&amp; Table3[[#This Row],[Main Field Name]]</f>
        <v>RBS_STRUCTURES.LONGITUDE</v>
      </c>
      <c r="L41" s="17" t="str">
        <f>VLOOKUP(Table3[[#This Row],[Table and Field]],Table5[[Table and Field]:[Data Type]],3,FALSE)</f>
        <v>NUMBER(8,5),</v>
      </c>
      <c r="S41" t="s">
        <v>39</v>
      </c>
      <c r="U41" s="6" t="s">
        <v>167</v>
      </c>
    </row>
    <row r="42" spans="1:21" ht="27.6">
      <c r="A42" s="6" t="s">
        <v>25</v>
      </c>
      <c r="B42" s="6" t="s">
        <v>33</v>
      </c>
      <c r="C42" s="6" t="s">
        <v>168</v>
      </c>
      <c r="D42" s="3" t="s">
        <v>168</v>
      </c>
      <c r="E42" s="6" t="s">
        <v>169</v>
      </c>
      <c r="I42" s="7" t="s">
        <v>29</v>
      </c>
      <c r="J42" t="s">
        <v>168</v>
      </c>
      <c r="K42" s="17" t="str">
        <f>Table3[[#This Row],[Main Table]] &amp;"."&amp; Table3[[#This Row],[Main Field Name]]</f>
        <v>RBS_STRUCTURES.AADT</v>
      </c>
      <c r="L42" s="17" t="str">
        <f>VLOOKUP(Table3[[#This Row],[Table and Field]],Table5[[Table and Field]:[Data Type]],3,FALSE)</f>
        <v>NUMBER,</v>
      </c>
      <c r="P42">
        <v>1</v>
      </c>
      <c r="S42" t="s">
        <v>39</v>
      </c>
    </row>
    <row r="43" spans="1:21" ht="27.6">
      <c r="A43" s="6" t="s">
        <v>25</v>
      </c>
      <c r="B43" s="6" t="s">
        <v>33</v>
      </c>
      <c r="C43" s="6" t="s">
        <v>168</v>
      </c>
      <c r="D43" s="3" t="s">
        <v>170</v>
      </c>
      <c r="E43" s="6" t="s">
        <v>170</v>
      </c>
      <c r="I43" s="7" t="s">
        <v>29</v>
      </c>
      <c r="J43" t="s">
        <v>171</v>
      </c>
      <c r="K43" s="17" t="str">
        <f>Table3[[#This Row],[Main Table]] &amp;"."&amp; Table3[[#This Row],[Main Field Name]]</f>
        <v>RBS_STRUCTURES.AADT_YR</v>
      </c>
      <c r="L43" s="17" t="str">
        <f>VLOOKUP(Table3[[#This Row],[Table and Field]],Table5[[Table and Field]:[Data Type]],3,FALSE)</f>
        <v>NUMBER(4,0),</v>
      </c>
      <c r="P43">
        <v>1</v>
      </c>
      <c r="S43" t="s">
        <v>39</v>
      </c>
    </row>
    <row r="44" spans="1:21" ht="27.6">
      <c r="A44" s="6" t="s">
        <v>25</v>
      </c>
      <c r="B44" s="6" t="s">
        <v>33</v>
      </c>
      <c r="C44" s="6" t="s">
        <v>168</v>
      </c>
      <c r="D44" s="3" t="s">
        <v>172</v>
      </c>
      <c r="E44" s="6" t="s">
        <v>173</v>
      </c>
      <c r="I44" s="7" t="s">
        <v>29</v>
      </c>
      <c r="J44" t="s">
        <v>174</v>
      </c>
      <c r="K44" s="17" t="str">
        <f>Table3[[#This Row],[Main Table]] &amp;"."&amp; Table3[[#This Row],[Main Field Name]]</f>
        <v>RBS_STRUCTURES.AADT_GROWTH</v>
      </c>
      <c r="L44" s="17" t="str">
        <f>VLOOKUP(Table3[[#This Row],[Table and Field]],Table5[[Table and Field]:[Data Type]],3,FALSE)</f>
        <v>NUMBER(2,0),</v>
      </c>
      <c r="P44">
        <v>1</v>
      </c>
      <c r="S44" t="s">
        <v>39</v>
      </c>
    </row>
    <row r="45" spans="1:21" ht="27.6">
      <c r="A45" s="6" t="s">
        <v>25</v>
      </c>
      <c r="B45" s="6" t="s">
        <v>33</v>
      </c>
      <c r="C45" s="6" t="s">
        <v>168</v>
      </c>
      <c r="D45" s="3" t="s">
        <v>175</v>
      </c>
      <c r="E45" s="6" t="s">
        <v>176</v>
      </c>
      <c r="I45" s="7" t="s">
        <v>29</v>
      </c>
      <c r="J45" t="s">
        <v>177</v>
      </c>
      <c r="K45" s="17" t="str">
        <f>Table3[[#This Row],[Main Table]] &amp;"."&amp; Table3[[#This Row],[Main Field Name]]</f>
        <v>RBS_STRUCTURES.AADT_PERCENTAGE_HEAVY</v>
      </c>
      <c r="L45" s="17" t="str">
        <f>VLOOKUP(Table3[[#This Row],[Table and Field]],Table5[[Table and Field]:[Data Type]],3,FALSE)</f>
        <v>NUMBER(3,0),</v>
      </c>
      <c r="P45">
        <v>1</v>
      </c>
      <c r="S45" t="s">
        <v>39</v>
      </c>
    </row>
    <row r="46" spans="1:21" ht="82.9">
      <c r="A46" s="6" t="s">
        <v>25</v>
      </c>
      <c r="B46" s="6" t="s">
        <v>33</v>
      </c>
      <c r="C46" s="6"/>
      <c r="D46" s="3" t="s">
        <v>178</v>
      </c>
      <c r="E46" s="6" t="s">
        <v>179</v>
      </c>
      <c r="F46" s="7" t="s">
        <v>36</v>
      </c>
      <c r="I46" s="7" t="s">
        <v>29</v>
      </c>
      <c r="J46" t="s">
        <v>180</v>
      </c>
      <c r="K46" s="17" t="str">
        <f>Table3[[#This Row],[Main Table]] &amp;"."&amp; Table3[[#This Row],[Main Field Name]]</f>
        <v>RBS_STRUCTURES.FACI_TYPE_CODE</v>
      </c>
      <c r="L46" s="17" t="str">
        <f>VLOOKUP(Table3[[#This Row],[Table and Field]],Table5[[Table and Field]:[Data Type]],3,FALSE)</f>
        <v>VARCHAR2(6),</v>
      </c>
      <c r="M46" s="32" t="s">
        <v>181</v>
      </c>
      <c r="N46" s="6" t="s">
        <v>182</v>
      </c>
      <c r="S46" t="s">
        <v>39</v>
      </c>
    </row>
    <row r="47" spans="1:21" ht="36.6">
      <c r="A47" s="6" t="s">
        <v>25</v>
      </c>
      <c r="B47" s="6" t="s">
        <v>33</v>
      </c>
      <c r="C47" s="6"/>
      <c r="D47" s="3" t="s">
        <v>183</v>
      </c>
      <c r="E47" s="6" t="s">
        <v>184</v>
      </c>
      <c r="F47" s="7" t="s">
        <v>36</v>
      </c>
      <c r="I47" s="7" t="s">
        <v>99</v>
      </c>
      <c r="J47" t="s">
        <v>100</v>
      </c>
      <c r="K47" s="17" t="str">
        <f>Table3[[#This Row],[Main Table]] &amp;"."&amp; Table3[[#This Row],[Main Field Name]]</f>
        <v>rbs_ref_tables.REFERENCE_DESCR1</v>
      </c>
      <c r="L47" s="17" t="e">
        <f>VLOOKUP(Table3[[#This Row],[Table and Field]],Table5[[Table and Field]:[Data Type]],3,FALSE)</f>
        <v>#N/A</v>
      </c>
      <c r="M47" s="32" t="s">
        <v>181</v>
      </c>
      <c r="N47" s="6" t="s">
        <v>185</v>
      </c>
      <c r="S47" t="s">
        <v>39</v>
      </c>
    </row>
    <row r="48" spans="1:21" ht="27.6">
      <c r="A48" s="6" t="s">
        <v>25</v>
      </c>
      <c r="B48" s="6" t="s">
        <v>33</v>
      </c>
      <c r="C48" s="6"/>
      <c r="D48" s="3" t="s">
        <v>186</v>
      </c>
      <c r="E48" s="6" t="s">
        <v>187</v>
      </c>
      <c r="I48" s="7" t="s">
        <v>29</v>
      </c>
      <c r="J48" t="s">
        <v>188</v>
      </c>
      <c r="K48" s="17" t="str">
        <f>Table3[[#This Row],[Main Table]] &amp;"."&amp; Table3[[#This Row],[Main Field Name]]</f>
        <v>RBS_STRUCTURES.BRIDGE_COMMENT</v>
      </c>
      <c r="L48" s="17" t="str">
        <f>VLOOKUP(Table3[[#This Row],[Table and Field]],Table5[[Table and Field]:[Data Type]],3,FALSE)</f>
        <v>VARCHAR2(1000),</v>
      </c>
      <c r="S48" t="s">
        <v>39</v>
      </c>
    </row>
    <row r="49" spans="1:19" ht="82.9">
      <c r="A49" s="6" t="s">
        <v>25</v>
      </c>
      <c r="B49" s="6" t="s">
        <v>33</v>
      </c>
      <c r="C49" s="6"/>
      <c r="D49" s="3" t="s">
        <v>189</v>
      </c>
      <c r="E49" s="6" t="s">
        <v>189</v>
      </c>
      <c r="F49" s="7" t="s">
        <v>56</v>
      </c>
      <c r="I49" s="7" t="s">
        <v>29</v>
      </c>
      <c r="J49" t="s">
        <v>190</v>
      </c>
      <c r="K49" s="17" t="str">
        <f>Table3[[#This Row],[Main Table]] &amp;"."&amp; Table3[[#This Row],[Main Field Name]]</f>
        <v>RBS_STRUCTURES.brdg_type_code</v>
      </c>
      <c r="L49" s="17" t="str">
        <f>VLOOKUP(Table3[[#This Row],[Table and Field]],Table5[[Table and Field]:[Data Type]],3,FALSE)</f>
        <v>VARCHAR2(5),</v>
      </c>
      <c r="M49" s="33" t="s">
        <v>191</v>
      </c>
      <c r="N49" s="6" t="s">
        <v>192</v>
      </c>
      <c r="S49" t="s">
        <v>39</v>
      </c>
    </row>
    <row r="50" spans="1:19" ht="55.15">
      <c r="A50" s="6" t="s">
        <v>25</v>
      </c>
      <c r="B50" s="6" t="s">
        <v>33</v>
      </c>
      <c r="C50" s="6"/>
      <c r="D50" s="3" t="s">
        <v>193</v>
      </c>
      <c r="E50" s="6" t="s">
        <v>194</v>
      </c>
      <c r="I50" s="7"/>
      <c r="K50" s="17" t="str">
        <f>Table3[[#This Row],[Main Table]] &amp;"."&amp; Table3[[#This Row],[Main Field Name]]</f>
        <v>.</v>
      </c>
      <c r="L50" s="17" t="e">
        <f>VLOOKUP(Table3[[#This Row],[Table and Field]],Table5[[Table and Field]:[Data Type]],3,FALSE)</f>
        <v>#N/A</v>
      </c>
      <c r="N50" s="6" t="s">
        <v>194</v>
      </c>
      <c r="S50" t="s">
        <v>39</v>
      </c>
    </row>
    <row r="51" spans="1:19" ht="43.15">
      <c r="A51" s="6" t="s">
        <v>25</v>
      </c>
      <c r="B51" s="6" t="s">
        <v>33</v>
      </c>
      <c r="C51" s="6"/>
      <c r="D51" s="3" t="s">
        <v>195</v>
      </c>
      <c r="E51" s="6" t="s">
        <v>196</v>
      </c>
      <c r="I51" s="7" t="s">
        <v>29</v>
      </c>
      <c r="J51" t="s">
        <v>197</v>
      </c>
      <c r="K51" s="17" t="str">
        <f>Table3[[#This Row],[Main Table]] &amp;"."&amp; Table3[[#This Row],[Main Field Name]]</f>
        <v>RBS_STRUCTURES.CULVERT_HT_OF_FILL</v>
      </c>
      <c r="L51" s="17" t="str">
        <f>VLOOKUP(Table3[[#This Row],[Table and Field]],Table5[[Table and Field]:[Data Type]],3,FALSE)</f>
        <v>NUMBER(4,2),</v>
      </c>
      <c r="Q51">
        <v>1</v>
      </c>
      <c r="S51" t="s">
        <v>39</v>
      </c>
    </row>
    <row r="52" spans="1:19" ht="27.6">
      <c r="A52" s="6" t="s">
        <v>25</v>
      </c>
      <c r="B52" s="6" t="s">
        <v>33</v>
      </c>
      <c r="C52" s="6"/>
      <c r="D52" s="3" t="s">
        <v>198</v>
      </c>
      <c r="E52" s="6" t="s">
        <v>199</v>
      </c>
      <c r="I52" s="7" t="s">
        <v>29</v>
      </c>
      <c r="J52" t="s">
        <v>200</v>
      </c>
      <c r="K52" s="17" t="str">
        <f>Table3[[#This Row],[Main Table]] &amp;"."&amp; Table3[[#This Row],[Main Field Name]]</f>
        <v>RBS_STRUCTURES.DECK_LEVEL_IN_AHD</v>
      </c>
      <c r="L52" s="17" t="str">
        <f>VLOOKUP(Table3[[#This Row],[Table and Field]],Table5[[Table and Field]:[Data Type]],3,FALSE)</f>
        <v>VARCHAR2(500),</v>
      </c>
      <c r="S52" t="s">
        <v>39</v>
      </c>
    </row>
    <row r="53" spans="1:19" ht="28.9">
      <c r="A53" s="6" t="s">
        <v>25</v>
      </c>
      <c r="B53" s="6" t="s">
        <v>33</v>
      </c>
      <c r="C53" s="6"/>
      <c r="D53" s="3" t="s">
        <v>201</v>
      </c>
      <c r="I53" s="7" t="s">
        <v>29</v>
      </c>
      <c r="J53" t="s">
        <v>202</v>
      </c>
      <c r="K53" s="17" t="str">
        <f>Table3[[#This Row],[Main Table]] &amp;"."&amp; Table3[[#This Row],[Main Field Name]]</f>
        <v>RBS_STRUCTURES.MINE_SUBSID_AREA_YN</v>
      </c>
      <c r="L53" s="17" t="str">
        <f>VLOOKUP(Table3[[#This Row],[Table and Field]],Table5[[Table and Field]:[Data Type]],3,FALSE)</f>
        <v>VARCHAR2(2)</v>
      </c>
      <c r="N53" s="6" t="s">
        <v>203</v>
      </c>
      <c r="S53" t="s">
        <v>39</v>
      </c>
    </row>
    <row r="54" spans="1:19" ht="28.9">
      <c r="A54" s="6" t="s">
        <v>25</v>
      </c>
      <c r="B54" s="6" t="s">
        <v>33</v>
      </c>
      <c r="C54" s="6"/>
      <c r="D54" s="3" t="s">
        <v>204</v>
      </c>
      <c r="I54" s="7" t="s">
        <v>29</v>
      </c>
      <c r="J54" t="s">
        <v>205</v>
      </c>
      <c r="K54" s="17" t="str">
        <f>Table3[[#This Row],[Main Table]] &amp;"."&amp; Table3[[#This Row],[Main Field Name]]</f>
        <v>RBS_STRUCTURES.DEEMED_STATE_WORK_YN</v>
      </c>
      <c r="L54" s="17" t="str">
        <f>VLOOKUP(Table3[[#This Row],[Table and Field]],Table5[[Table and Field]:[Data Type]],3,FALSE)</f>
        <v>VARCHAR2(1)</v>
      </c>
      <c r="N54" s="6" t="s">
        <v>203</v>
      </c>
      <c r="S54" t="s">
        <v>39</v>
      </c>
    </row>
    <row r="55" spans="1:19" ht="28.9">
      <c r="A55" s="6" t="s">
        <v>25</v>
      </c>
      <c r="B55" s="6" t="s">
        <v>33</v>
      </c>
      <c r="C55" s="6"/>
      <c r="D55" s="3" t="s">
        <v>206</v>
      </c>
      <c r="I55" s="7" t="s">
        <v>29</v>
      </c>
      <c r="J55" t="s">
        <v>207</v>
      </c>
      <c r="K55" s="17" t="str">
        <f>Table3[[#This Row],[Main Table]] &amp;"."&amp; Table3[[#This Row],[Main Field Name]]</f>
        <v>RBS_STRUCTURES.BORDER_BRDG_YN</v>
      </c>
      <c r="L55" s="17" t="str">
        <f>VLOOKUP(Table3[[#This Row],[Table and Field]],Table5[[Table and Field]:[Data Type]],3,FALSE)</f>
        <v>VARCHAR2(1)</v>
      </c>
      <c r="N55" s="6" t="s">
        <v>203</v>
      </c>
      <c r="S55" t="s">
        <v>39</v>
      </c>
    </row>
    <row r="56" spans="1:19" ht="28.9">
      <c r="A56" s="6" t="s">
        <v>25</v>
      </c>
      <c r="B56" s="6" t="s">
        <v>33</v>
      </c>
      <c r="C56" s="6"/>
      <c r="D56" s="3" t="s">
        <v>208</v>
      </c>
      <c r="I56" s="7" t="s">
        <v>29</v>
      </c>
      <c r="J56" t="s">
        <v>209</v>
      </c>
      <c r="K56" s="17" t="str">
        <f>Table3[[#This Row],[Main Table]] &amp;"."&amp; Table3[[#This Row],[Main Field Name]]</f>
        <v>RBS_STRUCTURES.UNDERWATER_YN</v>
      </c>
      <c r="L56" s="17" t="str">
        <f>VLOOKUP(Table3[[#This Row],[Table and Field]],Table5[[Table and Field]:[Data Type]],3,FALSE)</f>
        <v>VARCHAR2(1)</v>
      </c>
      <c r="N56" s="6" t="s">
        <v>203</v>
      </c>
      <c r="S56" t="s">
        <v>39</v>
      </c>
    </row>
    <row r="57" spans="1:19" ht="27.6">
      <c r="A57" s="6" t="s">
        <v>25</v>
      </c>
      <c r="B57" s="6" t="s">
        <v>33</v>
      </c>
      <c r="C57" s="6"/>
      <c r="D57" s="3" t="s">
        <v>210</v>
      </c>
      <c r="I57" s="7" t="s">
        <v>29</v>
      </c>
      <c r="J57" t="s">
        <v>211</v>
      </c>
      <c r="K57" s="17" t="str">
        <f>Table3[[#This Row],[Main Table]] &amp;"."&amp; Table3[[#This Row],[Main Field Name]]</f>
        <v>RBS_STRUCTURES.STEP_JOINT_YN</v>
      </c>
      <c r="L57" s="17" t="str">
        <f>VLOOKUP(Table3[[#This Row],[Table and Field]],Table5[[Table and Field]:[Data Type]],3,FALSE)</f>
        <v>VARCHAR2(1)</v>
      </c>
      <c r="N57" s="6" t="s">
        <v>203</v>
      </c>
      <c r="S57" t="s">
        <v>39</v>
      </c>
    </row>
    <row r="58" spans="1:19" ht="28.9">
      <c r="A58" s="6" t="s">
        <v>25</v>
      </c>
      <c r="B58" s="6" t="s">
        <v>33</v>
      </c>
      <c r="C58" s="6"/>
      <c r="D58" s="3" t="s">
        <v>212</v>
      </c>
      <c r="I58" s="7" t="s">
        <v>29</v>
      </c>
      <c r="J58" t="s">
        <v>213</v>
      </c>
      <c r="K58" s="17" t="str">
        <f>Table3[[#This Row],[Main Table]] &amp;"."&amp; Table3[[#This Row],[Main Field Name]]</f>
        <v>RBS_STRUCTURES.B_DOUBLE_RD_YN</v>
      </c>
      <c r="L58" s="17" t="str">
        <f>VLOOKUP(Table3[[#This Row],[Table and Field]],Table5[[Table and Field]:[Data Type]],3,FALSE)</f>
        <v>VARCHAR2(1),</v>
      </c>
      <c r="N58" s="6" t="s">
        <v>203</v>
      </c>
      <c r="R58">
        <v>1</v>
      </c>
      <c r="S58" t="s">
        <v>39</v>
      </c>
    </row>
    <row r="59" spans="1:19" ht="28.9">
      <c r="A59" s="6" t="s">
        <v>25</v>
      </c>
      <c r="B59" s="6" t="s">
        <v>33</v>
      </c>
      <c r="C59" s="6"/>
      <c r="D59" s="3" t="s">
        <v>214</v>
      </c>
      <c r="I59" s="7" t="s">
        <v>29</v>
      </c>
      <c r="J59" t="s">
        <v>215</v>
      </c>
      <c r="K59" s="17" t="str">
        <f>Table3[[#This Row],[Main Table]] &amp;"."&amp; Table3[[#This Row],[Main Field Name]]</f>
        <v>RBS_STRUCTURES.COMPLEX_UNUSUAL_YN</v>
      </c>
      <c r="L59" s="17" t="str">
        <f>VLOOKUP(Table3[[#This Row],[Table and Field]],Table5[[Table and Field]:[Data Type]],3,FALSE)</f>
        <v>VARCHAR2(1)</v>
      </c>
      <c r="N59" s="6" t="s">
        <v>203</v>
      </c>
      <c r="S59" t="s">
        <v>39</v>
      </c>
    </row>
    <row r="60" spans="1:19" ht="28.9">
      <c r="A60" s="6" t="s">
        <v>25</v>
      </c>
      <c r="B60" s="6" t="s">
        <v>33</v>
      </c>
      <c r="C60" s="6"/>
      <c r="D60" s="3" t="s">
        <v>216</v>
      </c>
      <c r="I60" s="7" t="s">
        <v>29</v>
      </c>
      <c r="J60" t="s">
        <v>217</v>
      </c>
      <c r="K60" s="17" t="str">
        <f>Table3[[#This Row],[Main Table]] &amp;"."&amp; Table3[[#This Row],[Main Field Name]]</f>
        <v>RBS_STRUCTURES.LARGE_BEARING_YN</v>
      </c>
      <c r="L60" s="17" t="str">
        <f>VLOOKUP(Table3[[#This Row],[Table and Field]],Table5[[Table and Field]:[Data Type]],3,FALSE)</f>
        <v>VARCHAR2(1)</v>
      </c>
      <c r="N60" s="6" t="s">
        <v>203</v>
      </c>
      <c r="S60" t="s">
        <v>39</v>
      </c>
    </row>
    <row r="61" spans="1:19" ht="28.9">
      <c r="A61" s="6" t="s">
        <v>25</v>
      </c>
      <c r="B61" s="6" t="s">
        <v>33</v>
      </c>
      <c r="C61" s="6"/>
      <c r="D61" s="3" t="s">
        <v>218</v>
      </c>
      <c r="I61" s="7" t="s">
        <v>29</v>
      </c>
      <c r="J61" t="s">
        <v>219</v>
      </c>
      <c r="K61" s="17" t="str">
        <f>Table3[[#This Row],[Main Table]] &amp;"."&amp; Table3[[#This Row],[Main Field Name]]</f>
        <v>RBS_STRUCTURES.LARGE_DECKJOINT_YN</v>
      </c>
      <c r="L61" s="17" t="str">
        <f>VLOOKUP(Table3[[#This Row],[Table and Field]],Table5[[Table and Field]:[Data Type]],3,FALSE)</f>
        <v>VARCHAR2(1)</v>
      </c>
      <c r="N61" s="6" t="s">
        <v>203</v>
      </c>
      <c r="S61" t="s">
        <v>39</v>
      </c>
    </row>
    <row r="62" spans="1:19" ht="27.6">
      <c r="A62" s="6" t="s">
        <v>25</v>
      </c>
      <c r="B62" s="6" t="s">
        <v>33</v>
      </c>
      <c r="C62" s="6"/>
      <c r="D62" s="3" t="s">
        <v>220</v>
      </c>
      <c r="I62" s="7" t="s">
        <v>29</v>
      </c>
      <c r="J62" t="s">
        <v>221</v>
      </c>
      <c r="K62" s="17" t="str">
        <f>Table3[[#This Row],[Main Table]] &amp;"."&amp; Table3[[#This Row],[Main Field Name]]</f>
        <v>RBS_STRUCTURES.WROUGHT_IRON</v>
      </c>
      <c r="L62" s="17" t="str">
        <f>VLOOKUP(Table3[[#This Row],[Table and Field]],Table5[[Table and Field]:[Data Type]],3,FALSE)</f>
        <v>VARCHAR2(1)</v>
      </c>
      <c r="N62" s="6" t="s">
        <v>203</v>
      </c>
      <c r="S62" t="s">
        <v>39</v>
      </c>
    </row>
    <row r="63" spans="1:19" ht="27.6">
      <c r="A63" s="6" t="s">
        <v>25</v>
      </c>
      <c r="B63" s="6" t="s">
        <v>33</v>
      </c>
      <c r="C63" s="6"/>
      <c r="D63" s="3" t="s">
        <v>222</v>
      </c>
      <c r="I63" s="7" t="s">
        <v>29</v>
      </c>
      <c r="J63" t="s">
        <v>223</v>
      </c>
      <c r="K63" s="17" t="str">
        <f>Table3[[#This Row],[Main Table]] &amp;"."&amp; Table3[[#This Row],[Main Field Name]]</f>
        <v>RBS_STRUCTURES.CONFINED_SPACE</v>
      </c>
      <c r="L63" s="17" t="str">
        <f>VLOOKUP(Table3[[#This Row],[Table and Field]],Table5[[Table and Field]:[Data Type]],3,FALSE)</f>
        <v>VARCHAR2(2),</v>
      </c>
      <c r="N63" s="6" t="s">
        <v>203</v>
      </c>
      <c r="S63" t="s">
        <v>39</v>
      </c>
    </row>
    <row r="64" spans="1:19" ht="27.6">
      <c r="A64" s="6" t="s">
        <v>25</v>
      </c>
      <c r="B64" s="6" t="s">
        <v>33</v>
      </c>
      <c r="C64" s="6"/>
      <c r="D64" s="3" t="s">
        <v>224</v>
      </c>
      <c r="I64" s="7" t="s">
        <v>29</v>
      </c>
      <c r="J64" t="s">
        <v>225</v>
      </c>
      <c r="K64" s="17" t="str">
        <f>Table3[[#This Row],[Main Table]] &amp;"."&amp; Table3[[#This Row],[Main Field Name]]</f>
        <v>RBS_STRUCTURES.POTENTIAL_HIGH_RISK_YN</v>
      </c>
      <c r="L64" s="17" t="str">
        <f>VLOOKUP(Table3[[#This Row],[Table and Field]],Table5[[Table and Field]:[Data Type]],3,FALSE)</f>
        <v>VARCHAR2(1),</v>
      </c>
      <c r="N64" s="6" t="s">
        <v>203</v>
      </c>
      <c r="S64" t="s">
        <v>39</v>
      </c>
    </row>
    <row r="65" spans="1:19" ht="28.9">
      <c r="A65" s="6" t="s">
        <v>25</v>
      </c>
      <c r="B65" s="6" t="s">
        <v>33</v>
      </c>
      <c r="C65" s="6"/>
      <c r="D65" s="3" t="s">
        <v>226</v>
      </c>
      <c r="I65" s="7" t="s">
        <v>29</v>
      </c>
      <c r="J65" t="s">
        <v>227</v>
      </c>
      <c r="K65" s="17" t="str">
        <f>Table3[[#This Row],[Main Table]] &amp;"."&amp; Table3[[#This Row],[Main Field Name]]</f>
        <v>RBS_STRUCTURES.VEH_TRAFFIC_YN</v>
      </c>
      <c r="L65" s="17" t="str">
        <f>VLOOKUP(Table3[[#This Row],[Table and Field]],Table5[[Table and Field]:[Data Type]],3,FALSE)</f>
        <v>VARCHAR2(1)</v>
      </c>
      <c r="N65" s="6" t="s">
        <v>203</v>
      </c>
      <c r="S65" t="s">
        <v>39</v>
      </c>
    </row>
    <row r="66" spans="1:19" ht="27.6">
      <c r="A66" s="6" t="s">
        <v>25</v>
      </c>
      <c r="B66" s="6" t="s">
        <v>33</v>
      </c>
      <c r="C66" s="6"/>
      <c r="D66" s="3" t="s">
        <v>228</v>
      </c>
      <c r="I66" s="7" t="s">
        <v>29</v>
      </c>
      <c r="J66" t="s">
        <v>229</v>
      </c>
      <c r="K66" s="17" t="str">
        <f>Table3[[#This Row],[Main Table]] &amp;"."&amp; Table3[[#This Row],[Main Field Name]]</f>
        <v>RBS_STRUCTURES.SAFE_SCREEN_INSTALLED_YN</v>
      </c>
      <c r="L66" s="17" t="str">
        <f>VLOOKUP(Table3[[#This Row],[Table and Field]],Table5[[Table and Field]:[Data Type]],3,FALSE)</f>
        <v>VARCHAR2(1)</v>
      </c>
      <c r="N66" s="6" t="s">
        <v>203</v>
      </c>
      <c r="S66" t="s">
        <v>39</v>
      </c>
    </row>
    <row r="67" spans="1:19" ht="27.6">
      <c r="A67" s="6" t="s">
        <v>25</v>
      </c>
      <c r="B67" s="6" t="s">
        <v>33</v>
      </c>
      <c r="C67" s="6"/>
      <c r="D67" s="3" t="s">
        <v>230</v>
      </c>
      <c r="I67" s="7" t="s">
        <v>29</v>
      </c>
      <c r="J67" t="s">
        <v>231</v>
      </c>
      <c r="K67" s="17" t="str">
        <f>Table3[[#This Row],[Main Table]] &amp;"."&amp; Table3[[#This Row],[Main Field Name]]</f>
        <v>RBS_STRUCTURES.LIFT_INSTALLED_YN</v>
      </c>
      <c r="L67" s="17" t="str">
        <f>VLOOKUP(Table3[[#This Row],[Table and Field]],Table5[[Table and Field]:[Data Type]],3,FALSE)</f>
        <v>VARCHAR2(1)</v>
      </c>
      <c r="N67" s="6" t="s">
        <v>203</v>
      </c>
      <c r="S67" t="s">
        <v>39</v>
      </c>
    </row>
    <row r="68" spans="1:19" ht="28.9">
      <c r="A68" s="6" t="s">
        <v>25</v>
      </c>
      <c r="B68" s="6" t="s">
        <v>33</v>
      </c>
      <c r="C68" s="6"/>
      <c r="D68" s="3" t="s">
        <v>232</v>
      </c>
      <c r="I68" s="7" t="s">
        <v>29</v>
      </c>
      <c r="J68" t="s">
        <v>233</v>
      </c>
      <c r="K68" s="17" t="str">
        <f>Table3[[#This Row],[Main Table]] &amp;"."&amp; Table3[[#This Row],[Main Field Name]]</f>
        <v>RBS_STRUCTURES.PED_USE_YN</v>
      </c>
      <c r="L68" s="17" t="str">
        <f>VLOOKUP(Table3[[#This Row],[Table and Field]],Table5[[Table and Field]:[Data Type]],3,FALSE)</f>
        <v>VARCHAR2(1),</v>
      </c>
      <c r="N68" s="6" t="s">
        <v>203</v>
      </c>
      <c r="S68" t="s">
        <v>39</v>
      </c>
    </row>
    <row r="69" spans="1:19" ht="27.6">
      <c r="A69" s="6" t="s">
        <v>25</v>
      </c>
      <c r="B69" s="6" t="s">
        <v>33</v>
      </c>
      <c r="C69" s="6"/>
      <c r="D69" s="3" t="s">
        <v>234</v>
      </c>
      <c r="I69" s="7" t="s">
        <v>29</v>
      </c>
      <c r="J69" t="s">
        <v>235</v>
      </c>
      <c r="K69" s="17" t="str">
        <f>Table3[[#This Row],[Main Table]] &amp;"."&amp; Table3[[#This Row],[Main Field Name]]</f>
        <v>RBS_STRUCTURES.OPENING_BRIDGE_YN</v>
      </c>
      <c r="L69" s="17" t="str">
        <f>VLOOKUP(Table3[[#This Row],[Table and Field]],Table5[[Table and Field]:[Data Type]],3,FALSE)</f>
        <v>VARCHAR2(1)</v>
      </c>
      <c r="N69" s="6" t="s">
        <v>203</v>
      </c>
      <c r="S69" t="s">
        <v>39</v>
      </c>
    </row>
    <row r="70" spans="1:19" ht="28.9">
      <c r="A70" s="6" t="s">
        <v>25</v>
      </c>
      <c r="B70" s="6" t="s">
        <v>33</v>
      </c>
      <c r="C70" s="6"/>
      <c r="D70" s="3" t="s">
        <v>236</v>
      </c>
      <c r="E70" s="6" t="s">
        <v>237</v>
      </c>
      <c r="I70" s="7" t="s">
        <v>238</v>
      </c>
      <c r="J70" t="s">
        <v>238</v>
      </c>
      <c r="K70" s="17" t="str">
        <f>Table3[[#This Row],[Main Table]] &amp;"."&amp; Table3[[#This Row],[Main Field Name]]</f>
        <v>?.?</v>
      </c>
      <c r="L70" s="17" t="e">
        <f>VLOOKUP(Table3[[#This Row],[Table and Field]],Table5[[Table and Field]:[Data Type]],3,FALSE)</f>
        <v>#N/A</v>
      </c>
      <c r="N70" s="6" t="s">
        <v>239</v>
      </c>
      <c r="S70" t="s">
        <v>39</v>
      </c>
    </row>
    <row r="71" spans="1:19" ht="24.6">
      <c r="A71" s="6" t="s">
        <v>240</v>
      </c>
      <c r="B71" s="6" t="s">
        <v>241</v>
      </c>
      <c r="C71" s="6" t="s">
        <v>242</v>
      </c>
      <c r="D71" s="4" t="s">
        <v>243</v>
      </c>
      <c r="E71" s="6" t="s">
        <v>244</v>
      </c>
      <c r="F71"/>
      <c r="G71">
        <v>1</v>
      </c>
      <c r="I71" s="7" t="s">
        <v>245</v>
      </c>
      <c r="J71" t="s">
        <v>246</v>
      </c>
      <c r="K71" s="17" t="str">
        <f>Table3[[#This Row],[Main Table]] &amp;"."&amp; Table3[[#This Row],[Main Field Name]]</f>
        <v>rsm_slope_sites.site_class</v>
      </c>
      <c r="L71" s="17" t="e">
        <f>VLOOKUP(Table3[[#This Row],[Table and Field]],Table5[[Table and Field]:[Data Type]],3,FALSE)</f>
        <v>#N/A</v>
      </c>
      <c r="M71" s="32" t="s">
        <v>247</v>
      </c>
    </row>
    <row r="72" spans="1:19">
      <c r="A72" s="6" t="s">
        <v>240</v>
      </c>
      <c r="B72" s="6" t="s">
        <v>241</v>
      </c>
      <c r="C72" s="6" t="s">
        <v>242</v>
      </c>
      <c r="D72" s="4" t="s">
        <v>248</v>
      </c>
      <c r="E72" s="6" t="s">
        <v>249</v>
      </c>
      <c r="F72"/>
      <c r="I72" s="7" t="s">
        <v>245</v>
      </c>
      <c r="J72" t="s">
        <v>250</v>
      </c>
      <c r="K72" s="17" t="str">
        <f>Table3[[#This Row],[Main Table]] &amp;"."&amp; Table3[[#This Row],[Main Field Name]]</f>
        <v>rsm_slope_sites.comments (char 4000)</v>
      </c>
      <c r="L72" s="17" t="e">
        <f>VLOOKUP(Table3[[#This Row],[Table and Field]],Table5[[Table and Field]:[Data Type]],3,FALSE)</f>
        <v>#N/A</v>
      </c>
    </row>
    <row r="73" spans="1:19">
      <c r="A73" s="6" t="s">
        <v>240</v>
      </c>
      <c r="B73" s="6" t="s">
        <v>241</v>
      </c>
      <c r="C73" s="6"/>
      <c r="D73" s="4"/>
      <c r="F73"/>
      <c r="I73" s="7" t="s">
        <v>245</v>
      </c>
      <c r="J73" t="s">
        <v>251</v>
      </c>
      <c r="K73" s="17" t="str">
        <f>Table3[[#This Row],[Main Table]] &amp;"."&amp; Table3[[#This Row],[Main Field Name]]</f>
        <v>rsm_slope_sites.description (char 2000)</v>
      </c>
      <c r="L73" s="17" t="e">
        <f>VLOOKUP(Table3[[#This Row],[Table and Field]],Table5[[Table and Field]:[Data Type]],3,FALSE)</f>
        <v>#N/A</v>
      </c>
    </row>
    <row r="74" spans="1:19">
      <c r="A74" s="6" t="s">
        <v>240</v>
      </c>
      <c r="B74" s="6" t="s">
        <v>241</v>
      </c>
      <c r="C74" s="6"/>
      <c r="D74" s="4"/>
      <c r="F74"/>
      <c r="I74" s="7" t="s">
        <v>252</v>
      </c>
      <c r="J74" t="s">
        <v>253</v>
      </c>
      <c r="K74" s="17" t="str">
        <f>Table3[[#This Row],[Main Table]] &amp;"."&amp; Table3[[#This Row],[Main Field Name]]</f>
        <v>rsm_ref_codes.description (char 100)</v>
      </c>
      <c r="L74" s="17" t="e">
        <f>VLOOKUP(Table3[[#This Row],[Table and Field]],Table5[[Table and Field]:[Data Type]],3,FALSE)</f>
        <v>#N/A</v>
      </c>
    </row>
    <row r="75" spans="1:19" ht="27.6">
      <c r="A75" s="6" t="s">
        <v>240</v>
      </c>
      <c r="B75" s="6" t="s">
        <v>254</v>
      </c>
      <c r="C75" s="6" t="s">
        <v>255</v>
      </c>
      <c r="D75" s="4" t="s">
        <v>244</v>
      </c>
      <c r="E75" s="6" t="s">
        <v>244</v>
      </c>
      <c r="F75"/>
      <c r="G75">
        <v>1</v>
      </c>
      <c r="I75" s="7" t="s">
        <v>245</v>
      </c>
      <c r="J75" t="s">
        <v>246</v>
      </c>
      <c r="K75" s="17" t="str">
        <f>Table3[[#This Row],[Main Table]] &amp;"."&amp; Table3[[#This Row],[Main Field Name]]</f>
        <v>rsm_slope_sites.site_class</v>
      </c>
      <c r="L75" s="17" t="e">
        <f>VLOOKUP(Table3[[#This Row],[Table and Field]],Table5[[Table and Field]:[Data Type]],3,FALSE)</f>
        <v>#N/A</v>
      </c>
      <c r="M75" s="32" t="s">
        <v>247</v>
      </c>
    </row>
    <row r="76" spans="1:19" ht="27.6">
      <c r="A76" s="6" t="s">
        <v>240</v>
      </c>
      <c r="B76" s="6" t="s">
        <v>254</v>
      </c>
      <c r="C76" s="6" t="s">
        <v>255</v>
      </c>
      <c r="D76" s="4" t="s">
        <v>256</v>
      </c>
      <c r="E76" s="6" t="s">
        <v>257</v>
      </c>
      <c r="F76"/>
      <c r="G76">
        <v>1</v>
      </c>
      <c r="I76" s="7"/>
      <c r="J76" t="s">
        <v>258</v>
      </c>
      <c r="K76" s="17" t="str">
        <f>Table3[[#This Row],[Main Table]] &amp;"."&amp; Table3[[#This Row],[Main Field Name]]</f>
        <v>.material_id</v>
      </c>
      <c r="L76" s="17" t="e">
        <f>VLOOKUP(Table3[[#This Row],[Table and Field]],Table5[[Table and Field]:[Data Type]],3,FALSE)</f>
        <v>#N/A</v>
      </c>
    </row>
    <row r="77" spans="1:19" ht="27.6">
      <c r="A77" s="6" t="s">
        <v>240</v>
      </c>
      <c r="B77" s="6" t="s">
        <v>254</v>
      </c>
      <c r="C77" s="6" t="s">
        <v>255</v>
      </c>
      <c r="D77" s="4" t="s">
        <v>259</v>
      </c>
      <c r="F77"/>
      <c r="I77" s="7" t="s">
        <v>245</v>
      </c>
      <c r="J77" t="s">
        <v>260</v>
      </c>
      <c r="K77" s="17" t="str">
        <f>Table3[[#This Row],[Main Table]] &amp;"."&amp; Table3[[#This Row],[Main Field Name]]</f>
        <v>rsm_slope_sites.max_slope_height</v>
      </c>
      <c r="L77" s="17" t="e">
        <f>VLOOKUP(Table3[[#This Row],[Table and Field]],Table5[[Table and Field]:[Data Type]],3,FALSE)</f>
        <v>#N/A</v>
      </c>
      <c r="N77" s="6" t="s">
        <v>261</v>
      </c>
    </row>
    <row r="78" spans="1:19" ht="27.6">
      <c r="A78" s="6" t="s">
        <v>240</v>
      </c>
      <c r="B78" s="6" t="s">
        <v>254</v>
      </c>
      <c r="C78" s="6" t="s">
        <v>255</v>
      </c>
      <c r="D78" s="4" t="s">
        <v>262</v>
      </c>
      <c r="E78" s="6" t="s">
        <v>263</v>
      </c>
      <c r="F78"/>
      <c r="I78" s="7" t="s">
        <v>245</v>
      </c>
      <c r="J78" t="s">
        <v>264</v>
      </c>
      <c r="K78" s="17" t="str">
        <f>Table3[[#This Row],[Main Table]] &amp;"."&amp; Table3[[#This Row],[Main Field Name]]</f>
        <v>rsm_slope_sites.avg_slope_angle</v>
      </c>
      <c r="L78" s="17" t="e">
        <f>VLOOKUP(Table3[[#This Row],[Table and Field]],Table5[[Table and Field]:[Data Type]],3,FALSE)</f>
        <v>#N/A</v>
      </c>
    </row>
    <row r="79" spans="1:19" ht="41.45">
      <c r="A79" s="6" t="s">
        <v>25</v>
      </c>
      <c r="B79" s="6" t="s">
        <v>265</v>
      </c>
      <c r="C79" s="6" t="s">
        <v>266</v>
      </c>
      <c r="D79" s="3" t="s">
        <v>267</v>
      </c>
      <c r="E79" s="6" t="s">
        <v>268</v>
      </c>
      <c r="I79" s="7"/>
      <c r="K79" s="17" t="str">
        <f>Table3[[#This Row],[Main Table]] &amp;"."&amp; Table3[[#This Row],[Main Field Name]]</f>
        <v>.</v>
      </c>
      <c r="L79" s="17" t="e">
        <f>VLOOKUP(Table3[[#This Row],[Table and Field]],Table5[[Table and Field]:[Data Type]],3,FALSE)</f>
        <v>#N/A</v>
      </c>
      <c r="S79" t="s">
        <v>269</v>
      </c>
    </row>
    <row r="80" spans="1:19" ht="41.45">
      <c r="A80" s="6" t="s">
        <v>25</v>
      </c>
      <c r="B80" s="6" t="s">
        <v>265</v>
      </c>
      <c r="C80" s="6" t="s">
        <v>266</v>
      </c>
      <c r="D80" s="3" t="s">
        <v>270</v>
      </c>
      <c r="I80" s="7" t="s">
        <v>271</v>
      </c>
      <c r="J80" t="s">
        <v>272</v>
      </c>
      <c r="K80" s="17" t="str">
        <f>Table3[[#This Row],[Main Table]] &amp;"."&amp; Table3[[#This Row],[Main Field Name]]</f>
        <v>RBS_DEFIC_STRUCT.LOAD_LIMIT</v>
      </c>
      <c r="L80" s="17" t="e">
        <f>VLOOKUP(Table3[[#This Row],[Table and Field]],Table5[[Table and Field]:[Data Type]],3,FALSE)</f>
        <v>#N/A</v>
      </c>
      <c r="N80" s="6" t="s">
        <v>273</v>
      </c>
      <c r="S80" t="s">
        <v>269</v>
      </c>
    </row>
    <row r="81" spans="1:24" ht="41.45">
      <c r="A81" s="6" t="s">
        <v>25</v>
      </c>
      <c r="B81" s="6" t="s">
        <v>265</v>
      </c>
      <c r="C81" s="6" t="s">
        <v>266</v>
      </c>
      <c r="D81" s="3" t="s">
        <v>274</v>
      </c>
      <c r="E81" s="6" t="s">
        <v>275</v>
      </c>
      <c r="I81" s="7"/>
      <c r="K81" s="17" t="str">
        <f>Table3[[#This Row],[Main Table]] &amp;"."&amp; Table3[[#This Row],[Main Field Name]]</f>
        <v>.</v>
      </c>
      <c r="L81" s="17" t="e">
        <f>VLOOKUP(Table3[[#This Row],[Table and Field]],Table5[[Table and Field]:[Data Type]],3,FALSE)</f>
        <v>#N/A</v>
      </c>
      <c r="S81" t="s">
        <v>269</v>
      </c>
    </row>
    <row r="82" spans="1:24" ht="41.45">
      <c r="A82" s="6" t="s">
        <v>25</v>
      </c>
      <c r="B82" s="6" t="s">
        <v>265</v>
      </c>
      <c r="C82" s="6" t="s">
        <v>266</v>
      </c>
      <c r="D82" s="3" t="s">
        <v>276</v>
      </c>
      <c r="I82" s="7"/>
      <c r="K82" s="17" t="str">
        <f>Table3[[#This Row],[Main Table]] &amp;"."&amp; Table3[[#This Row],[Main Field Name]]</f>
        <v>.</v>
      </c>
      <c r="L82" s="17" t="e">
        <f>VLOOKUP(Table3[[#This Row],[Table and Field]],Table5[[Table and Field]:[Data Type]],3,FALSE)</f>
        <v>#N/A</v>
      </c>
      <c r="S82" t="s">
        <v>269</v>
      </c>
    </row>
    <row r="83" spans="1:24" ht="27.6">
      <c r="A83" s="6" t="s">
        <v>25</v>
      </c>
      <c r="B83" s="6" t="s">
        <v>265</v>
      </c>
      <c r="C83" s="6" t="s">
        <v>277</v>
      </c>
      <c r="D83" s="3" t="s">
        <v>278</v>
      </c>
      <c r="I83" s="7"/>
      <c r="K83" s="17" t="str">
        <f>Table3[[#This Row],[Main Table]] &amp;"."&amp; Table3[[#This Row],[Main Field Name]]</f>
        <v>.</v>
      </c>
      <c r="L83" s="17" t="e">
        <f>VLOOKUP(Table3[[#This Row],[Table and Field]],Table5[[Table and Field]:[Data Type]],3,FALSE)</f>
        <v>#N/A</v>
      </c>
      <c r="S83" t="s">
        <v>269</v>
      </c>
    </row>
    <row r="84" spans="1:24" ht="41.45">
      <c r="A84" s="6" t="s">
        <v>25</v>
      </c>
      <c r="B84" s="6" t="s">
        <v>265</v>
      </c>
      <c r="C84" s="6" t="s">
        <v>279</v>
      </c>
      <c r="D84" s="3" t="s">
        <v>280</v>
      </c>
      <c r="I84" s="7"/>
      <c r="K84" s="17" t="str">
        <f>Table3[[#This Row],[Main Table]] &amp;"."&amp; Table3[[#This Row],[Main Field Name]]</f>
        <v>.</v>
      </c>
      <c r="L84" s="17" t="e">
        <f>VLOOKUP(Table3[[#This Row],[Table and Field]],Table5[[Table and Field]:[Data Type]],3,FALSE)</f>
        <v>#N/A</v>
      </c>
      <c r="S84" t="s">
        <v>269</v>
      </c>
    </row>
    <row r="85" spans="1:24" ht="41.45">
      <c r="A85" s="6" t="s">
        <v>25</v>
      </c>
      <c r="B85" s="6" t="s">
        <v>265</v>
      </c>
      <c r="C85" s="6" t="s">
        <v>281</v>
      </c>
      <c r="D85" s="3" t="s">
        <v>282</v>
      </c>
      <c r="I85" s="7"/>
      <c r="K85" s="17" t="str">
        <f>Table3[[#This Row],[Main Table]] &amp;"."&amp; Table3[[#This Row],[Main Field Name]]</f>
        <v>.</v>
      </c>
      <c r="L85" s="17" t="e">
        <f>VLOOKUP(Table3[[#This Row],[Table and Field]],Table5[[Table and Field]:[Data Type]],3,FALSE)</f>
        <v>#N/A</v>
      </c>
      <c r="S85" t="s">
        <v>269</v>
      </c>
    </row>
    <row r="86" spans="1:24" ht="27.6">
      <c r="A86" s="6" t="s">
        <v>25</v>
      </c>
      <c r="B86" s="6" t="s">
        <v>265</v>
      </c>
      <c r="C86" s="6" t="s">
        <v>283</v>
      </c>
      <c r="D86" s="3" t="s">
        <v>284</v>
      </c>
      <c r="I86" s="7"/>
      <c r="K86" s="17" t="str">
        <f>Table3[[#This Row],[Main Table]] &amp;"."&amp; Table3[[#This Row],[Main Field Name]]</f>
        <v>.</v>
      </c>
      <c r="L86" s="17" t="e">
        <f>VLOOKUP(Table3[[#This Row],[Table and Field]],Table5[[Table and Field]:[Data Type]],3,FALSE)</f>
        <v>#N/A</v>
      </c>
      <c r="S86" t="s">
        <v>269</v>
      </c>
    </row>
    <row r="87" spans="1:24" ht="27.6">
      <c r="A87" s="6" t="s">
        <v>25</v>
      </c>
      <c r="B87" s="6" t="s">
        <v>285</v>
      </c>
      <c r="C87" s="6" t="s">
        <v>286</v>
      </c>
      <c r="D87" s="3" t="s">
        <v>287</v>
      </c>
      <c r="E87" s="6" t="s">
        <v>288</v>
      </c>
      <c r="F87" s="7" t="s">
        <v>56</v>
      </c>
      <c r="H87" t="s">
        <v>36</v>
      </c>
      <c r="I87" s="7" t="s">
        <v>289</v>
      </c>
      <c r="J87" t="s">
        <v>290</v>
      </c>
      <c r="K87" s="17" t="str">
        <f>Table3[[#This Row],[Main Table]] &amp;"."&amp; Table3[[#This Row],[Main Field Name]]</f>
        <v>RBS_STRUCT_MAINT_FUND.WORK_AUTH_CODE</v>
      </c>
      <c r="L87" s="17" t="e">
        <f>VLOOKUP(Table3[[#This Row],[Table and Field]],Table5[[Table and Field]:[Data Type]],3,FALSE)</f>
        <v>#N/A</v>
      </c>
      <c r="S87" t="s">
        <v>39</v>
      </c>
    </row>
    <row r="88" spans="1:24" ht="27.6">
      <c r="A88" s="6" t="s">
        <v>25</v>
      </c>
      <c r="B88" s="6" t="s">
        <v>285</v>
      </c>
      <c r="C88" s="6" t="s">
        <v>286</v>
      </c>
      <c r="D88" s="3" t="s">
        <v>291</v>
      </c>
      <c r="E88" s="6" t="s">
        <v>292</v>
      </c>
      <c r="F88" s="7" t="s">
        <v>56</v>
      </c>
      <c r="H88" t="s">
        <v>36</v>
      </c>
      <c r="I88" s="7" t="s">
        <v>289</v>
      </c>
      <c r="J88" t="s">
        <v>293</v>
      </c>
      <c r="K88" s="17" t="str">
        <f>Table3[[#This Row],[Main Table]] &amp;"."&amp; Table3[[#This Row],[Main Field Name]]</f>
        <v>RBS_STRUCT_MAINT_FUND.FUND_PCT</v>
      </c>
      <c r="L88" s="17" t="e">
        <f>VLOOKUP(Table3[[#This Row],[Table and Field]],Table5[[Table and Field]:[Data Type]],3,FALSE)</f>
        <v>#N/A</v>
      </c>
      <c r="S88" t="s">
        <v>39</v>
      </c>
    </row>
    <row r="89" spans="1:24" ht="27.6">
      <c r="A89" s="6" t="s">
        <v>25</v>
      </c>
      <c r="B89" s="6" t="s">
        <v>285</v>
      </c>
      <c r="C89" s="6" t="s">
        <v>294</v>
      </c>
      <c r="D89" s="3" t="s">
        <v>295</v>
      </c>
      <c r="E89" s="6" t="s">
        <v>296</v>
      </c>
      <c r="F89" s="7" t="s">
        <v>56</v>
      </c>
      <c r="H89" t="s">
        <v>36</v>
      </c>
      <c r="I89" s="7" t="s">
        <v>297</v>
      </c>
      <c r="J89" t="s">
        <v>298</v>
      </c>
      <c r="K89" s="17" t="str">
        <f>Table3[[#This Row],[Main Table]] &amp;"."&amp; Table3[[#This Row],[Main Field Name]]</f>
        <v>RBS_STRUCT_HRTG_LISTS.HRTG_LIST_CODE</v>
      </c>
      <c r="L89" s="17" t="e">
        <f>VLOOKUP(Table3[[#This Row],[Table and Field]],Table5[[Table and Field]:[Data Type]],3,FALSE)</f>
        <v>#N/A</v>
      </c>
      <c r="S89" t="s">
        <v>39</v>
      </c>
    </row>
    <row r="90" spans="1:24" ht="27.6">
      <c r="A90" s="6" t="s">
        <v>25</v>
      </c>
      <c r="B90" s="6" t="s">
        <v>285</v>
      </c>
      <c r="C90" s="6" t="s">
        <v>294</v>
      </c>
      <c r="D90" s="3" t="s">
        <v>299</v>
      </c>
      <c r="E90" s="6" t="s">
        <v>300</v>
      </c>
      <c r="F90" s="7" t="s">
        <v>56</v>
      </c>
      <c r="H90" t="s">
        <v>36</v>
      </c>
      <c r="I90" s="7" t="s">
        <v>297</v>
      </c>
      <c r="J90" t="s">
        <v>301</v>
      </c>
      <c r="K90" s="17" t="str">
        <f>Table3[[#This Row],[Main Table]] &amp;"."&amp; Table3[[#This Row],[Main Field Name]]</f>
        <v>RBS_STRUCT_HRTG_LISTS.DT_VALID_FROM</v>
      </c>
      <c r="L90" s="17" t="e">
        <f>VLOOKUP(Table3[[#This Row],[Table and Field]],Table5[[Table and Field]:[Data Type]],3,FALSE)</f>
        <v>#N/A</v>
      </c>
      <c r="S90" t="s">
        <v>39</v>
      </c>
    </row>
    <row r="91" spans="1:24" ht="28.9">
      <c r="A91" s="6" t="s">
        <v>25</v>
      </c>
      <c r="B91" s="6" t="s">
        <v>302</v>
      </c>
      <c r="C91" s="6" t="s">
        <v>303</v>
      </c>
      <c r="D91" s="3" t="s">
        <v>304</v>
      </c>
      <c r="E91" s="6" t="s">
        <v>305</v>
      </c>
      <c r="H91" t="s">
        <v>56</v>
      </c>
      <c r="I91" s="7" t="s">
        <v>306</v>
      </c>
      <c r="J91" t="s">
        <v>307</v>
      </c>
      <c r="K91" s="17" t="str">
        <f>Table3[[#This Row],[Main Table]] &amp;"."&amp; Table3[[#This Row],[Main Field Name]]</f>
        <v>RBS_STRUCT_CWY.RD_RANK</v>
      </c>
      <c r="L91" s="17" t="e">
        <f>VLOOKUP(Table3[[#This Row],[Table and Field]],Table5[[Table and Field]:[Data Type]],3,FALSE)</f>
        <v>#N/A</v>
      </c>
      <c r="N91" s="6" t="s">
        <v>308</v>
      </c>
      <c r="S91" t="s">
        <v>39</v>
      </c>
      <c r="T91" s="6" t="s">
        <v>63</v>
      </c>
      <c r="U91" s="6">
        <v>0</v>
      </c>
      <c r="V91" s="6">
        <v>1</v>
      </c>
      <c r="W91">
        <v>1</v>
      </c>
      <c r="X91" t="s">
        <v>309</v>
      </c>
    </row>
    <row r="92" spans="1:24" ht="28.9">
      <c r="A92" s="6" t="s">
        <v>25</v>
      </c>
      <c r="B92" s="6" t="s">
        <v>302</v>
      </c>
      <c r="C92" s="6" t="s">
        <v>310</v>
      </c>
      <c r="D92" s="3" t="s">
        <v>311</v>
      </c>
      <c r="E92" s="6" t="s">
        <v>312</v>
      </c>
      <c r="H92" t="s">
        <v>56</v>
      </c>
      <c r="I92" s="7" t="s">
        <v>306</v>
      </c>
      <c r="J92" t="s">
        <v>307</v>
      </c>
      <c r="K92" s="17" t="str">
        <f>Table3[[#This Row],[Main Table]] &amp;"."&amp; Table3[[#This Row],[Main Field Name]]</f>
        <v>RBS_STRUCT_CWY.RD_RANK</v>
      </c>
      <c r="L92" s="17" t="e">
        <f>VLOOKUP(Table3[[#This Row],[Table and Field]],Table5[[Table and Field]:[Data Type]],3,FALSE)</f>
        <v>#N/A</v>
      </c>
      <c r="N92" s="6" t="s">
        <v>308</v>
      </c>
      <c r="S92" t="s">
        <v>39</v>
      </c>
      <c r="T92" s="6" t="s">
        <v>63</v>
      </c>
      <c r="U92" s="6">
        <v>0</v>
      </c>
      <c r="V92" s="6">
        <v>1</v>
      </c>
      <c r="W92">
        <v>1</v>
      </c>
    </row>
    <row r="93" spans="1:24" ht="28.9">
      <c r="A93" s="6" t="s">
        <v>25</v>
      </c>
      <c r="B93" s="6" t="s">
        <v>302</v>
      </c>
      <c r="C93" s="6" t="s">
        <v>313</v>
      </c>
      <c r="D93" s="3" t="s">
        <v>314</v>
      </c>
      <c r="E93" s="6" t="s">
        <v>315</v>
      </c>
      <c r="H93" t="s">
        <v>56</v>
      </c>
      <c r="I93" s="7" t="s">
        <v>306</v>
      </c>
      <c r="J93" t="s">
        <v>307</v>
      </c>
      <c r="K93" s="17" t="str">
        <f>Table3[[#This Row],[Main Table]] &amp;"."&amp; Table3[[#This Row],[Main Field Name]]</f>
        <v>RBS_STRUCT_CWY.RD_RANK</v>
      </c>
      <c r="L93" s="17" t="e">
        <f>VLOOKUP(Table3[[#This Row],[Table and Field]],Table5[[Table and Field]:[Data Type]],3,FALSE)</f>
        <v>#N/A</v>
      </c>
      <c r="N93" s="6" t="s">
        <v>308</v>
      </c>
      <c r="S93" t="s">
        <v>39</v>
      </c>
      <c r="T93" s="6" t="s">
        <v>63</v>
      </c>
      <c r="U93" s="6">
        <v>0</v>
      </c>
      <c r="V93" s="6">
        <v>1</v>
      </c>
      <c r="W93">
        <v>1</v>
      </c>
    </row>
    <row r="94" spans="1:24" ht="55.15">
      <c r="A94" s="6" t="s">
        <v>25</v>
      </c>
      <c r="B94" s="6" t="s">
        <v>302</v>
      </c>
      <c r="C94" s="6" t="s">
        <v>316</v>
      </c>
      <c r="D94" s="3" t="s">
        <v>317</v>
      </c>
      <c r="E94" s="6" t="s">
        <v>318</v>
      </c>
      <c r="H94" t="s">
        <v>56</v>
      </c>
      <c r="I94" s="7" t="s">
        <v>306</v>
      </c>
      <c r="J94" t="s">
        <v>307</v>
      </c>
      <c r="K94" s="17" t="str">
        <f>Table3[[#This Row],[Main Table]] &amp;"."&amp; Table3[[#This Row],[Main Field Name]]</f>
        <v>RBS_STRUCT_CWY.RD_RANK</v>
      </c>
      <c r="L94" s="17" t="e">
        <f>VLOOKUP(Table3[[#This Row],[Table and Field]],Table5[[Table and Field]:[Data Type]],3,FALSE)</f>
        <v>#N/A</v>
      </c>
      <c r="N94" s="6" t="s">
        <v>319</v>
      </c>
      <c r="S94" t="s">
        <v>39</v>
      </c>
      <c r="T94" s="6" t="s">
        <v>63</v>
      </c>
      <c r="U94" s="6">
        <v>0</v>
      </c>
      <c r="V94" s="6">
        <v>1</v>
      </c>
      <c r="W94">
        <v>1</v>
      </c>
    </row>
    <row r="95" spans="1:24" ht="36.6">
      <c r="A95" s="6" t="s">
        <v>25</v>
      </c>
      <c r="B95" s="6" t="s">
        <v>302</v>
      </c>
      <c r="C95" s="6" t="s">
        <v>303</v>
      </c>
      <c r="D95" s="3" t="s">
        <v>320</v>
      </c>
      <c r="E95" s="6" t="s">
        <v>321</v>
      </c>
      <c r="H95" t="s">
        <v>56</v>
      </c>
      <c r="I95" s="7" t="s">
        <v>99</v>
      </c>
      <c r="J95" t="s">
        <v>100</v>
      </c>
      <c r="K95" s="17" t="str">
        <f>Table3[[#This Row],[Main Table]] &amp;"."&amp; Table3[[#This Row],[Main Field Name]]</f>
        <v>rbs_ref_tables.REFERENCE_DESCR1</v>
      </c>
      <c r="L95" s="17" t="e">
        <f>VLOOKUP(Table3[[#This Row],[Table and Field]],Table5[[Table and Field]:[Data Type]],3,FALSE)</f>
        <v>#N/A</v>
      </c>
      <c r="M95" s="32" t="s">
        <v>322</v>
      </c>
      <c r="N95" s="6" t="s">
        <v>308</v>
      </c>
      <c r="S95" t="s">
        <v>39</v>
      </c>
      <c r="V95" s="6">
        <v>1</v>
      </c>
      <c r="W95">
        <v>1</v>
      </c>
    </row>
    <row r="96" spans="1:24" ht="27.6">
      <c r="A96" s="6" t="s">
        <v>25</v>
      </c>
      <c r="B96" s="6" t="s">
        <v>302</v>
      </c>
      <c r="C96" s="6" t="s">
        <v>303</v>
      </c>
      <c r="D96" s="3" t="s">
        <v>323</v>
      </c>
      <c r="E96" s="6" t="s">
        <v>324</v>
      </c>
      <c r="H96" t="s">
        <v>56</v>
      </c>
      <c r="I96" s="7" t="s">
        <v>306</v>
      </c>
      <c r="J96" t="s">
        <v>122</v>
      </c>
      <c r="K96" s="17" t="str">
        <f>Table3[[#This Row],[Main Table]] &amp;"."&amp; Table3[[#This Row],[Main Field Name]]</f>
        <v>RBS_STRUCT_CWY.RD_CLASS_CODE</v>
      </c>
      <c r="L96" s="17" t="e">
        <f>VLOOKUP(Table3[[#This Row],[Table and Field]],Table5[[Table and Field]:[Data Type]],3,FALSE)</f>
        <v>#N/A</v>
      </c>
      <c r="S96" t="s">
        <v>39</v>
      </c>
      <c r="V96" s="6">
        <v>1</v>
      </c>
      <c r="W96">
        <v>1</v>
      </c>
    </row>
    <row r="97" spans="1:24" ht="36.6">
      <c r="A97" s="6" t="s">
        <v>25</v>
      </c>
      <c r="B97" s="6" t="s">
        <v>302</v>
      </c>
      <c r="C97" s="6" t="s">
        <v>303</v>
      </c>
      <c r="D97" s="3" t="s">
        <v>325</v>
      </c>
      <c r="E97" s="6" t="s">
        <v>326</v>
      </c>
      <c r="H97" t="s">
        <v>56</v>
      </c>
      <c r="I97" s="7" t="s">
        <v>99</v>
      </c>
      <c r="J97" t="s">
        <v>100</v>
      </c>
      <c r="K97" s="17" t="str">
        <f>Table3[[#This Row],[Main Table]] &amp;"."&amp; Table3[[#This Row],[Main Field Name]]</f>
        <v>rbs_ref_tables.REFERENCE_DESCR1</v>
      </c>
      <c r="L97" s="17" t="e">
        <f>VLOOKUP(Table3[[#This Row],[Table and Field]],Table5[[Table and Field]:[Data Type]],3,FALSE)</f>
        <v>#N/A</v>
      </c>
      <c r="M97" s="32" t="s">
        <v>327</v>
      </c>
      <c r="N97" s="6" t="s">
        <v>328</v>
      </c>
      <c r="V97" s="6">
        <v>1</v>
      </c>
      <c r="W97">
        <v>1</v>
      </c>
    </row>
    <row r="98" spans="1:24" ht="28.9">
      <c r="A98" s="6" t="s">
        <v>25</v>
      </c>
      <c r="B98" s="6" t="s">
        <v>302</v>
      </c>
      <c r="C98" s="6" t="s">
        <v>303</v>
      </c>
      <c r="D98" s="3" t="s">
        <v>329</v>
      </c>
      <c r="E98" s="6" t="s">
        <v>330</v>
      </c>
      <c r="H98" t="s">
        <v>56</v>
      </c>
      <c r="I98" s="7" t="s">
        <v>306</v>
      </c>
      <c r="J98" t="s">
        <v>331</v>
      </c>
      <c r="K98" s="17" t="str">
        <f>Table3[[#This Row],[Main Table]] &amp;"."&amp; Table3[[#This Row],[Main Field Name]]</f>
        <v>RBS_STRUCT_CWY.RD_NO</v>
      </c>
      <c r="L98" s="17" t="e">
        <f>VLOOKUP(Table3[[#This Row],[Table and Field]],Table5[[Table and Field]:[Data Type]],3,FALSE)</f>
        <v>#N/A</v>
      </c>
      <c r="M98" s="32" t="s">
        <v>332</v>
      </c>
      <c r="N98" s="6" t="s">
        <v>333</v>
      </c>
      <c r="S98" t="s">
        <v>39</v>
      </c>
      <c r="V98" s="6">
        <v>1</v>
      </c>
      <c r="W98">
        <v>1</v>
      </c>
      <c r="X98" t="s">
        <v>309</v>
      </c>
    </row>
    <row r="99" spans="1:24" ht="28.9">
      <c r="A99" s="6" t="s">
        <v>25</v>
      </c>
      <c r="B99" s="6" t="s">
        <v>302</v>
      </c>
      <c r="C99" s="6" t="s">
        <v>310</v>
      </c>
      <c r="D99" s="3" t="s">
        <v>334</v>
      </c>
      <c r="E99" s="6" t="s">
        <v>335</v>
      </c>
      <c r="H99" t="s">
        <v>56</v>
      </c>
      <c r="I99" s="7" t="s">
        <v>306</v>
      </c>
      <c r="J99" t="s">
        <v>331</v>
      </c>
      <c r="K99" s="17" t="str">
        <f>Table3[[#This Row],[Main Table]] &amp;"."&amp; Table3[[#This Row],[Main Field Name]]</f>
        <v>RBS_STRUCT_CWY.RD_NO</v>
      </c>
      <c r="L99" s="17" t="e">
        <f>VLOOKUP(Table3[[#This Row],[Table and Field]],Table5[[Table and Field]:[Data Type]],3,FALSE)</f>
        <v>#N/A</v>
      </c>
      <c r="V99" s="6">
        <v>1</v>
      </c>
      <c r="W99">
        <v>1</v>
      </c>
    </row>
    <row r="100" spans="1:24" ht="28.9">
      <c r="A100" s="6" t="s">
        <v>25</v>
      </c>
      <c r="B100" s="6" t="s">
        <v>302</v>
      </c>
      <c r="C100" s="6" t="s">
        <v>313</v>
      </c>
      <c r="D100" s="3" t="s">
        <v>336</v>
      </c>
      <c r="E100" s="6" t="s">
        <v>337</v>
      </c>
      <c r="H100" t="s">
        <v>56</v>
      </c>
      <c r="I100" s="7" t="s">
        <v>306</v>
      </c>
      <c r="J100" t="s">
        <v>331</v>
      </c>
      <c r="K100" s="17" t="str">
        <f>Table3[[#This Row],[Main Table]] &amp;"."&amp; Table3[[#This Row],[Main Field Name]]</f>
        <v>RBS_STRUCT_CWY.RD_NO</v>
      </c>
      <c r="L100" s="17" t="e">
        <f>VLOOKUP(Table3[[#This Row],[Table and Field]],Table5[[Table and Field]:[Data Type]],3,FALSE)</f>
        <v>#N/A</v>
      </c>
      <c r="V100" s="6">
        <v>1</v>
      </c>
      <c r="W100">
        <v>1</v>
      </c>
    </row>
    <row r="101" spans="1:24" ht="28.9">
      <c r="A101" s="6" t="s">
        <v>25</v>
      </c>
      <c r="B101" s="6" t="s">
        <v>302</v>
      </c>
      <c r="C101" s="6" t="s">
        <v>316</v>
      </c>
      <c r="D101" s="3" t="s">
        <v>338</v>
      </c>
      <c r="E101" s="6" t="s">
        <v>339</v>
      </c>
      <c r="H101" t="s">
        <v>56</v>
      </c>
      <c r="I101" s="7" t="s">
        <v>306</v>
      </c>
      <c r="J101" t="s">
        <v>331</v>
      </c>
      <c r="K101" s="17" t="str">
        <f>Table3[[#This Row],[Main Table]] &amp;"."&amp; Table3[[#This Row],[Main Field Name]]</f>
        <v>RBS_STRUCT_CWY.RD_NO</v>
      </c>
      <c r="L101" s="17" t="e">
        <f>VLOOKUP(Table3[[#This Row],[Table and Field]],Table5[[Table and Field]:[Data Type]],3,FALSE)</f>
        <v>#N/A</v>
      </c>
      <c r="V101" s="6">
        <v>1</v>
      </c>
      <c r="W101">
        <v>1</v>
      </c>
    </row>
    <row r="102" spans="1:24" ht="41.45">
      <c r="A102" s="6" t="s">
        <v>25</v>
      </c>
      <c r="B102" s="6" t="s">
        <v>302</v>
      </c>
      <c r="C102" s="6" t="s">
        <v>340</v>
      </c>
      <c r="D102" s="3" t="s">
        <v>341</v>
      </c>
      <c r="E102" s="6" t="s">
        <v>342</v>
      </c>
      <c r="H102" t="s">
        <v>56</v>
      </c>
      <c r="I102" s="7" t="s">
        <v>343</v>
      </c>
      <c r="J102" t="s">
        <v>344</v>
      </c>
      <c r="K102" s="17" t="str">
        <f>Table3[[#This Row],[Main Table]] &amp;"."&amp; Table3[[#This Row],[Main Field Name]]</f>
        <v>RAMS.NM_ELEMENT_ALL.NE_DESCR</v>
      </c>
      <c r="L102" s="17" t="e">
        <f>VLOOKUP(Table3[[#This Row],[Table and Field]],Table5[[Table and Field]:[Data Type]],3,FALSE)</f>
        <v>#N/A</v>
      </c>
      <c r="M102" s="32" t="s">
        <v>345</v>
      </c>
      <c r="N102" s="6" t="s">
        <v>346</v>
      </c>
      <c r="W102">
        <v>1</v>
      </c>
    </row>
    <row r="103" spans="1:24" ht="27.6">
      <c r="A103" s="6" t="s">
        <v>25</v>
      </c>
      <c r="B103" s="6" t="s">
        <v>302</v>
      </c>
      <c r="C103" s="6" t="s">
        <v>340</v>
      </c>
      <c r="D103" s="3" t="s">
        <v>347</v>
      </c>
      <c r="E103" s="6" t="s">
        <v>348</v>
      </c>
      <c r="H103" t="s">
        <v>56</v>
      </c>
      <c r="I103" s="7" t="s">
        <v>306</v>
      </c>
      <c r="J103" t="s">
        <v>349</v>
      </c>
      <c r="K103" s="17" t="str">
        <f>Table3[[#This Row],[Main Table]] &amp;"."&amp; Table3[[#This Row],[Main Field Name]]</f>
        <v>RBS_STRUCT_CWY.LC_LINK_NO</v>
      </c>
      <c r="L103" s="17" t="e">
        <f>VLOOKUP(Table3[[#This Row],[Table and Field]],Table5[[Table and Field]:[Data Type]],3,FALSE)</f>
        <v>#N/A</v>
      </c>
      <c r="N103" s="6" t="s">
        <v>350</v>
      </c>
      <c r="S103" t="s">
        <v>39</v>
      </c>
      <c r="W103">
        <v>1</v>
      </c>
    </row>
    <row r="104" spans="1:24" ht="27.6">
      <c r="A104" s="6" t="s">
        <v>25</v>
      </c>
      <c r="B104" s="6" t="s">
        <v>302</v>
      </c>
      <c r="C104" s="6" t="s">
        <v>340</v>
      </c>
      <c r="D104" s="3" t="s">
        <v>351</v>
      </c>
      <c r="E104" s="6" t="s">
        <v>352</v>
      </c>
      <c r="H104" t="s">
        <v>56</v>
      </c>
      <c r="I104" s="7" t="s">
        <v>306</v>
      </c>
      <c r="J104" t="s">
        <v>353</v>
      </c>
      <c r="K104" s="17" t="str">
        <f>Table3[[#This Row],[Main Table]] &amp;"."&amp; Table3[[#This Row],[Main Field Name]]</f>
        <v>RBS_STRUCT_CWY.LC_CWAY_CODE</v>
      </c>
      <c r="L104" s="17" t="e">
        <f>VLOOKUP(Table3[[#This Row],[Table and Field]],Table5[[Table and Field]:[Data Type]],3,FALSE)</f>
        <v>#N/A</v>
      </c>
      <c r="N104" s="6" t="s">
        <v>354</v>
      </c>
      <c r="S104" t="s">
        <v>39</v>
      </c>
      <c r="W104">
        <v>1</v>
      </c>
    </row>
    <row r="105" spans="1:24" ht="28.9">
      <c r="A105" s="6" t="s">
        <v>25</v>
      </c>
      <c r="B105" s="6" t="s">
        <v>302</v>
      </c>
      <c r="C105" s="6" t="s">
        <v>340</v>
      </c>
      <c r="D105" s="3" t="s">
        <v>355</v>
      </c>
      <c r="E105" s="6" t="s">
        <v>356</v>
      </c>
      <c r="H105" t="s">
        <v>56</v>
      </c>
      <c r="I105" s="7" t="s">
        <v>357</v>
      </c>
      <c r="K105" s="17" t="str">
        <f>Table3[[#This Row],[Main Table]] &amp;"."&amp; Table3[[#This Row],[Main Field Name]]</f>
        <v>RAMS?.</v>
      </c>
      <c r="L105" s="17" t="e">
        <f>VLOOKUP(Table3[[#This Row],[Table and Field]],Table5[[Table and Field]:[Data Type]],3,FALSE)</f>
        <v>#N/A</v>
      </c>
      <c r="W105">
        <v>1</v>
      </c>
    </row>
    <row r="106" spans="1:24" ht="27.6">
      <c r="A106" s="6" t="s">
        <v>25</v>
      </c>
      <c r="B106" s="6" t="s">
        <v>302</v>
      </c>
      <c r="C106" s="6" t="s">
        <v>340</v>
      </c>
      <c r="D106" s="3" t="s">
        <v>358</v>
      </c>
      <c r="E106" s="6" t="s">
        <v>359</v>
      </c>
      <c r="H106" t="s">
        <v>56</v>
      </c>
      <c r="I106" s="7" t="s">
        <v>306</v>
      </c>
      <c r="J106" t="s">
        <v>360</v>
      </c>
      <c r="K106" s="17" t="str">
        <f>Table3[[#This Row],[Main Table]] &amp;"."&amp; Table3[[#This Row],[Main Field Name]]</f>
        <v>RBS_STRUCT_CWY.LC_CWAY_VER</v>
      </c>
      <c r="L106" s="17" t="e">
        <f>VLOOKUP(Table3[[#This Row],[Table and Field]],Table5[[Table and Field]:[Data Type]],3,FALSE)</f>
        <v>#N/A</v>
      </c>
      <c r="S106" t="s">
        <v>39</v>
      </c>
      <c r="W106">
        <v>1</v>
      </c>
    </row>
    <row r="107" spans="1:24" ht="27.6">
      <c r="A107" s="6" t="s">
        <v>25</v>
      </c>
      <c r="B107" s="6" t="s">
        <v>302</v>
      </c>
      <c r="C107" s="6" t="s">
        <v>340</v>
      </c>
      <c r="D107" s="3" t="s">
        <v>361</v>
      </c>
      <c r="E107" s="6" t="s">
        <v>362</v>
      </c>
      <c r="H107" t="s">
        <v>56</v>
      </c>
      <c r="I107" s="7" t="s">
        <v>306</v>
      </c>
      <c r="J107" t="s">
        <v>363</v>
      </c>
      <c r="K107" s="17" t="str">
        <f>Table3[[#This Row],[Main Table]] &amp;"."&amp; Table3[[#This Row],[Main Field Name]]</f>
        <v>RBS_STRUCT_CWY.DIST_FR_START</v>
      </c>
      <c r="L107" s="17" t="e">
        <f>VLOOKUP(Table3[[#This Row],[Table and Field]],Table5[[Table and Field]:[Data Type]],3,FALSE)</f>
        <v>#N/A</v>
      </c>
      <c r="S107" t="s">
        <v>39</v>
      </c>
      <c r="W107">
        <v>1</v>
      </c>
    </row>
    <row r="108" spans="1:24" ht="41.45">
      <c r="A108" s="6" t="s">
        <v>25</v>
      </c>
      <c r="B108" s="6" t="s">
        <v>302</v>
      </c>
      <c r="C108" s="6" t="s">
        <v>340</v>
      </c>
      <c r="D108" s="3" t="s">
        <v>364</v>
      </c>
      <c r="E108" s="6" t="s">
        <v>365</v>
      </c>
      <c r="H108" t="s">
        <v>56</v>
      </c>
      <c r="I108" s="7" t="s">
        <v>306</v>
      </c>
      <c r="J108" t="s">
        <v>366</v>
      </c>
      <c r="K108" s="17" t="str">
        <f>Table3[[#This Row],[Main Table]] &amp;"."&amp; Table3[[#This Row],[Main Field Name]]</f>
        <v>RBS_STRUCT_CWY.MIN_CWY_WD</v>
      </c>
      <c r="L108" s="17" t="e">
        <f>VLOOKUP(Table3[[#This Row],[Table and Field]],Table5[[Table and Field]:[Data Type]],3,FALSE)</f>
        <v>#N/A</v>
      </c>
      <c r="S108" t="s">
        <v>39</v>
      </c>
      <c r="W108">
        <v>1</v>
      </c>
    </row>
    <row r="109" spans="1:24" ht="41.45">
      <c r="A109" s="6" t="s">
        <v>25</v>
      </c>
      <c r="B109" s="6" t="s">
        <v>302</v>
      </c>
      <c r="C109" s="6" t="s">
        <v>340</v>
      </c>
      <c r="D109" s="3" t="s">
        <v>367</v>
      </c>
      <c r="E109" s="6" t="s">
        <v>368</v>
      </c>
      <c r="H109" t="s">
        <v>56</v>
      </c>
      <c r="I109" s="7" t="s">
        <v>306</v>
      </c>
      <c r="J109" t="s">
        <v>369</v>
      </c>
      <c r="K109" s="17" t="str">
        <f>Table3[[#This Row],[Main Table]] &amp;"."&amp; Table3[[#This Row],[Main Field Name]]</f>
        <v>RBS_STRUCT_CWY.MAX_CWY_WD</v>
      </c>
      <c r="L109" s="17" t="e">
        <f>VLOOKUP(Table3[[#This Row],[Table and Field]],Table5[[Table and Field]:[Data Type]],3,FALSE)</f>
        <v>#N/A</v>
      </c>
      <c r="S109" t="s">
        <v>39</v>
      </c>
      <c r="W109">
        <v>1</v>
      </c>
    </row>
    <row r="110" spans="1:24" ht="27.6">
      <c r="A110" s="6" t="s">
        <v>25</v>
      </c>
      <c r="B110" s="6" t="s">
        <v>302</v>
      </c>
      <c r="C110" s="6" t="s">
        <v>340</v>
      </c>
      <c r="D110" s="3" t="s">
        <v>370</v>
      </c>
      <c r="E110" s="6" t="s">
        <v>371</v>
      </c>
      <c r="H110" t="s">
        <v>56</v>
      </c>
      <c r="I110" s="7" t="s">
        <v>306</v>
      </c>
      <c r="J110" t="s">
        <v>372</v>
      </c>
      <c r="K110" s="17" t="str">
        <f>Table3[[#This Row],[Main Table]] &amp;"."&amp; Table3[[#This Row],[Main Field Name]]</f>
        <v>RBS_STRUCT_CWY.LINK_FOR_INSP_YN</v>
      </c>
      <c r="L110" s="17" t="e">
        <f>VLOOKUP(Table3[[#This Row],[Table and Field]],Table5[[Table and Field]:[Data Type]],3,FALSE)</f>
        <v>#N/A</v>
      </c>
      <c r="S110" t="s">
        <v>39</v>
      </c>
      <c r="W110">
        <v>1</v>
      </c>
    </row>
    <row r="111" spans="1:24" ht="27.6">
      <c r="A111" s="6" t="s">
        <v>25</v>
      </c>
      <c r="B111" s="6" t="s">
        <v>302</v>
      </c>
      <c r="C111" s="6" t="s">
        <v>340</v>
      </c>
      <c r="D111" s="3" t="s">
        <v>373</v>
      </c>
      <c r="E111" s="6" t="s">
        <v>374</v>
      </c>
      <c r="H111" t="s">
        <v>56</v>
      </c>
      <c r="I111" s="7" t="s">
        <v>306</v>
      </c>
      <c r="J111" t="s">
        <v>375</v>
      </c>
      <c r="K111" s="17" t="str">
        <f>Table3[[#This Row],[Main Table]] &amp;"."&amp; Table3[[#This Row],[Main Field Name]]</f>
        <v>RBS_STRUCT_CWY.LINK_FOR_CAPT_YN</v>
      </c>
      <c r="L111" s="17" t="e">
        <f>VLOOKUP(Table3[[#This Row],[Table and Field]],Table5[[Table and Field]:[Data Type]],3,FALSE)</f>
        <v>#N/A</v>
      </c>
      <c r="S111" t="s">
        <v>39</v>
      </c>
      <c r="W111">
        <v>1</v>
      </c>
    </row>
    <row r="112" spans="1:24" ht="82.9">
      <c r="A112" s="6" t="s">
        <v>25</v>
      </c>
      <c r="B112" s="6" t="s">
        <v>302</v>
      </c>
      <c r="C112" s="6" t="s">
        <v>376</v>
      </c>
      <c r="D112" s="3" t="s">
        <v>377</v>
      </c>
      <c r="E112" s="6" t="s">
        <v>378</v>
      </c>
      <c r="H112" t="s">
        <v>56</v>
      </c>
      <c r="I112" s="7" t="s">
        <v>29</v>
      </c>
      <c r="J112" t="str">
        <f>J46</f>
        <v>FACI_TYPE_CODE</v>
      </c>
      <c r="K112" s="17" t="str">
        <f>Table3[[#This Row],[Main Table]] &amp;"."&amp; Table3[[#This Row],[Main Field Name]]</f>
        <v>RBS_STRUCTURES.FACI_TYPE_CODE</v>
      </c>
      <c r="L112" s="17" t="str">
        <f>VLOOKUP(Table3[[#This Row],[Table and Field]],Table5[[Table and Field]:[Data Type]],3,FALSE)</f>
        <v>VARCHAR2(6),</v>
      </c>
      <c r="M112" s="32" t="str">
        <f>M46</f>
        <v xml:space="preserve">RBS_REF_TABLES. REF_TABLE_NAME = 'FCILTY_TYP' </v>
      </c>
      <c r="N112" s="6" t="str">
        <f>N46</f>
        <v>rbs_structures. Faci_type_code = rbs_ref_tables. reference code and rbs_ref_tables. ref_table_name = 'FCILTY_TYP'.
Description = REBS_REF_TABLES. REFERENCE_DESCR1. 
Example: RBS_REF_TABLES. REFERENCE_CODE = 5 - Bridge; 8 - Tunnel.</v>
      </c>
      <c r="S112" t="s">
        <v>39</v>
      </c>
      <c r="W112">
        <v>1</v>
      </c>
    </row>
    <row r="113" spans="1:23" ht="55.15">
      <c r="A113" s="6" t="s">
        <v>25</v>
      </c>
      <c r="B113" s="6" t="s">
        <v>302</v>
      </c>
      <c r="C113" s="6" t="s">
        <v>376</v>
      </c>
      <c r="D113" s="3" t="s">
        <v>379</v>
      </c>
      <c r="E113" s="6" t="s">
        <v>380</v>
      </c>
      <c r="H113" t="s">
        <v>36</v>
      </c>
      <c r="I113" s="7" t="s">
        <v>381</v>
      </c>
      <c r="J113" s="1" t="s">
        <v>382</v>
      </c>
      <c r="K113" s="17" t="str">
        <f>Table3[[#This Row],[Main Table]] &amp;"."&amp; Table3[[#This Row],[Main Field Name]]</f>
        <v>RBS_STRUCT_CWY_FUNC.CWY_FUNC_TYPE_CODE</v>
      </c>
      <c r="L113" s="17" t="e">
        <f>VLOOKUP(Table3[[#This Row],[Table and Field]],Table5[[Table and Field]:[Data Type]],3,FALSE)</f>
        <v>#N/A</v>
      </c>
      <c r="S113" t="s">
        <v>39</v>
      </c>
      <c r="W113">
        <v>1</v>
      </c>
    </row>
    <row r="114" spans="1:23" ht="55.15">
      <c r="A114" s="6" t="s">
        <v>25</v>
      </c>
      <c r="B114" s="6" t="s">
        <v>302</v>
      </c>
      <c r="C114" s="6" t="s">
        <v>376</v>
      </c>
      <c r="D114" s="3" t="s">
        <v>383</v>
      </c>
      <c r="E114" s="6" t="s">
        <v>384</v>
      </c>
      <c r="H114" t="s">
        <v>36</v>
      </c>
      <c r="I114" s="7" t="s">
        <v>99</v>
      </c>
      <c r="J114" t="s">
        <v>100</v>
      </c>
      <c r="K114" s="17" t="str">
        <f>Table3[[#This Row],[Main Table]] &amp;"."&amp; Table3[[#This Row],[Main Field Name]]</f>
        <v>rbs_ref_tables.REFERENCE_DESCR1</v>
      </c>
      <c r="L114" s="17" t="e">
        <f>VLOOKUP(Table3[[#This Row],[Table and Field]],Table5[[Table and Field]:[Data Type]],3,FALSE)</f>
        <v>#N/A</v>
      </c>
      <c r="M114" s="32" t="s">
        <v>385</v>
      </c>
      <c r="N114" s="6" t="s">
        <v>386</v>
      </c>
      <c r="S114" t="s">
        <v>39</v>
      </c>
      <c r="W114">
        <v>1</v>
      </c>
    </row>
    <row r="115" spans="1:23" ht="55.15">
      <c r="A115" s="6" t="s">
        <v>25</v>
      </c>
      <c r="B115" s="6" t="s">
        <v>302</v>
      </c>
      <c r="C115" s="6" t="s">
        <v>387</v>
      </c>
      <c r="D115" s="3" t="s">
        <v>388</v>
      </c>
      <c r="E115" s="6" t="s">
        <v>389</v>
      </c>
      <c r="H115" t="s">
        <v>36</v>
      </c>
      <c r="I115" s="7" t="s">
        <v>306</v>
      </c>
      <c r="J115" t="s">
        <v>390</v>
      </c>
      <c r="K115" s="17" t="str">
        <f>Table3[[#This Row],[Main Table]] &amp;"."&amp; Table3[[#This Row],[Main Field Name]]</f>
        <v>RBS_STRUCT_CWY.TRAFFIC_FROM</v>
      </c>
      <c r="L115" s="17" t="e">
        <f>VLOOKUP(Table3[[#This Row],[Table and Field]],Table5[[Table and Field]:[Data Type]],3,FALSE)</f>
        <v>#N/A</v>
      </c>
      <c r="S115" t="s">
        <v>39</v>
      </c>
      <c r="W115">
        <v>1</v>
      </c>
    </row>
    <row r="116" spans="1:23" ht="55.15">
      <c r="A116" s="6" t="s">
        <v>25</v>
      </c>
      <c r="B116" s="6" t="s">
        <v>302</v>
      </c>
      <c r="C116" s="6" t="s">
        <v>387</v>
      </c>
      <c r="D116" s="3" t="s">
        <v>391</v>
      </c>
      <c r="E116" s="6" t="s">
        <v>392</v>
      </c>
      <c r="H116" t="s">
        <v>36</v>
      </c>
      <c r="I116" s="7" t="s">
        <v>306</v>
      </c>
      <c r="J116" t="s">
        <v>393</v>
      </c>
      <c r="K116" s="17" t="str">
        <f>Table3[[#This Row],[Main Table]] &amp;"."&amp; Table3[[#This Row],[Main Field Name]]</f>
        <v>RBS_STRUCT_CWY.TRAFFIC_TO</v>
      </c>
      <c r="L116" s="17" t="e">
        <f>VLOOKUP(Table3[[#This Row],[Table and Field]],Table5[[Table and Field]:[Data Type]],3,FALSE)</f>
        <v>#N/A</v>
      </c>
      <c r="S116" t="s">
        <v>39</v>
      </c>
      <c r="W116">
        <v>1</v>
      </c>
    </row>
    <row r="117" spans="1:23" ht="55.15">
      <c r="A117" s="6" t="s">
        <v>25</v>
      </c>
      <c r="B117" s="6" t="s">
        <v>302</v>
      </c>
      <c r="C117" s="6" t="s">
        <v>387</v>
      </c>
      <c r="D117" s="3" t="s">
        <v>394</v>
      </c>
      <c r="E117" s="6" t="s">
        <v>395</v>
      </c>
      <c r="H117" t="s">
        <v>36</v>
      </c>
      <c r="I117" s="7" t="s">
        <v>396</v>
      </c>
      <c r="J117" t="s">
        <v>397</v>
      </c>
      <c r="K117" s="17" t="str">
        <f>Table3[[#This Row],[Main Table]] &amp;"."&amp; Table3[[#This Row],[Main Field Name]]</f>
        <v>RBS_CWAY_LANES.LANE_NO</v>
      </c>
      <c r="L117" s="17" t="e">
        <f>VLOOKUP(Table3[[#This Row],[Table and Field]],Table5[[Table and Field]:[Data Type]],3,FALSE)</f>
        <v>#N/A</v>
      </c>
      <c r="S117" t="s">
        <v>39</v>
      </c>
      <c r="W117">
        <v>1</v>
      </c>
    </row>
    <row r="118" spans="1:23" ht="55.15">
      <c r="A118" s="6" t="s">
        <v>25</v>
      </c>
      <c r="B118" s="6" t="s">
        <v>302</v>
      </c>
      <c r="C118" s="6" t="s">
        <v>387</v>
      </c>
      <c r="D118" s="3" t="s">
        <v>398</v>
      </c>
      <c r="E118" s="6" t="s">
        <v>399</v>
      </c>
      <c r="H118" t="s">
        <v>36</v>
      </c>
      <c r="I118" s="7" t="s">
        <v>396</v>
      </c>
      <c r="J118" t="s">
        <v>400</v>
      </c>
      <c r="K118" s="17" t="str">
        <f>Table3[[#This Row],[Main Table]] &amp;"."&amp; Table3[[#This Row],[Main Field Name]]</f>
        <v>RBS_CWAY_LANES.IN_PRES_DIR_YN</v>
      </c>
      <c r="L118" s="17" t="e">
        <f>VLOOKUP(Table3[[#This Row],[Table and Field]],Table5[[Table and Field]:[Data Type]],3,FALSE)</f>
        <v>#N/A</v>
      </c>
      <c r="S118" t="s">
        <v>39</v>
      </c>
      <c r="W118">
        <v>1</v>
      </c>
    </row>
    <row r="119" spans="1:23" ht="55.15">
      <c r="A119" s="6" t="s">
        <v>25</v>
      </c>
      <c r="B119" s="6" t="s">
        <v>302</v>
      </c>
      <c r="C119" s="6" t="s">
        <v>387</v>
      </c>
      <c r="D119" s="3" t="s">
        <v>401</v>
      </c>
      <c r="E119" s="6" t="s">
        <v>402</v>
      </c>
      <c r="H119" t="s">
        <v>36</v>
      </c>
      <c r="I119" s="7" t="s">
        <v>396</v>
      </c>
      <c r="J119" t="s">
        <v>403</v>
      </c>
      <c r="K119" s="17" t="str">
        <f>Table3[[#This Row],[Main Table]] &amp;"."&amp; Table3[[#This Row],[Main Field Name]]</f>
        <v>RBS_CWAY_LANES.CLEARANCE_HEIGHT</v>
      </c>
      <c r="L119" s="17" t="e">
        <f>VLOOKUP(Table3[[#This Row],[Table and Field]],Table5[[Table and Field]:[Data Type]],3,FALSE)</f>
        <v>#N/A</v>
      </c>
      <c r="S119" t="s">
        <v>39</v>
      </c>
      <c r="W119">
        <v>1</v>
      </c>
    </row>
    <row r="120" spans="1:23" ht="55.15">
      <c r="A120" s="6" t="s">
        <v>25</v>
      </c>
      <c r="B120" s="6" t="s">
        <v>302</v>
      </c>
      <c r="C120" s="6" t="s">
        <v>387</v>
      </c>
      <c r="D120" s="3" t="s">
        <v>404</v>
      </c>
      <c r="E120" s="6" t="s">
        <v>405</v>
      </c>
      <c r="H120" t="s">
        <v>36</v>
      </c>
      <c r="I120" s="7" t="s">
        <v>396</v>
      </c>
      <c r="J120" t="s">
        <v>406</v>
      </c>
      <c r="K120" s="17" t="str">
        <f>Table3[[#This Row],[Main Table]] &amp;"."&amp; Table3[[#This Row],[Main Field Name]]</f>
        <v>RBS_CWAY_LANES.CLEARANCE_SIGN</v>
      </c>
      <c r="L120" s="17" t="e">
        <f>VLOOKUP(Table3[[#This Row],[Table and Field]],Table5[[Table and Field]:[Data Type]],3,FALSE)</f>
        <v>#N/A</v>
      </c>
      <c r="S120" t="s">
        <v>39</v>
      </c>
      <c r="W120">
        <v>1</v>
      </c>
    </row>
    <row r="121" spans="1:23" ht="28.9">
      <c r="A121" s="6" t="s">
        <v>25</v>
      </c>
      <c r="B121" s="6" t="s">
        <v>302</v>
      </c>
      <c r="C121" s="6" t="s">
        <v>303</v>
      </c>
      <c r="D121" s="3" t="s">
        <v>407</v>
      </c>
      <c r="E121" s="6" t="s">
        <v>407</v>
      </c>
      <c r="H121" t="s">
        <v>56</v>
      </c>
      <c r="I121" s="7" t="s">
        <v>306</v>
      </c>
      <c r="J121" t="s">
        <v>408</v>
      </c>
      <c r="K121" s="17" t="str">
        <f>Table3[[#This Row],[Main Table]] &amp;"."&amp; Table3[[#This Row],[Main Field Name]]</f>
        <v>RBS_STRUCT_CWY.COMMENTS</v>
      </c>
      <c r="L121" s="17" t="e">
        <f>VLOOKUP(Table3[[#This Row],[Table and Field]],Table5[[Table and Field]:[Data Type]],3,FALSE)</f>
        <v>#N/A</v>
      </c>
      <c r="S121" t="s">
        <v>39</v>
      </c>
      <c r="W121">
        <v>1</v>
      </c>
    </row>
    <row r="122" spans="1:23" ht="28.9">
      <c r="A122" s="6" t="s">
        <v>25</v>
      </c>
      <c r="B122" s="6" t="s">
        <v>302</v>
      </c>
      <c r="C122" s="6" t="s">
        <v>303</v>
      </c>
      <c r="D122" s="3" t="s">
        <v>409</v>
      </c>
      <c r="E122" s="6" t="s">
        <v>409</v>
      </c>
      <c r="H122" t="s">
        <v>56</v>
      </c>
      <c r="I122" s="7" t="s">
        <v>29</v>
      </c>
      <c r="J122" t="s">
        <v>410</v>
      </c>
      <c r="K122" s="17" t="str">
        <f>Table3[[#This Row],[Main Table]] &amp;"."&amp; Table3[[#This Row],[Main Field Name]]</f>
        <v>RBS_STRUCTURES.APPROACH_CWY_WIDTH</v>
      </c>
      <c r="L122" s="17" t="str">
        <f>VLOOKUP(Table3[[#This Row],[Table and Field]],Table5[[Table and Field]:[Data Type]],3,FALSE)</f>
        <v>NUMBER,</v>
      </c>
      <c r="S122" t="s">
        <v>39</v>
      </c>
      <c r="W122">
        <v>1</v>
      </c>
    </row>
    <row r="123" spans="1:23" ht="41.45">
      <c r="A123" s="6" t="s">
        <v>25</v>
      </c>
      <c r="B123" s="6" t="s">
        <v>411</v>
      </c>
      <c r="C123" s="6" t="s">
        <v>412</v>
      </c>
      <c r="D123" s="3" t="s">
        <v>413</v>
      </c>
      <c r="E123" s="6" t="s">
        <v>414</v>
      </c>
      <c r="H123" t="s">
        <v>36</v>
      </c>
      <c r="I123" s="7" t="s">
        <v>415</v>
      </c>
      <c r="J123" t="s">
        <v>416</v>
      </c>
      <c r="K123" s="17" t="str">
        <f>Table3[[#This Row],[Main Table]] &amp;"."&amp; Table3[[#This Row],[Main Field Name]]</f>
        <v>RBS_STRUCT_CONSTRS.YR_COMPLETED</v>
      </c>
      <c r="L123" s="17" t="e">
        <f>VLOOKUP(Table3[[#This Row],[Table and Field]],Table5[[Table and Field]:[Data Type]],3,FALSE)</f>
        <v>#N/A</v>
      </c>
      <c r="S123" t="s">
        <v>269</v>
      </c>
    </row>
    <row r="124" spans="1:23" ht="41.45">
      <c r="A124" s="6" t="s">
        <v>25</v>
      </c>
      <c r="B124" s="6" t="s">
        <v>411</v>
      </c>
      <c r="C124" s="6" t="s">
        <v>412</v>
      </c>
      <c r="D124" s="3" t="s">
        <v>417</v>
      </c>
      <c r="E124" s="6" t="s">
        <v>418</v>
      </c>
      <c r="H124" t="s">
        <v>36</v>
      </c>
      <c r="I124" s="7" t="s">
        <v>415</v>
      </c>
      <c r="J124" t="s">
        <v>419</v>
      </c>
      <c r="K124" s="17" t="str">
        <f>Table3[[#This Row],[Main Table]] &amp;"."&amp; Table3[[#This Row],[Main Field Name]]</f>
        <v>RBS_STRUCT_CONSTRS.ESTIMATE_YN</v>
      </c>
      <c r="L124" s="17" t="e">
        <f>VLOOKUP(Table3[[#This Row],[Table and Field]],Table5[[Table and Field]:[Data Type]],3,FALSE)</f>
        <v>#N/A</v>
      </c>
      <c r="S124" t="s">
        <v>269</v>
      </c>
    </row>
    <row r="125" spans="1:23" ht="41.45">
      <c r="A125" s="6" t="s">
        <v>25</v>
      </c>
      <c r="B125" s="6" t="s">
        <v>411</v>
      </c>
      <c r="C125" s="6" t="s">
        <v>412</v>
      </c>
      <c r="D125" s="3" t="s">
        <v>420</v>
      </c>
      <c r="E125" s="6" t="s">
        <v>421</v>
      </c>
      <c r="H125" t="s">
        <v>36</v>
      </c>
      <c r="I125" s="7" t="s">
        <v>415</v>
      </c>
      <c r="J125" t="s">
        <v>422</v>
      </c>
      <c r="K125" s="17" t="str">
        <f>Table3[[#This Row],[Main Table]] &amp;"."&amp; Table3[[#This Row],[Main Field Name]]</f>
        <v>RBS_STRUCT_CONSTRS.STRUCT_CONSTR_TYPE_CODE</v>
      </c>
      <c r="L125" s="17" t="e">
        <f>VLOOKUP(Table3[[#This Row],[Table and Field]],Table5[[Table and Field]:[Data Type]],3,FALSE)</f>
        <v>#N/A</v>
      </c>
      <c r="M125" s="32" t="s">
        <v>423</v>
      </c>
      <c r="S125" t="s">
        <v>269</v>
      </c>
    </row>
    <row r="126" spans="1:23" ht="41.45">
      <c r="A126" s="6" t="s">
        <v>25</v>
      </c>
      <c r="B126" s="6" t="s">
        <v>411</v>
      </c>
      <c r="C126" s="6" t="s">
        <v>412</v>
      </c>
      <c r="D126" s="3" t="s">
        <v>424</v>
      </c>
      <c r="E126" s="6" t="s">
        <v>425</v>
      </c>
      <c r="H126" t="s">
        <v>36</v>
      </c>
      <c r="I126" s="7" t="s">
        <v>415</v>
      </c>
      <c r="J126" t="s">
        <v>426</v>
      </c>
      <c r="K126" s="17" t="str">
        <f>Table3[[#This Row],[Main Table]] &amp;"."&amp; Table3[[#This Row],[Main Field Name]]</f>
        <v>RBS_STRUCT_CONSTRS.CONSTR_COST</v>
      </c>
      <c r="L126" s="17" t="e">
        <f>VLOOKUP(Table3[[#This Row],[Table and Field]],Table5[[Table and Field]:[Data Type]],3,FALSE)</f>
        <v>#N/A</v>
      </c>
      <c r="S126" t="s">
        <v>269</v>
      </c>
    </row>
    <row r="127" spans="1:23" ht="41.45">
      <c r="A127" s="6" t="s">
        <v>25</v>
      </c>
      <c r="B127" s="6" t="s">
        <v>411</v>
      </c>
      <c r="C127" s="6" t="s">
        <v>427</v>
      </c>
      <c r="D127" s="3" t="s">
        <v>428</v>
      </c>
      <c r="E127" s="6" t="s">
        <v>429</v>
      </c>
      <c r="H127" t="s">
        <v>36</v>
      </c>
      <c r="I127" s="7" t="s">
        <v>430</v>
      </c>
      <c r="J127" t="s">
        <v>431</v>
      </c>
      <c r="K127" s="17" t="str">
        <f>Table3[[#This Row],[Main Table]] &amp;"."&amp; Table3[[#This Row],[Main Field Name]]</f>
        <v>RBS_CONSTR_DRWGS.DRWG_NUMBER</v>
      </c>
      <c r="L127" s="17" t="e">
        <f>VLOOKUP(Table3[[#This Row],[Table and Field]],Table5[[Table and Field]:[Data Type]],3,FALSE)</f>
        <v>#N/A</v>
      </c>
      <c r="S127" t="s">
        <v>269</v>
      </c>
    </row>
    <row r="128" spans="1:23" ht="41.45">
      <c r="A128" s="6" t="s">
        <v>25</v>
      </c>
      <c r="B128" s="6" t="s">
        <v>411</v>
      </c>
      <c r="C128" s="6" t="s">
        <v>427</v>
      </c>
      <c r="D128" s="3" t="s">
        <v>432</v>
      </c>
      <c r="E128" s="6" t="s">
        <v>433</v>
      </c>
      <c r="H128" t="s">
        <v>36</v>
      </c>
      <c r="I128" s="7" t="s">
        <v>430</v>
      </c>
      <c r="J128" t="s">
        <v>434</v>
      </c>
      <c r="K128" s="17" t="str">
        <f>Table3[[#This Row],[Main Table]] &amp;"."&amp; Table3[[#This Row],[Main Field Name]]</f>
        <v>RBS_CONSTR_DRWGS.WORK_EXECUTED_YN</v>
      </c>
      <c r="L128" s="17" t="e">
        <f>VLOOKUP(Table3[[#This Row],[Table and Field]],Table5[[Table and Field]:[Data Type]],3,FALSE)</f>
        <v>#N/A</v>
      </c>
      <c r="S128" t="s">
        <v>269</v>
      </c>
    </row>
    <row r="129" spans="1:19" ht="41.45">
      <c r="A129" s="6" t="s">
        <v>25</v>
      </c>
      <c r="B129" s="6" t="s">
        <v>411</v>
      </c>
      <c r="C129" s="6" t="s">
        <v>427</v>
      </c>
      <c r="D129" s="3" t="s">
        <v>435</v>
      </c>
      <c r="E129" s="6" t="s">
        <v>46</v>
      </c>
      <c r="H129" t="s">
        <v>36</v>
      </c>
      <c r="I129" s="7" t="s">
        <v>430</v>
      </c>
      <c r="J129" t="s">
        <v>408</v>
      </c>
      <c r="K129" s="17" t="str">
        <f>Table3[[#This Row],[Main Table]] &amp;"."&amp; Table3[[#This Row],[Main Field Name]]</f>
        <v>RBS_CONSTR_DRWGS.COMMENTS</v>
      </c>
      <c r="L129" s="17" t="e">
        <f>VLOOKUP(Table3[[#This Row],[Table and Field]],Table5[[Table and Field]:[Data Type]],3,FALSE)</f>
        <v>#N/A</v>
      </c>
      <c r="S129" t="s">
        <v>269</v>
      </c>
    </row>
    <row r="130" spans="1:19" ht="41.45">
      <c r="A130" s="6" t="s">
        <v>25</v>
      </c>
      <c r="B130" s="6" t="s">
        <v>411</v>
      </c>
      <c r="C130" s="6" t="s">
        <v>427</v>
      </c>
      <c r="D130" s="3" t="s">
        <v>436</v>
      </c>
      <c r="E130" s="6" t="s">
        <v>437</v>
      </c>
      <c r="H130" t="s">
        <v>36</v>
      </c>
      <c r="I130" s="7" t="s">
        <v>430</v>
      </c>
      <c r="J130" t="s">
        <v>438</v>
      </c>
      <c r="K130" s="17" t="str">
        <f>Table3[[#This Row],[Main Table]] &amp;"."&amp; Table3[[#This Row],[Main Field Name]]</f>
        <v>RBS_CONSTR_DRWGS.DSGN_LOAD_CODE</v>
      </c>
      <c r="L130" s="17" t="e">
        <f>VLOOKUP(Table3[[#This Row],[Table and Field]],Table5[[Table and Field]:[Data Type]],3,FALSE)</f>
        <v>#N/A</v>
      </c>
      <c r="S130" t="s">
        <v>269</v>
      </c>
    </row>
    <row r="131" spans="1:19" ht="41.45">
      <c r="A131" s="6" t="s">
        <v>25</v>
      </c>
      <c r="B131" s="6" t="s">
        <v>411</v>
      </c>
      <c r="C131" s="6" t="s">
        <v>427</v>
      </c>
      <c r="D131" s="3" t="s">
        <v>439</v>
      </c>
      <c r="E131" s="6" t="s">
        <v>440</v>
      </c>
      <c r="H131" t="s">
        <v>36</v>
      </c>
      <c r="I131" s="7" t="s">
        <v>430</v>
      </c>
      <c r="J131" t="s">
        <v>438</v>
      </c>
      <c r="K131" s="17" t="str">
        <f>Table3[[#This Row],[Main Table]] &amp;"."&amp; Table3[[#This Row],[Main Field Name]]</f>
        <v>RBS_CONSTR_DRWGS.DSGN_LOAD_CODE</v>
      </c>
      <c r="L131" s="17" t="e">
        <f>VLOOKUP(Table3[[#This Row],[Table and Field]],Table5[[Table and Field]:[Data Type]],3,FALSE)</f>
        <v>#N/A</v>
      </c>
      <c r="N131" s="6" t="s">
        <v>441</v>
      </c>
      <c r="S131" t="s">
        <v>269</v>
      </c>
    </row>
    <row r="132" spans="1:19" ht="41.45">
      <c r="A132" s="6" t="s">
        <v>25</v>
      </c>
      <c r="B132" s="6" t="s">
        <v>411</v>
      </c>
      <c r="C132" s="6" t="s">
        <v>442</v>
      </c>
      <c r="D132" s="3" t="s">
        <v>443</v>
      </c>
      <c r="E132" s="6" t="s">
        <v>444</v>
      </c>
      <c r="H132" t="s">
        <v>36</v>
      </c>
      <c r="I132" s="7" t="s">
        <v>445</v>
      </c>
      <c r="J132" t="s">
        <v>446</v>
      </c>
      <c r="K132" s="17" t="str">
        <f>Table3[[#This Row],[Main Table]] &amp;"."&amp; Table3[[#This Row],[Main Field Name]]</f>
        <v>RBS_CONSTR_DRWG_LINKS.LINK_ID</v>
      </c>
      <c r="L132" s="17" t="e">
        <f>VLOOKUP(Table3[[#This Row],[Table and Field]],Table5[[Table and Field]:[Data Type]],3,FALSE)</f>
        <v>#N/A</v>
      </c>
      <c r="O132" t="s">
        <v>447</v>
      </c>
      <c r="S132" t="s">
        <v>269</v>
      </c>
    </row>
    <row r="133" spans="1:19" ht="41.45">
      <c r="A133" s="6" t="s">
        <v>25</v>
      </c>
      <c r="B133" s="6" t="s">
        <v>411</v>
      </c>
      <c r="C133" s="6" t="s">
        <v>442</v>
      </c>
      <c r="D133" s="3" t="s">
        <v>428</v>
      </c>
      <c r="E133" s="6" t="s">
        <v>429</v>
      </c>
      <c r="H133" t="s">
        <v>36</v>
      </c>
      <c r="I133" s="7" t="s">
        <v>448</v>
      </c>
      <c r="J133" t="s">
        <v>449</v>
      </c>
      <c r="K133" s="17" t="str">
        <f>Table3[[#This Row],[Main Table]] &amp;"."&amp; Table3[[#This Row],[Main Field Name]]</f>
        <v>EDM_FOLDERS.TEXT_FILE_NUMBER</v>
      </c>
      <c r="L133" s="17" t="e">
        <f>VLOOKUP(Table3[[#This Row],[Table and Field]],Table5[[Table and Field]:[Data Type]],3,FALSE)</f>
        <v>#N/A</v>
      </c>
      <c r="S133" t="s">
        <v>269</v>
      </c>
    </row>
    <row r="134" spans="1:19" ht="41.45">
      <c r="A134" s="6" t="s">
        <v>25</v>
      </c>
      <c r="B134" s="6" t="s">
        <v>411</v>
      </c>
      <c r="C134" s="6" t="s">
        <v>442</v>
      </c>
      <c r="D134" s="3" t="s">
        <v>46</v>
      </c>
      <c r="E134" s="6" t="s">
        <v>450</v>
      </c>
      <c r="H134" t="s">
        <v>36</v>
      </c>
      <c r="I134" s="7" t="s">
        <v>448</v>
      </c>
      <c r="J134" t="s">
        <v>451</v>
      </c>
      <c r="K134" s="17" t="str">
        <f>Table3[[#This Row],[Main Table]] &amp;"."&amp; Table3[[#This Row],[Main Field Name]]</f>
        <v>EDM_FOLDERS.NAME</v>
      </c>
      <c r="L134" s="17" t="e">
        <f>VLOOKUP(Table3[[#This Row],[Table and Field]],Table5[[Table and Field]:[Data Type]],3,FALSE)</f>
        <v>#N/A</v>
      </c>
      <c r="S134" t="s">
        <v>269</v>
      </c>
    </row>
    <row r="135" spans="1:19" ht="41.45">
      <c r="A135" s="6" t="s">
        <v>25</v>
      </c>
      <c r="B135" s="6" t="s">
        <v>411</v>
      </c>
      <c r="C135" s="6" t="s">
        <v>452</v>
      </c>
      <c r="D135" s="3" t="s">
        <v>453</v>
      </c>
      <c r="E135" s="6" t="s">
        <v>454</v>
      </c>
      <c r="H135" t="s">
        <v>36</v>
      </c>
      <c r="I135" s="7" t="s">
        <v>238</v>
      </c>
      <c r="J135" t="s">
        <v>238</v>
      </c>
      <c r="K135" s="17" t="str">
        <f>Table3[[#This Row],[Main Table]] &amp;"."&amp; Table3[[#This Row],[Main Field Name]]</f>
        <v>?.?</v>
      </c>
      <c r="L135" s="17" t="e">
        <f>VLOOKUP(Table3[[#This Row],[Table and Field]],Table5[[Table and Field]:[Data Type]],3,FALSE)</f>
        <v>#N/A</v>
      </c>
      <c r="S135" t="s">
        <v>269</v>
      </c>
    </row>
    <row r="136" spans="1:19" ht="41.45">
      <c r="A136" s="6" t="s">
        <v>25</v>
      </c>
      <c r="B136" s="6" t="s">
        <v>411</v>
      </c>
      <c r="C136" s="6" t="s">
        <v>455</v>
      </c>
      <c r="D136" s="3" t="s">
        <v>456</v>
      </c>
      <c r="E136" s="6" t="s">
        <v>457</v>
      </c>
      <c r="H136" t="s">
        <v>36</v>
      </c>
      <c r="I136" s="7" t="s">
        <v>458</v>
      </c>
      <c r="J136" t="s">
        <v>459</v>
      </c>
      <c r="K136" s="17" t="str">
        <f>Table3[[#This Row],[Main Table]] &amp;"."&amp; Table3[[#This Row],[Main Field Name]]</f>
        <v>RBS_SUPSTR_SPAN_GRPS.SPAN_FROM</v>
      </c>
      <c r="L136" s="17" t="e">
        <f>VLOOKUP(Table3[[#This Row],[Table and Field]],Table5[[Table and Field]:[Data Type]],3,FALSE)</f>
        <v>#N/A</v>
      </c>
      <c r="S136" t="s">
        <v>269</v>
      </c>
    </row>
    <row r="137" spans="1:19" ht="41.45">
      <c r="A137" s="6" t="s">
        <v>25</v>
      </c>
      <c r="B137" s="6" t="s">
        <v>411</v>
      </c>
      <c r="C137" s="6" t="s">
        <v>455</v>
      </c>
      <c r="D137" s="3" t="s">
        <v>460</v>
      </c>
      <c r="E137" s="6" t="s">
        <v>461</v>
      </c>
      <c r="H137" t="s">
        <v>36</v>
      </c>
      <c r="I137" s="7" t="s">
        <v>458</v>
      </c>
      <c r="J137" t="s">
        <v>462</v>
      </c>
      <c r="K137" s="17" t="str">
        <f>Table3[[#This Row],[Main Table]] &amp;"."&amp; Table3[[#This Row],[Main Field Name]]</f>
        <v>RBS_SUPSTR_SPAN_GRPS.SPAN_TO</v>
      </c>
      <c r="L137" s="17" t="e">
        <f>VLOOKUP(Table3[[#This Row],[Table and Field]],Table5[[Table and Field]:[Data Type]],3,FALSE)</f>
        <v>#N/A</v>
      </c>
      <c r="S137" t="s">
        <v>269</v>
      </c>
    </row>
    <row r="138" spans="1:19" ht="41.45">
      <c r="A138" s="6" t="s">
        <v>25</v>
      </c>
      <c r="B138" s="6" t="s">
        <v>411</v>
      </c>
      <c r="C138" s="6" t="s">
        <v>455</v>
      </c>
      <c r="D138" s="3" t="s">
        <v>463</v>
      </c>
      <c r="E138" s="6" t="s">
        <v>464</v>
      </c>
      <c r="H138" t="s">
        <v>36</v>
      </c>
      <c r="I138" s="7" t="s">
        <v>458</v>
      </c>
      <c r="J138" t="s">
        <v>465</v>
      </c>
      <c r="K138" s="17" t="str">
        <f>Table3[[#This Row],[Main Table]] &amp;"."&amp; Table3[[#This Row],[Main Field Name]]</f>
        <v>RBS_SUPSTR_SPAN_GRPS.SPAN_LEN</v>
      </c>
      <c r="L138" s="17" t="e">
        <f>VLOOKUP(Table3[[#This Row],[Table and Field]],Table5[[Table and Field]:[Data Type]],3,FALSE)</f>
        <v>#N/A</v>
      </c>
      <c r="S138" t="s">
        <v>269</v>
      </c>
    </row>
    <row r="139" spans="1:19" ht="41.45">
      <c r="A139" s="6" t="s">
        <v>25</v>
      </c>
      <c r="B139" s="6" t="s">
        <v>411</v>
      </c>
      <c r="C139" s="6" t="s">
        <v>455</v>
      </c>
      <c r="D139" s="3" t="s">
        <v>466</v>
      </c>
      <c r="E139" s="6" t="s">
        <v>467</v>
      </c>
      <c r="H139" t="s">
        <v>36</v>
      </c>
      <c r="I139" s="7" t="s">
        <v>458</v>
      </c>
      <c r="J139" t="s">
        <v>468</v>
      </c>
      <c r="K139" s="17" t="str">
        <f>Table3[[#This Row],[Main Table]] &amp;"."&amp; Table3[[#This Row],[Main Field Name]]</f>
        <v>RBS_SUPSTR_SPAN_GRPS.CULV_HGHT</v>
      </c>
      <c r="L139" s="17" t="e">
        <f>VLOOKUP(Table3[[#This Row],[Table and Field]],Table5[[Table and Field]:[Data Type]],3,FALSE)</f>
        <v>#N/A</v>
      </c>
      <c r="S139" t="s">
        <v>269</v>
      </c>
    </row>
    <row r="140" spans="1:19" ht="41.45">
      <c r="A140" s="6" t="s">
        <v>25</v>
      </c>
      <c r="B140" s="6" t="s">
        <v>411</v>
      </c>
      <c r="C140" s="6" t="s">
        <v>455</v>
      </c>
      <c r="D140" s="3" t="s">
        <v>469</v>
      </c>
      <c r="E140" s="6" t="s">
        <v>470</v>
      </c>
      <c r="H140" t="s">
        <v>36</v>
      </c>
      <c r="I140" s="7" t="s">
        <v>458</v>
      </c>
      <c r="J140" t="s">
        <v>471</v>
      </c>
      <c r="K140" s="17" t="str">
        <f>Table3[[#This Row],[Main Table]] &amp;"."&amp; Table3[[#This Row],[Main Field Name]]</f>
        <v>RBS_SUPSTR_SPAN_GRPS.SPAN_MATL_CODE</v>
      </c>
      <c r="L140" s="17" t="e">
        <f>VLOOKUP(Table3[[#This Row],[Table and Field]],Table5[[Table and Field]:[Data Type]],3,FALSE)</f>
        <v>#N/A</v>
      </c>
      <c r="S140" t="s">
        <v>269</v>
      </c>
    </row>
    <row r="141" spans="1:19" ht="41.45">
      <c r="A141" s="6" t="s">
        <v>25</v>
      </c>
      <c r="B141" s="6" t="s">
        <v>411</v>
      </c>
      <c r="C141" s="6" t="s">
        <v>455</v>
      </c>
      <c r="D141" s="3" t="s">
        <v>472</v>
      </c>
      <c r="E141" s="6" t="s">
        <v>473</v>
      </c>
      <c r="H141" t="s">
        <v>36</v>
      </c>
      <c r="I141" s="7" t="s">
        <v>458</v>
      </c>
      <c r="J141" t="s">
        <v>474</v>
      </c>
      <c r="K141" s="17" t="str">
        <f>Table3[[#This Row],[Main Table]] &amp;"."&amp; Table3[[#This Row],[Main Field Name]]</f>
        <v>RBS_SUPSTR_SPAN_GRPS.SPAN_TYPE_CODE</v>
      </c>
      <c r="L141" s="17" t="e">
        <f>VLOOKUP(Table3[[#This Row],[Table and Field]],Table5[[Table and Field]:[Data Type]],3,FALSE)</f>
        <v>#N/A</v>
      </c>
      <c r="S141" t="s">
        <v>269</v>
      </c>
    </row>
    <row r="142" spans="1:19" ht="41.45">
      <c r="A142" s="6" t="s">
        <v>25</v>
      </c>
      <c r="B142" s="6" t="s">
        <v>411</v>
      </c>
      <c r="C142" s="6" t="s">
        <v>455</v>
      </c>
      <c r="D142" s="3" t="s">
        <v>475</v>
      </c>
      <c r="E142" s="6" t="s">
        <v>476</v>
      </c>
      <c r="H142" t="s">
        <v>36</v>
      </c>
      <c r="I142" s="7" t="s">
        <v>458</v>
      </c>
      <c r="J142" t="s">
        <v>477</v>
      </c>
      <c r="K142" s="17" t="str">
        <f>Table3[[#This Row],[Main Table]] &amp;"."&amp; Table3[[#This Row],[Main Field Name]]</f>
        <v>RBS_SUPSTR_SPAN_GRPS.PROT_COAT_TYPE_CODE (? No entries for BR2151 backend but exists in UI)</v>
      </c>
      <c r="L142" s="17" t="e">
        <f>VLOOKUP(Table3[[#This Row],[Table and Field]],Table5[[Table and Field]:[Data Type]],3,FALSE)</f>
        <v>#N/A</v>
      </c>
      <c r="S142" t="s">
        <v>269</v>
      </c>
    </row>
    <row r="143" spans="1:19" ht="41.45">
      <c r="A143" s="6" t="s">
        <v>25</v>
      </c>
      <c r="B143" s="6" t="s">
        <v>411</v>
      </c>
      <c r="C143" s="6" t="s">
        <v>455</v>
      </c>
      <c r="D143" s="3" t="s">
        <v>478</v>
      </c>
      <c r="E143" s="6" t="s">
        <v>479</v>
      </c>
      <c r="H143" t="s">
        <v>36</v>
      </c>
      <c r="I143" s="7" t="s">
        <v>458</v>
      </c>
      <c r="J143" t="s">
        <v>480</v>
      </c>
      <c r="K143" s="17" t="str">
        <f>Table3[[#This Row],[Main Table]] &amp;"."&amp; Table3[[#This Row],[Main Field Name]]</f>
        <v>RBS_SUPSTR_SPAN_GRPS.STRUCT_CAPT_TYPE_CODE</v>
      </c>
      <c r="L143" s="17" t="e">
        <f>VLOOKUP(Table3[[#This Row],[Table and Field]],Table5[[Table and Field]:[Data Type]],3,FALSE)</f>
        <v>#N/A</v>
      </c>
      <c r="M143" s="32" t="s">
        <v>481</v>
      </c>
      <c r="S143" t="s">
        <v>269</v>
      </c>
    </row>
    <row r="144" spans="1:19" ht="41.45">
      <c r="A144" s="6" t="s">
        <v>25</v>
      </c>
      <c r="B144" s="6" t="s">
        <v>411</v>
      </c>
      <c r="C144" s="6"/>
      <c r="D144" s="3" t="s">
        <v>482</v>
      </c>
      <c r="I144" s="7" t="s">
        <v>29</v>
      </c>
      <c r="J144" t="s">
        <v>483</v>
      </c>
      <c r="K144" s="17" t="str">
        <f>Table3[[#This Row],[Main Table]] &amp;"."&amp; Table3[[#This Row],[Main Field Name]]</f>
        <v>RBS_STRUCTURES.OVERALL_LENGTH</v>
      </c>
      <c r="L144" s="17" t="str">
        <f>VLOOKUP(Table3[[#This Row],[Table and Field]],Table5[[Table and Field]:[Data Type]],3,FALSE)</f>
        <v>NUMBER(6,2),</v>
      </c>
      <c r="N144" s="6" t="s">
        <v>484</v>
      </c>
      <c r="S144" t="s">
        <v>269</v>
      </c>
    </row>
    <row r="145" spans="1:22" ht="43.15">
      <c r="A145" s="6" t="s">
        <v>25</v>
      </c>
      <c r="B145" s="6" t="s">
        <v>411</v>
      </c>
      <c r="C145" s="6"/>
      <c r="D145" s="3" t="s">
        <v>485</v>
      </c>
      <c r="I145" s="7" t="s">
        <v>486</v>
      </c>
      <c r="J145" t="s">
        <v>487</v>
      </c>
      <c r="K145" s="17" t="str">
        <f>Table3[[#This Row],[Main Table]] &amp;"."&amp; Table3[[#This Row],[Main Field Name]]</f>
        <v>RBS_SPAN_GRPS_VW.TOTAL_SPAN_LENGTH</v>
      </c>
      <c r="L145" s="17" t="e">
        <f>VLOOKUP(Table3[[#This Row],[Table and Field]],Table5[[Table and Field]:[Data Type]],3,FALSE)</f>
        <v>#N/A</v>
      </c>
      <c r="N145" s="6" t="s">
        <v>488</v>
      </c>
      <c r="S145" t="s">
        <v>269</v>
      </c>
    </row>
    <row r="146" spans="1:22" ht="41.45">
      <c r="A146" s="6" t="s">
        <v>25</v>
      </c>
      <c r="B146" s="6" t="s">
        <v>411</v>
      </c>
      <c r="C146" s="6"/>
      <c r="D146" s="3" t="s">
        <v>489</v>
      </c>
      <c r="E146" s="6" t="s">
        <v>490</v>
      </c>
      <c r="I146" s="7" t="s">
        <v>29</v>
      </c>
      <c r="J146" t="s">
        <v>491</v>
      </c>
      <c r="K146" s="17" t="str">
        <f>Table3[[#This Row],[Main Table]] &amp;"."&amp; Table3[[#This Row],[Main Field Name]]</f>
        <v>RBS_STRUCTURES.SPAN_GROUP_REMARKS</v>
      </c>
      <c r="L146" s="17" t="str">
        <f>VLOOKUP(Table3[[#This Row],[Table and Field]],Table5[[Table and Field]:[Data Type]],3,FALSE)</f>
        <v>VARCHAR2(4000),</v>
      </c>
      <c r="S146" t="s">
        <v>269</v>
      </c>
    </row>
    <row r="147" spans="1:22" ht="27.6">
      <c r="A147" s="6" t="s">
        <v>25</v>
      </c>
      <c r="B147" s="6" t="s">
        <v>492</v>
      </c>
      <c r="C147" s="6" t="s">
        <v>493</v>
      </c>
      <c r="D147" s="3" t="s">
        <v>494</v>
      </c>
      <c r="E147" s="6" t="s">
        <v>495</v>
      </c>
      <c r="H147">
        <v>0</v>
      </c>
      <c r="I147" s="7" t="s">
        <v>29</v>
      </c>
      <c r="J147" t="s">
        <v>496</v>
      </c>
      <c r="K147" s="17" t="str">
        <f>Table3[[#This Row],[Main Table]] &amp;"."&amp; Table3[[#This Row],[Main Field Name]]</f>
        <v>RBS_STRUCTURES.FTWAY_WIDTH_LHS</v>
      </c>
      <c r="L147" s="17" t="str">
        <f>VLOOKUP(Table3[[#This Row],[Table and Field]],Table5[[Table and Field]:[Data Type]],3,FALSE)</f>
        <v>NUMBER(3,2),</v>
      </c>
      <c r="S147" t="s">
        <v>497</v>
      </c>
    </row>
    <row r="148" spans="1:22" ht="27.6">
      <c r="A148" s="6" t="s">
        <v>25</v>
      </c>
      <c r="B148" s="6" t="s">
        <v>492</v>
      </c>
      <c r="C148" s="6" t="s">
        <v>493</v>
      </c>
      <c r="D148" s="3" t="s">
        <v>498</v>
      </c>
      <c r="E148" s="6" t="s">
        <v>499</v>
      </c>
      <c r="H148">
        <v>0</v>
      </c>
      <c r="I148" s="7" t="s">
        <v>29</v>
      </c>
      <c r="J148" t="s">
        <v>500</v>
      </c>
      <c r="K148" s="17" t="str">
        <f>Table3[[#This Row],[Main Table]] &amp;"."&amp; Table3[[#This Row],[Main Field Name]]</f>
        <v>RBS_STRUCTURES.FTWAY_WIDTH_RHS</v>
      </c>
      <c r="L148" s="17" t="str">
        <f>VLOOKUP(Table3[[#This Row],[Table and Field]],Table5[[Table and Field]:[Data Type]],3,FALSE)</f>
        <v>NUMBER(3,2),</v>
      </c>
      <c r="S148" t="s">
        <v>497</v>
      </c>
    </row>
    <row r="149" spans="1:22" ht="28.9">
      <c r="A149" s="6" t="s">
        <v>25</v>
      </c>
      <c r="B149" s="6" t="s">
        <v>492</v>
      </c>
      <c r="C149" s="6" t="s">
        <v>493</v>
      </c>
      <c r="D149" s="3" t="s">
        <v>501</v>
      </c>
      <c r="E149" s="6" t="s">
        <v>502</v>
      </c>
      <c r="H149">
        <v>0</v>
      </c>
      <c r="I149" s="7" t="s">
        <v>29</v>
      </c>
      <c r="J149" t="s">
        <v>503</v>
      </c>
      <c r="K149" s="17" t="str">
        <f>Table3[[#This Row],[Main Table]] &amp;"."&amp; Table3[[#This Row],[Main Field Name]]</f>
        <v>RBS_STRUCTURES.INNER_BARR_WIDTH_LHS</v>
      </c>
      <c r="L149" s="17" t="str">
        <f>VLOOKUP(Table3[[#This Row],[Table and Field]],Table5[[Table and Field]:[Data Type]],3,FALSE)</f>
        <v>NUMBER(3,2),</v>
      </c>
      <c r="S149" t="s">
        <v>497</v>
      </c>
    </row>
    <row r="150" spans="1:22" ht="28.9">
      <c r="A150" s="6" t="s">
        <v>25</v>
      </c>
      <c r="B150" s="6" t="s">
        <v>492</v>
      </c>
      <c r="C150" s="6" t="s">
        <v>493</v>
      </c>
      <c r="D150" s="3" t="s">
        <v>504</v>
      </c>
      <c r="E150" s="6" t="s">
        <v>505</v>
      </c>
      <c r="H150">
        <v>0</v>
      </c>
      <c r="I150" s="7" t="s">
        <v>29</v>
      </c>
      <c r="J150" t="s">
        <v>506</v>
      </c>
      <c r="K150" s="17" t="str">
        <f>Table3[[#This Row],[Main Table]] &amp;"."&amp; Table3[[#This Row],[Main Field Name]]</f>
        <v>RBS_STRUCTURES.INNER_BARR_WIDTH_RHS</v>
      </c>
      <c r="L150" s="17" t="str">
        <f>VLOOKUP(Table3[[#This Row],[Table and Field]],Table5[[Table and Field]:[Data Type]],3,FALSE)</f>
        <v>NUMBER(3,2),</v>
      </c>
      <c r="S150" t="s">
        <v>497</v>
      </c>
    </row>
    <row r="151" spans="1:22" ht="27.6">
      <c r="A151" s="6" t="s">
        <v>25</v>
      </c>
      <c r="B151" s="6" t="s">
        <v>492</v>
      </c>
      <c r="C151" s="6" t="s">
        <v>493</v>
      </c>
      <c r="D151" s="3" t="s">
        <v>507</v>
      </c>
      <c r="E151" s="6" t="s">
        <v>508</v>
      </c>
      <c r="H151">
        <v>0</v>
      </c>
      <c r="I151" s="7" t="s">
        <v>29</v>
      </c>
      <c r="J151" t="s">
        <v>509</v>
      </c>
      <c r="K151" s="17" t="str">
        <f>Table3[[#This Row],[Main Table]] &amp;"."&amp; Table3[[#This Row],[Main Field Name]]</f>
        <v>RBS_STRUCTURES.OVERALL_MIN_DECK_WIDTH</v>
      </c>
      <c r="L151" s="17" t="str">
        <f>VLOOKUP(Table3[[#This Row],[Table and Field]],Table5[[Table and Field]:[Data Type]],3,FALSE)</f>
        <v>NUMBER(5,2),</v>
      </c>
      <c r="S151" t="s">
        <v>497</v>
      </c>
    </row>
    <row r="152" spans="1:22" ht="27.6">
      <c r="A152" s="6" t="s">
        <v>25</v>
      </c>
      <c r="B152" s="6" t="s">
        <v>492</v>
      </c>
      <c r="C152" s="6" t="s">
        <v>493</v>
      </c>
      <c r="D152" s="3" t="s">
        <v>510</v>
      </c>
      <c r="E152" s="6" t="s">
        <v>511</v>
      </c>
      <c r="H152">
        <v>0</v>
      </c>
      <c r="I152" s="7" t="s">
        <v>29</v>
      </c>
      <c r="J152" t="s">
        <v>512</v>
      </c>
      <c r="K152" s="17" t="str">
        <f>Table3[[#This Row],[Main Table]] &amp;"."&amp; Table3[[#This Row],[Main Field Name]]</f>
        <v>RBS_STRUCTURES.OVERALL_MAX_DECK_WIDTH</v>
      </c>
      <c r="L152" s="17" t="str">
        <f>VLOOKUP(Table3[[#This Row],[Table and Field]],Table5[[Table and Field]:[Data Type]],3,FALSE)</f>
        <v>NUMBER(5,2),</v>
      </c>
      <c r="S152" t="s">
        <v>497</v>
      </c>
    </row>
    <row r="153" spans="1:22" ht="43.15">
      <c r="A153" s="6" t="s">
        <v>25</v>
      </c>
      <c r="B153" s="6" t="s">
        <v>492</v>
      </c>
      <c r="C153" s="6" t="s">
        <v>493</v>
      </c>
      <c r="D153" s="3" t="s">
        <v>485</v>
      </c>
      <c r="E153" s="6" t="s">
        <v>513</v>
      </c>
      <c r="H153">
        <v>0</v>
      </c>
      <c r="I153" s="7" t="s">
        <v>486</v>
      </c>
      <c r="J153" t="s">
        <v>487</v>
      </c>
      <c r="K153" s="17" t="str">
        <f>Table3[[#This Row],[Main Table]] &amp;"."&amp; Table3[[#This Row],[Main Field Name]]</f>
        <v>RBS_SPAN_GRPS_VW.TOTAL_SPAN_LENGTH</v>
      </c>
      <c r="L153" s="17" t="e">
        <f>VLOOKUP(Table3[[#This Row],[Table and Field]],Table5[[Table and Field]:[Data Type]],3,FALSE)</f>
        <v>#N/A</v>
      </c>
      <c r="N153" s="6" t="s">
        <v>488</v>
      </c>
      <c r="S153" t="s">
        <v>497</v>
      </c>
    </row>
    <row r="154" spans="1:22" ht="55.15">
      <c r="A154" s="6" t="s">
        <v>25</v>
      </c>
      <c r="B154" s="6" t="s">
        <v>492</v>
      </c>
      <c r="C154" s="6" t="s">
        <v>493</v>
      </c>
      <c r="D154" s="3" t="s">
        <v>514</v>
      </c>
      <c r="E154" s="6" t="s">
        <v>515</v>
      </c>
      <c r="H154">
        <v>0</v>
      </c>
      <c r="I154" s="7" t="s">
        <v>29</v>
      </c>
      <c r="J154" t="s">
        <v>483</v>
      </c>
      <c r="K154" s="17" t="str">
        <f>Table3[[#This Row],[Main Table]] &amp;"."&amp; Table3[[#This Row],[Main Field Name]]</f>
        <v>RBS_STRUCTURES.OVERALL_LENGTH</v>
      </c>
      <c r="L154" s="17" t="str">
        <f>VLOOKUP(Table3[[#This Row],[Table and Field]],Table5[[Table and Field]:[Data Type]],3,FALSE)</f>
        <v>NUMBER(6,2),</v>
      </c>
      <c r="N154" s="6" t="s">
        <v>484</v>
      </c>
      <c r="S154" t="s">
        <v>497</v>
      </c>
      <c r="V154" s="6" t="s">
        <v>516</v>
      </c>
    </row>
    <row r="155" spans="1:22" ht="41.45">
      <c r="A155" s="6" t="s">
        <v>25</v>
      </c>
      <c r="B155" s="6" t="s">
        <v>492</v>
      </c>
      <c r="C155" s="6" t="s">
        <v>493</v>
      </c>
      <c r="D155" s="3" t="s">
        <v>517</v>
      </c>
      <c r="E155" s="6" t="s">
        <v>518</v>
      </c>
      <c r="H155">
        <v>0</v>
      </c>
      <c r="I155" s="7"/>
      <c r="K155" s="17" t="str">
        <f>Table3[[#This Row],[Main Table]] &amp;"."&amp; Table3[[#This Row],[Main Field Name]]</f>
        <v>.</v>
      </c>
      <c r="L155" s="17" t="e">
        <f>VLOOKUP(Table3[[#This Row],[Table and Field]],Table5[[Table and Field]:[Data Type]],3,FALSE)</f>
        <v>#N/A</v>
      </c>
      <c r="S155" t="s">
        <v>497</v>
      </c>
      <c r="V155" s="6" t="s">
        <v>519</v>
      </c>
    </row>
    <row r="156" spans="1:22" ht="27.6">
      <c r="A156" s="6" t="s">
        <v>25</v>
      </c>
      <c r="B156" s="6" t="s">
        <v>492</v>
      </c>
      <c r="C156" s="6" t="s">
        <v>493</v>
      </c>
      <c r="D156" s="3" t="s">
        <v>520</v>
      </c>
      <c r="E156" s="6" t="s">
        <v>521</v>
      </c>
      <c r="H156">
        <v>0</v>
      </c>
      <c r="I156" s="7" t="s">
        <v>29</v>
      </c>
      <c r="J156" t="s">
        <v>522</v>
      </c>
      <c r="K156" s="17" t="str">
        <f>Table3[[#This Row],[Main Table]] &amp;"."&amp; Table3[[#This Row],[Main Field Name]]</f>
        <v>RBS_STRUCTURES.SKEW_ANGLE</v>
      </c>
      <c r="L156" s="17" t="str">
        <f>VLOOKUP(Table3[[#This Row],[Table and Field]],Table5[[Table and Field]:[Data Type]],3,FALSE)</f>
        <v>NUMBER(2,0),</v>
      </c>
      <c r="S156" t="s">
        <v>497</v>
      </c>
    </row>
    <row r="157" spans="1:22" ht="27.6">
      <c r="A157" s="6" t="s">
        <v>25</v>
      </c>
      <c r="B157" s="6" t="s">
        <v>492</v>
      </c>
      <c r="C157" s="6" t="s">
        <v>493</v>
      </c>
      <c r="D157" s="3" t="s">
        <v>523</v>
      </c>
      <c r="E157" s="6" t="s">
        <v>524</v>
      </c>
      <c r="H157">
        <v>1</v>
      </c>
      <c r="I157" s="7" t="s">
        <v>29</v>
      </c>
      <c r="J157" t="s">
        <v>525</v>
      </c>
      <c r="K157" s="17" t="str">
        <f>Table3[[#This Row],[Main Table]] &amp;"."&amp; Table3[[#This Row],[Main Field Name]]</f>
        <v>RBS_STRUCTURES.MV_DECK_SPAN_TYPE_CODE</v>
      </c>
      <c r="L157" s="17" t="str">
        <f>VLOOKUP(Table3[[#This Row],[Table and Field]],Table5[[Table and Field]:[Data Type]],3,FALSE)</f>
        <v>VARCHAR2(6),</v>
      </c>
      <c r="S157" t="s">
        <v>497</v>
      </c>
    </row>
    <row r="158" spans="1:22" ht="28.9">
      <c r="A158" s="6" t="s">
        <v>25</v>
      </c>
      <c r="B158" s="6" t="s">
        <v>492</v>
      </c>
      <c r="C158" s="6" t="s">
        <v>493</v>
      </c>
      <c r="D158" s="3" t="s">
        <v>526</v>
      </c>
      <c r="E158" s="6" t="s">
        <v>527</v>
      </c>
      <c r="H158">
        <v>0</v>
      </c>
      <c r="I158" s="7" t="s">
        <v>29</v>
      </c>
      <c r="J158" t="s">
        <v>528</v>
      </c>
      <c r="K158" s="17" t="str">
        <f>Table3[[#This Row],[Main Table]] &amp;"."&amp; Table3[[#This Row],[Main Field Name]]</f>
        <v>RBS_STRUCTURES.MV_DECKSPAN_INUSE_YN</v>
      </c>
      <c r="L158" s="17" t="str">
        <f>VLOOKUP(Table3[[#This Row],[Table and Field]],Table5[[Table and Field]:[Data Type]],3,FALSE)</f>
        <v>VARCHAR2(2)</v>
      </c>
      <c r="S158" t="s">
        <v>497</v>
      </c>
    </row>
    <row r="159" spans="1:22" ht="27.6">
      <c r="A159" s="6" t="s">
        <v>25</v>
      </c>
      <c r="B159" s="6" t="s">
        <v>492</v>
      </c>
      <c r="C159" s="6" t="s">
        <v>529</v>
      </c>
      <c r="D159" s="3" t="s">
        <v>530</v>
      </c>
      <c r="E159" s="6" t="s">
        <v>531</v>
      </c>
      <c r="I159" s="7" t="s">
        <v>29</v>
      </c>
      <c r="J159" t="s">
        <v>532</v>
      </c>
      <c r="K159" s="17" t="str">
        <f>Table3[[#This Row],[Main Table]] &amp;"."&amp; Table3[[#This Row],[Main Field Name]]</f>
        <v>RBS_STRUCTURES.DECK_MEDN_TYPE_CODE</v>
      </c>
      <c r="L159" s="17" t="str">
        <f>VLOOKUP(Table3[[#This Row],[Table and Field]],Table5[[Table and Field]:[Data Type]],3,FALSE)</f>
        <v>VARCHAR2(6),</v>
      </c>
    </row>
    <row r="160" spans="1:22" ht="27.6">
      <c r="A160" s="6" t="s">
        <v>25</v>
      </c>
      <c r="B160" s="6" t="s">
        <v>492</v>
      </c>
      <c r="C160" s="6" t="s">
        <v>529</v>
      </c>
      <c r="D160" s="3" t="s">
        <v>533</v>
      </c>
      <c r="E160" s="6" t="s">
        <v>534</v>
      </c>
      <c r="I160" s="7" t="s">
        <v>29</v>
      </c>
      <c r="J160" t="s">
        <v>535</v>
      </c>
      <c r="K160" s="17" t="str">
        <f>Table3[[#This Row],[Main Table]] &amp;"."&amp; Table3[[#This Row],[Main Field Name]]</f>
        <v>RBS_STRUCTURES.MEDIAN_HT</v>
      </c>
      <c r="L160" s="17" t="str">
        <f>VLOOKUP(Table3[[#This Row],[Table and Field]],Table5[[Table and Field]:[Data Type]],3,FALSE)</f>
        <v>NUMBER(3,2),</v>
      </c>
    </row>
    <row r="161" spans="1:22" ht="27.6">
      <c r="A161" s="6" t="s">
        <v>25</v>
      </c>
      <c r="B161" s="6" t="s">
        <v>492</v>
      </c>
      <c r="C161" s="6" t="s">
        <v>529</v>
      </c>
      <c r="D161" s="3" t="s">
        <v>536</v>
      </c>
      <c r="E161" s="6" t="s">
        <v>537</v>
      </c>
      <c r="I161" s="7" t="s">
        <v>29</v>
      </c>
      <c r="J161" t="s">
        <v>538</v>
      </c>
      <c r="K161" s="17" t="str">
        <f>Table3[[#This Row],[Main Table]] &amp;"."&amp; Table3[[#This Row],[Main Field Name]]</f>
        <v>RBS_STRUCTURES.MEDIAN_MIN_WIDTH</v>
      </c>
      <c r="L161" s="17" t="str">
        <f>VLOOKUP(Table3[[#This Row],[Table and Field]],Table5[[Table and Field]:[Data Type]],3,FALSE)</f>
        <v>NUMBER(4,2),</v>
      </c>
    </row>
    <row r="162" spans="1:22" ht="27.6">
      <c r="A162" s="6" t="s">
        <v>25</v>
      </c>
      <c r="B162" s="6" t="s">
        <v>492</v>
      </c>
      <c r="C162" s="6" t="s">
        <v>529</v>
      </c>
      <c r="D162" s="3" t="s">
        <v>539</v>
      </c>
      <c r="E162" s="6" t="s">
        <v>540</v>
      </c>
      <c r="I162" s="7" t="s">
        <v>29</v>
      </c>
      <c r="J162" t="s">
        <v>541</v>
      </c>
      <c r="K162" s="17" t="str">
        <f>Table3[[#This Row],[Main Table]] &amp;"."&amp; Table3[[#This Row],[Main Field Name]]</f>
        <v>RBS_STRUCTURES.MEDIAN_MAX_WIDTH</v>
      </c>
      <c r="L162" s="17" t="str">
        <f>VLOOKUP(Table3[[#This Row],[Table and Field]],Table5[[Table and Field]:[Data Type]],3,FALSE)</f>
        <v>NUMBER(4,2),</v>
      </c>
    </row>
    <row r="163" spans="1:22" ht="28.9">
      <c r="A163" s="6" t="s">
        <v>25</v>
      </c>
      <c r="B163" s="6" t="s">
        <v>492</v>
      </c>
      <c r="C163" s="6" t="s">
        <v>493</v>
      </c>
      <c r="D163" s="3" t="s">
        <v>542</v>
      </c>
      <c r="E163" s="6" t="s">
        <v>543</v>
      </c>
      <c r="I163" s="7" t="s">
        <v>29</v>
      </c>
      <c r="J163" t="s">
        <v>544</v>
      </c>
      <c r="K163" s="17" t="str">
        <f>Table3[[#This Row],[Main Table]] &amp;"."&amp; Table3[[#This Row],[Main Field Name]]</f>
        <v>RBS_STRUCTURES.RD_ALGN_OK_YN</v>
      </c>
      <c r="L163" s="17" t="str">
        <f>VLOOKUP(Table3[[#This Row],[Table and Field]],Table5[[Table and Field]:[Data Type]],3,FALSE)</f>
        <v>VARCHAR2(1)</v>
      </c>
    </row>
    <row r="164" spans="1:22" ht="28.9">
      <c r="A164" s="6" t="s">
        <v>25</v>
      </c>
      <c r="B164" s="6" t="s">
        <v>492</v>
      </c>
      <c r="C164" s="6" t="s">
        <v>493</v>
      </c>
      <c r="D164" s="3" t="s">
        <v>545</v>
      </c>
      <c r="E164" s="6" t="s">
        <v>546</v>
      </c>
      <c r="I164" s="7" t="s">
        <v>29</v>
      </c>
      <c r="J164" t="s">
        <v>547</v>
      </c>
      <c r="K164" s="17" t="str">
        <f>Table3[[#This Row],[Main Table]] &amp;"."&amp; Table3[[#This Row],[Main Field Name]]</f>
        <v>RBS_STRUCTURES.GUARD_OK_YN</v>
      </c>
      <c r="L164" s="17" t="str">
        <f>VLOOKUP(Table3[[#This Row],[Table and Field]],Table5[[Table and Field]:[Data Type]],3,FALSE)</f>
        <v>VARCHAR2(1)</v>
      </c>
    </row>
    <row r="165" spans="1:22" ht="28.9">
      <c r="A165" s="6" t="s">
        <v>25</v>
      </c>
      <c r="B165" s="6" t="s">
        <v>492</v>
      </c>
      <c r="C165" s="6" t="s">
        <v>548</v>
      </c>
      <c r="D165" s="3" t="s">
        <v>549</v>
      </c>
      <c r="E165" s="6" t="s">
        <v>549</v>
      </c>
      <c r="I165" s="7" t="s">
        <v>29</v>
      </c>
      <c r="J165" t="s">
        <v>550</v>
      </c>
      <c r="K165" s="17" t="str">
        <f>Table3[[#This Row],[Main Table]] &amp;"."&amp; Table3[[#This Row],[Main Field Name]]</f>
        <v>RBS_STRUCTURES.NO_OF_TIMBER_GIRDERS</v>
      </c>
      <c r="L165" s="17" t="str">
        <f>VLOOKUP(Table3[[#This Row],[Table and Field]],Table5[[Table and Field]:[Data Type]],3,FALSE)</f>
        <v>NUMBER(4,0),</v>
      </c>
    </row>
    <row r="166" spans="1:22" ht="27.6">
      <c r="A166" s="6" t="s">
        <v>25</v>
      </c>
      <c r="B166" s="6" t="s">
        <v>492</v>
      </c>
      <c r="C166" s="6" t="s">
        <v>548</v>
      </c>
      <c r="D166" s="3" t="s">
        <v>435</v>
      </c>
      <c r="E166" s="6" t="s">
        <v>551</v>
      </c>
      <c r="I166" s="7" t="s">
        <v>29</v>
      </c>
      <c r="J166" t="s">
        <v>552</v>
      </c>
      <c r="K166" s="17" t="str">
        <f>Table3[[#This Row],[Main Table]] &amp;"."&amp; Table3[[#This Row],[Main Field Name]]</f>
        <v>RBS_STRUCTURES.COMMENT_GIRDERS</v>
      </c>
      <c r="L166" s="17" t="str">
        <f>VLOOKUP(Table3[[#This Row],[Table and Field]],Table5[[Table and Field]:[Data Type]],3,FALSE)</f>
        <v>VARCHAR2(250),</v>
      </c>
    </row>
    <row r="167" spans="1:22" ht="27.6">
      <c r="A167" s="6" t="s">
        <v>25</v>
      </c>
      <c r="B167" s="6" t="s">
        <v>492</v>
      </c>
      <c r="C167" s="6" t="s">
        <v>553</v>
      </c>
      <c r="D167" s="3" t="s">
        <v>554</v>
      </c>
      <c r="E167" s="6" t="s">
        <v>555</v>
      </c>
      <c r="I167" s="7" t="s">
        <v>29</v>
      </c>
      <c r="J167" t="s">
        <v>556</v>
      </c>
      <c r="K167" s="17" t="str">
        <f>Table3[[#This Row],[Main Table]] &amp;"."&amp; Table3[[#This Row],[Main Field Name]]</f>
        <v>RBS_STRUCTURES.NO_OF_LAMPS</v>
      </c>
      <c r="L167" s="17" t="str">
        <f>VLOOKUP(Table3[[#This Row],[Table and Field]],Table5[[Table and Field]:[Data Type]],3,FALSE)</f>
        <v>NUMBER(3,0),</v>
      </c>
    </row>
    <row r="168" spans="1:22" ht="27.6">
      <c r="A168" s="6" t="s">
        <v>25</v>
      </c>
      <c r="B168" s="6" t="s">
        <v>492</v>
      </c>
      <c r="C168" s="6" t="s">
        <v>553</v>
      </c>
      <c r="D168" s="3" t="s">
        <v>557</v>
      </c>
      <c r="E168" s="6" t="s">
        <v>555</v>
      </c>
      <c r="I168" s="7" t="s">
        <v>29</v>
      </c>
      <c r="J168" t="s">
        <v>558</v>
      </c>
      <c r="K168" s="17" t="str">
        <f>Table3[[#This Row],[Main Table]] &amp;"."&amp; Table3[[#This Row],[Main Field Name]]</f>
        <v>RBS_STRUCTURES.NO_OF_LAMP_POSTS</v>
      </c>
      <c r="L168" s="17" t="str">
        <f>VLOOKUP(Table3[[#This Row],[Table and Field]],Table5[[Table and Field]:[Data Type]],3,FALSE)</f>
        <v>NUMBER(3,0),</v>
      </c>
    </row>
    <row r="169" spans="1:22" ht="27.6">
      <c r="A169" s="6" t="s">
        <v>25</v>
      </c>
      <c r="B169" s="6" t="s">
        <v>492</v>
      </c>
      <c r="C169" s="6" t="s">
        <v>553</v>
      </c>
      <c r="D169" s="3" t="s">
        <v>435</v>
      </c>
      <c r="E169" s="6" t="s">
        <v>46</v>
      </c>
      <c r="I169" s="7" t="s">
        <v>29</v>
      </c>
      <c r="J169" t="s">
        <v>559</v>
      </c>
      <c r="K169" s="17" t="str">
        <f>Table3[[#This Row],[Main Table]] &amp;"."&amp; Table3[[#This Row],[Main Field Name]]</f>
        <v>RBS_STRUCTURES.COMMENT_LIGHTING</v>
      </c>
      <c r="L169" s="17" t="str">
        <f>VLOOKUP(Table3[[#This Row],[Table and Field]],Table5[[Table and Field]:[Data Type]],3,FALSE)</f>
        <v>VARCHAR2(250),</v>
      </c>
    </row>
    <row r="170" spans="1:22" s="27" customFormat="1" ht="96">
      <c r="A170" s="24" t="s">
        <v>25</v>
      </c>
      <c r="B170" s="24" t="s">
        <v>492</v>
      </c>
      <c r="C170" s="24" t="s">
        <v>553</v>
      </c>
      <c r="D170" s="25" t="s">
        <v>560</v>
      </c>
      <c r="E170" s="24" t="s">
        <v>560</v>
      </c>
      <c r="F170" s="26"/>
      <c r="I170" s="26" t="s">
        <v>561</v>
      </c>
      <c r="J170" s="27" t="s">
        <v>562</v>
      </c>
      <c r="K170" s="34" t="str">
        <f>Table3[[#This Row],[Main Table]] &amp;"."&amp; Table3[[#This Row],[Main Field Name]]</f>
        <v>rbs_util_services.work_auth_code</v>
      </c>
      <c r="L170" s="28" t="e">
        <f>VLOOKUP(Table3[[#This Row],[Table and Field]],Table5[[Table and Field]:[Data Type]],3,FALSE)</f>
        <v>#N/A</v>
      </c>
      <c r="M170" s="34" t="s">
        <v>563</v>
      </c>
      <c r="N170" s="24" t="s">
        <v>564</v>
      </c>
      <c r="T170" s="24"/>
      <c r="U170" s="24"/>
      <c r="V170" s="24"/>
    </row>
    <row r="171" spans="1:22" s="27" customFormat="1" ht="28.9">
      <c r="A171" s="24" t="s">
        <v>25</v>
      </c>
      <c r="B171" s="24" t="s">
        <v>492</v>
      </c>
      <c r="C171" s="24" t="s">
        <v>553</v>
      </c>
      <c r="D171" s="25" t="s">
        <v>565</v>
      </c>
      <c r="E171" s="24" t="s">
        <v>565</v>
      </c>
      <c r="F171" s="26"/>
      <c r="I171" s="26" t="s">
        <v>561</v>
      </c>
      <c r="J171" s="27" t="s">
        <v>566</v>
      </c>
      <c r="K171" s="34" t="str">
        <f>Table3[[#This Row],[Main Table]] &amp;"."&amp; Table3[[#This Row],[Main Field Name]]</f>
        <v>rbs_util_services.agreement_date</v>
      </c>
      <c r="L171" s="28" t="e">
        <f>VLOOKUP(Table3[[#This Row],[Table and Field]],Table5[[Table and Field]:[Data Type]],3,FALSE)</f>
        <v>#N/A</v>
      </c>
      <c r="M171" s="34"/>
      <c r="N171" s="24" t="s">
        <v>564</v>
      </c>
      <c r="T171" s="24"/>
      <c r="U171" s="24"/>
      <c r="V171" s="24"/>
    </row>
    <row r="172" spans="1:22" ht="28.9">
      <c r="A172" s="6" t="s">
        <v>25</v>
      </c>
      <c r="B172" s="6" t="s">
        <v>492</v>
      </c>
      <c r="C172" s="6" t="s">
        <v>553</v>
      </c>
      <c r="D172" s="3" t="s">
        <v>567</v>
      </c>
      <c r="E172" s="6" t="s">
        <v>568</v>
      </c>
      <c r="I172" s="7" t="s">
        <v>29</v>
      </c>
      <c r="J172" t="s">
        <v>569</v>
      </c>
      <c r="K172" s="17" t="str">
        <f>Table3[[#This Row],[Main Table]] &amp;"."&amp; Table3[[#This Row],[Main Field Name]]</f>
        <v>RBS_STRUCTURES.LAMP_POST_CONTROLLED_BY</v>
      </c>
      <c r="L172" s="17" t="str">
        <f>VLOOKUP(Table3[[#This Row],[Table and Field]],Table5[[Table and Field]:[Data Type]],3,FALSE)</f>
        <v>VARCHAR2(6),</v>
      </c>
    </row>
    <row r="173" spans="1:22" ht="28.9">
      <c r="A173" s="6" t="s">
        <v>25</v>
      </c>
      <c r="B173" s="6" t="s">
        <v>492</v>
      </c>
      <c r="C173" s="6" t="s">
        <v>553</v>
      </c>
      <c r="D173" s="3" t="s">
        <v>570</v>
      </c>
      <c r="E173" s="6" t="s">
        <v>568</v>
      </c>
      <c r="I173" s="7" t="s">
        <v>29</v>
      </c>
      <c r="J173" t="s">
        <v>571</v>
      </c>
      <c r="K173" s="17" t="str">
        <f>Table3[[#This Row],[Main Table]] &amp;"."&amp; Table3[[#This Row],[Main Field Name]]</f>
        <v>RBS_STRUCTURES.LAMP_POST_INSPECTED_BY</v>
      </c>
      <c r="L173" s="17" t="str">
        <f>VLOOKUP(Table3[[#This Row],[Table and Field]],Table5[[Table and Field]:[Data Type]],3,FALSE)</f>
        <v>VARCHAR2(6),</v>
      </c>
    </row>
    <row r="174" spans="1:22" ht="28.9">
      <c r="A174" s="6" t="s">
        <v>25</v>
      </c>
      <c r="B174" s="6" t="s">
        <v>492</v>
      </c>
      <c r="C174" s="6" t="s">
        <v>553</v>
      </c>
      <c r="D174" s="3" t="s">
        <v>572</v>
      </c>
      <c r="E174" s="6" t="s">
        <v>568</v>
      </c>
      <c r="I174" s="7" t="s">
        <v>29</v>
      </c>
      <c r="J174" t="s">
        <v>573</v>
      </c>
      <c r="K174" s="17" t="str">
        <f>Table3[[#This Row],[Main Table]] &amp;"."&amp; Table3[[#This Row],[Main Field Name]]</f>
        <v>RBS_STRUCTURES.LAMP_POST_MAINTAINED_BY</v>
      </c>
      <c r="L174" s="17" t="str">
        <f>VLOOKUP(Table3[[#This Row],[Table and Field]],Table5[[Table and Field]:[Data Type]],3,FALSE)</f>
        <v>VARCHAR2(6),</v>
      </c>
    </row>
    <row r="175" spans="1:22" ht="27.6">
      <c r="A175" s="6" t="s">
        <v>25</v>
      </c>
      <c r="B175" s="6" t="s">
        <v>492</v>
      </c>
      <c r="C175" s="6" t="s">
        <v>574</v>
      </c>
      <c r="D175" s="3" t="s">
        <v>575</v>
      </c>
      <c r="E175" s="6" t="s">
        <v>576</v>
      </c>
      <c r="I175" s="7" t="s">
        <v>577</v>
      </c>
      <c r="J175" t="s">
        <v>578</v>
      </c>
      <c r="K175" s="17" t="str">
        <f>Table3[[#This Row],[Main Table]] &amp;"."&amp; Table3[[#This Row],[Main Field Name]]</f>
        <v>RBS_STRUCT_LAMP_POSTS.START_LAMP_POST_ID</v>
      </c>
      <c r="L175" s="17" t="e">
        <f>VLOOKUP(Table3[[#This Row],[Table and Field]],Table5[[Table and Field]:[Data Type]],3,FALSE)</f>
        <v>#N/A</v>
      </c>
    </row>
    <row r="176" spans="1:22" ht="27.6">
      <c r="A176" s="6" t="s">
        <v>25</v>
      </c>
      <c r="B176" s="6" t="s">
        <v>492</v>
      </c>
      <c r="C176" s="6" t="s">
        <v>574</v>
      </c>
      <c r="D176" s="3" t="s">
        <v>579</v>
      </c>
      <c r="E176" s="6" t="s">
        <v>576</v>
      </c>
      <c r="I176" s="7" t="s">
        <v>577</v>
      </c>
      <c r="J176" t="s">
        <v>580</v>
      </c>
      <c r="K176" s="17" t="str">
        <f>Table3[[#This Row],[Main Table]] &amp;"."&amp; Table3[[#This Row],[Main Field Name]]</f>
        <v>RBS_STRUCT_LAMP_POSTS.END_LAMP_POST_ID</v>
      </c>
      <c r="L176" s="17" t="e">
        <f>VLOOKUP(Table3[[#This Row],[Table and Field]],Table5[[Table and Field]:[Data Type]],3,FALSE)</f>
        <v>#N/A</v>
      </c>
    </row>
    <row r="177" spans="1:14" ht="27.6">
      <c r="A177" s="6" t="s">
        <v>25</v>
      </c>
      <c r="B177" s="6" t="s">
        <v>492</v>
      </c>
      <c r="C177" s="6" t="s">
        <v>574</v>
      </c>
      <c r="D177" s="3" t="s">
        <v>581</v>
      </c>
      <c r="E177" s="6" t="s">
        <v>576</v>
      </c>
      <c r="I177" s="7" t="s">
        <v>577</v>
      </c>
      <c r="J177" t="s">
        <v>582</v>
      </c>
      <c r="K177" s="17" t="str">
        <f>Table3[[#This Row],[Main Table]] &amp;"."&amp; Table3[[#This Row],[Main Field Name]]</f>
        <v>RBS_STRUCT_LAMP_POSTS.POST_TYPE</v>
      </c>
      <c r="L177" s="17" t="e">
        <f>VLOOKUP(Table3[[#This Row],[Table and Field]],Table5[[Table and Field]:[Data Type]],3,FALSE)</f>
        <v>#N/A</v>
      </c>
    </row>
    <row r="178" spans="1:14" ht="27.6">
      <c r="A178" s="6" t="s">
        <v>25</v>
      </c>
      <c r="B178" s="6" t="s">
        <v>492</v>
      </c>
      <c r="C178" s="6" t="s">
        <v>574</v>
      </c>
      <c r="D178" s="3" t="s">
        <v>583</v>
      </c>
      <c r="E178" s="6" t="s">
        <v>46</v>
      </c>
      <c r="I178" s="7" t="s">
        <v>577</v>
      </c>
      <c r="J178" t="s">
        <v>584</v>
      </c>
      <c r="K178" s="17" t="str">
        <f>Table3[[#This Row],[Main Table]] &amp;"."&amp; Table3[[#This Row],[Main Field Name]]</f>
        <v>RBS_STRUCT_LAMP_POSTS.HEIGHT</v>
      </c>
      <c r="L178" s="17" t="e">
        <f>VLOOKUP(Table3[[#This Row],[Table and Field]],Table5[[Table and Field]:[Data Type]],3,FALSE)</f>
        <v>#N/A</v>
      </c>
    </row>
    <row r="179" spans="1:14" ht="27.6">
      <c r="A179" s="6" t="s">
        <v>25</v>
      </c>
      <c r="B179" s="6" t="s">
        <v>492</v>
      </c>
      <c r="C179" s="6" t="s">
        <v>574</v>
      </c>
      <c r="D179" s="3" t="s">
        <v>585</v>
      </c>
      <c r="E179" s="6" t="s">
        <v>585</v>
      </c>
      <c r="I179" s="7" t="s">
        <v>577</v>
      </c>
      <c r="J179" t="s">
        <v>586</v>
      </c>
      <c r="K179" s="17" t="str">
        <f>Table3[[#This Row],[Main Table]] &amp;"."&amp; Table3[[#This Row],[Main Field Name]]</f>
        <v>RBS_STRUCT_LAMP_POSTS.OUTREACH</v>
      </c>
      <c r="L179" s="17" t="e">
        <f>VLOOKUP(Table3[[#This Row],[Table and Field]],Table5[[Table and Field]:[Data Type]],3,FALSE)</f>
        <v>#N/A</v>
      </c>
    </row>
    <row r="180" spans="1:14" ht="28.9">
      <c r="A180" s="6" t="s">
        <v>25</v>
      </c>
      <c r="B180" s="6" t="s">
        <v>492</v>
      </c>
      <c r="C180" s="6" t="s">
        <v>574</v>
      </c>
      <c r="D180" s="3" t="s">
        <v>587</v>
      </c>
      <c r="E180" s="6" t="s">
        <v>587</v>
      </c>
      <c r="I180" s="7" t="s">
        <v>577</v>
      </c>
      <c r="J180" t="s">
        <v>588</v>
      </c>
      <c r="K180" s="17" t="str">
        <f>Table3[[#This Row],[Main Table]] &amp;"."&amp; Table3[[#This Row],[Main Field Name]]</f>
        <v>RBS_STRUCT_LAMP_POSTS.INSTALLED_YEAR</v>
      </c>
      <c r="L180" s="17" t="e">
        <f>VLOOKUP(Table3[[#This Row],[Table and Field]],Table5[[Table and Field]:[Data Type]],3,FALSE)</f>
        <v>#N/A</v>
      </c>
    </row>
    <row r="181" spans="1:14" ht="43.15">
      <c r="A181" s="6" t="s">
        <v>25</v>
      </c>
      <c r="B181" s="6" t="s">
        <v>492</v>
      </c>
      <c r="C181" s="6" t="s">
        <v>574</v>
      </c>
      <c r="D181" s="3" t="s">
        <v>589</v>
      </c>
      <c r="E181" s="6" t="s">
        <v>590</v>
      </c>
      <c r="I181" s="7" t="s">
        <v>577</v>
      </c>
      <c r="J181" t="s">
        <v>408</v>
      </c>
      <c r="K181" s="17" t="str">
        <f>Table3[[#This Row],[Main Table]] &amp;"."&amp; Table3[[#This Row],[Main Field Name]]</f>
        <v>RBS_STRUCT_LAMP_POSTS.COMMENTS</v>
      </c>
      <c r="L181" s="17" t="e">
        <f>VLOOKUP(Table3[[#This Row],[Table and Field]],Table5[[Table and Field]:[Data Type]],3,FALSE)</f>
        <v>#N/A</v>
      </c>
    </row>
    <row r="182" spans="1:14" ht="28.9">
      <c r="A182" s="6" t="s">
        <v>25</v>
      </c>
      <c r="B182" s="6" t="s">
        <v>591</v>
      </c>
      <c r="C182" s="6" t="s">
        <v>592</v>
      </c>
      <c r="D182" s="3" t="s">
        <v>593</v>
      </c>
      <c r="E182" s="6" t="s">
        <v>593</v>
      </c>
      <c r="I182" s="7" t="s">
        <v>29</v>
      </c>
      <c r="J182" t="s">
        <v>594</v>
      </c>
      <c r="K182" s="17" t="str">
        <f>Table3[[#This Row],[Main Table]] &amp;"."&amp; Table3[[#This Row],[Main Field Name]]</f>
        <v>RBS_STRUCTURES.REQ_BARR_LEVEL</v>
      </c>
      <c r="L182" s="17" t="str">
        <f>VLOOKUP(Table3[[#This Row],[Table and Field]],Table5[[Table and Field]:[Data Type]],3,FALSE)</f>
        <v>NUMBER,</v>
      </c>
    </row>
    <row r="183" spans="1:14" ht="28.9">
      <c r="A183" s="6" t="s">
        <v>25</v>
      </c>
      <c r="B183" s="6" t="s">
        <v>591</v>
      </c>
      <c r="C183" s="6" t="s">
        <v>592</v>
      </c>
      <c r="D183" s="3" t="s">
        <v>595</v>
      </c>
      <c r="E183" s="6" t="s">
        <v>596</v>
      </c>
      <c r="I183" s="7" t="s">
        <v>29</v>
      </c>
      <c r="J183" t="s">
        <v>597</v>
      </c>
      <c r="K183" s="17" t="str">
        <f>Table3[[#This Row],[Main Table]] &amp;"."&amp; Table3[[#This Row],[Main Field Name]]</f>
        <v>RBS_STRUCTURES.MAX_BARR_CAPACITY</v>
      </c>
      <c r="L183" s="17" t="str">
        <f>VLOOKUP(Table3[[#This Row],[Table and Field]],Table5[[Table and Field]:[Data Type]],3,FALSE)</f>
        <v>NUMBER,</v>
      </c>
    </row>
    <row r="184" spans="1:14" ht="27.6">
      <c r="A184" s="6" t="s">
        <v>25</v>
      </c>
      <c r="B184" s="6" t="s">
        <v>591</v>
      </c>
      <c r="C184" s="6" t="s">
        <v>592</v>
      </c>
      <c r="D184" s="3" t="s">
        <v>598</v>
      </c>
      <c r="E184" s="6" t="s">
        <v>599</v>
      </c>
      <c r="I184" s="7" t="s">
        <v>29</v>
      </c>
      <c r="J184" t="s">
        <v>600</v>
      </c>
      <c r="K184" s="17" t="str">
        <f>Table3[[#This Row],[Main Table]] &amp;"."&amp; Table3[[#This Row],[Main Field Name]]</f>
        <v>RBS_STRUCTURES.EXISTING_BARR_DEFICIENCY</v>
      </c>
      <c r="L184" s="17" t="str">
        <f>VLOOKUP(Table3[[#This Row],[Table and Field]],Table5[[Table and Field]:[Data Type]],3,FALSE)</f>
        <v>NUMBER,</v>
      </c>
    </row>
    <row r="185" spans="1:14" ht="28.9">
      <c r="A185" s="6" t="s">
        <v>25</v>
      </c>
      <c r="B185" s="6" t="s">
        <v>591</v>
      </c>
      <c r="C185" s="6" t="s">
        <v>592</v>
      </c>
      <c r="D185" s="3" t="s">
        <v>601</v>
      </c>
      <c r="E185" s="6" t="s">
        <v>601</v>
      </c>
      <c r="I185" s="7" t="s">
        <v>602</v>
      </c>
      <c r="J185" t="s">
        <v>603</v>
      </c>
      <c r="K185" s="17" t="str">
        <f>Table3[[#This Row],[Main Table]] &amp;"."&amp; Table3[[#This Row],[Main Field Name]]</f>
        <v>calculated (tbc).unknown</v>
      </c>
      <c r="L185" s="17" t="e">
        <f>VLOOKUP(Table3[[#This Row],[Table and Field]],Table5[[Table and Field]:[Data Type]],3,FALSE)</f>
        <v>#N/A</v>
      </c>
      <c r="N185" s="6" t="s">
        <v>604</v>
      </c>
    </row>
    <row r="186" spans="1:14" ht="27.6">
      <c r="A186" s="6" t="s">
        <v>25</v>
      </c>
      <c r="B186" s="6" t="s">
        <v>591</v>
      </c>
      <c r="C186" s="6" t="s">
        <v>592</v>
      </c>
      <c r="D186" s="3" t="s">
        <v>605</v>
      </c>
      <c r="E186" s="6" t="s">
        <v>606</v>
      </c>
      <c r="I186" s="7" t="s">
        <v>607</v>
      </c>
      <c r="J186" t="s">
        <v>608</v>
      </c>
      <c r="K186" s="17" t="str">
        <f>Table3[[#This Row],[Main Table]] &amp;"."&amp; Table3[[#This Row],[Main Field Name]]</f>
        <v>rbs_struct_barriers.struct_barr_type_code</v>
      </c>
      <c r="L186" s="17" t="e">
        <f>VLOOKUP(Table3[[#This Row],[Table and Field]],Table5[[Table and Field]:[Data Type]],3,FALSE)</f>
        <v>#N/A</v>
      </c>
    </row>
    <row r="187" spans="1:14" ht="28.9">
      <c r="A187" s="6" t="s">
        <v>25</v>
      </c>
      <c r="B187" s="6" t="s">
        <v>591</v>
      </c>
      <c r="C187" s="6" t="s">
        <v>592</v>
      </c>
      <c r="D187" s="3" t="s">
        <v>609</v>
      </c>
      <c r="E187" s="6" t="s">
        <v>610</v>
      </c>
      <c r="I187" s="7" t="s">
        <v>607</v>
      </c>
      <c r="J187" t="s">
        <v>608</v>
      </c>
      <c r="K187" s="17" t="str">
        <f>Table3[[#This Row],[Main Table]] &amp;"."&amp; Table3[[#This Row],[Main Field Name]]</f>
        <v>rbs_struct_barriers.struct_barr_type_code</v>
      </c>
      <c r="L187" s="17" t="e">
        <f>VLOOKUP(Table3[[#This Row],[Table and Field]],Table5[[Table and Field]:[Data Type]],3,FALSE)</f>
        <v>#N/A</v>
      </c>
    </row>
    <row r="188" spans="1:14" ht="27.6">
      <c r="A188" s="6" t="s">
        <v>25</v>
      </c>
      <c r="B188" s="6" t="s">
        <v>591</v>
      </c>
      <c r="C188" s="6" t="s">
        <v>592</v>
      </c>
      <c r="D188" s="3" t="s">
        <v>611</v>
      </c>
      <c r="E188" s="6" t="s">
        <v>612</v>
      </c>
      <c r="I188" s="7" t="s">
        <v>607</v>
      </c>
      <c r="J188" t="s">
        <v>613</v>
      </c>
      <c r="K188" s="17" t="str">
        <f>Table3[[#This Row],[Main Table]] &amp;"."&amp; Table3[[#This Row],[Main Field Name]]</f>
        <v>rbs_struct_barriers.barr_ht</v>
      </c>
      <c r="L188" s="17" t="e">
        <f>VLOOKUP(Table3[[#This Row],[Table and Field]],Table5[[Table and Field]:[Data Type]],3,FALSE)</f>
        <v>#N/A</v>
      </c>
    </row>
    <row r="189" spans="1:14" ht="27.6">
      <c r="A189" s="6" t="s">
        <v>25</v>
      </c>
      <c r="B189" s="6" t="s">
        <v>591</v>
      </c>
      <c r="C189" s="6" t="s">
        <v>592</v>
      </c>
      <c r="D189" s="3" t="s">
        <v>614</v>
      </c>
      <c r="E189" s="6" t="s">
        <v>615</v>
      </c>
      <c r="I189" s="7" t="s">
        <v>616</v>
      </c>
      <c r="J189" t="s">
        <v>617</v>
      </c>
      <c r="K189" s="17" t="str">
        <f>Table3[[#This Row],[Main Table]] &amp;"."&amp; Table3[[#This Row],[Main Field Name]]</f>
        <v>rbs_barr_matl.barr_matl_code</v>
      </c>
      <c r="L189" s="17" t="e">
        <f>VLOOKUP(Table3[[#This Row],[Table and Field]],Table5[[Table and Field]:[Data Type]],3,FALSE)</f>
        <v>#N/A</v>
      </c>
    </row>
    <row r="190" spans="1:14" ht="36.6">
      <c r="A190" s="6" t="s">
        <v>25</v>
      </c>
      <c r="B190" s="6" t="s">
        <v>591</v>
      </c>
      <c r="C190" s="6" t="s">
        <v>592</v>
      </c>
      <c r="D190" s="3" t="s">
        <v>618</v>
      </c>
      <c r="E190" s="6" t="s">
        <v>619</v>
      </c>
      <c r="I190" s="7" t="s">
        <v>616</v>
      </c>
      <c r="J190" t="s">
        <v>617</v>
      </c>
      <c r="K190" s="17" t="str">
        <f>Table3[[#This Row],[Main Table]] &amp;"."&amp; Table3[[#This Row],[Main Field Name]]</f>
        <v>rbs_barr_matl.barr_matl_code</v>
      </c>
      <c r="L190" s="17" t="e">
        <f>VLOOKUP(Table3[[#This Row],[Table and Field]],Table5[[Table and Field]:[Data Type]],3,FALSE)</f>
        <v>#N/A</v>
      </c>
      <c r="M190" s="32" t="s">
        <v>620</v>
      </c>
    </row>
    <row r="191" spans="1:14" ht="28.9">
      <c r="A191" s="6" t="s">
        <v>25</v>
      </c>
      <c r="B191" s="6" t="s">
        <v>591</v>
      </c>
      <c r="C191" s="6" t="s">
        <v>592</v>
      </c>
      <c r="D191" s="3" t="s">
        <v>621</v>
      </c>
      <c r="E191" s="6" t="s">
        <v>622</v>
      </c>
      <c r="I191" s="7" t="s">
        <v>616</v>
      </c>
      <c r="J191" t="s">
        <v>623</v>
      </c>
      <c r="K191" s="17" t="str">
        <f>Table3[[#This Row],[Main Table]] &amp;"."&amp; Table3[[#This Row],[Main Field Name]]</f>
        <v>rbs_barr_matl.PROT_COAT_TYPE_CODE</v>
      </c>
      <c r="L191" s="17" t="e">
        <f>VLOOKUP(Table3[[#This Row],[Table and Field]],Table5[[Table and Field]:[Data Type]],3,FALSE)</f>
        <v>#N/A</v>
      </c>
    </row>
    <row r="192" spans="1:14" ht="36.6">
      <c r="A192" s="6" t="s">
        <v>25</v>
      </c>
      <c r="B192" s="6" t="s">
        <v>591</v>
      </c>
      <c r="C192" s="6" t="s">
        <v>592</v>
      </c>
      <c r="D192" s="3" t="s">
        <v>624</v>
      </c>
      <c r="E192" s="6" t="s">
        <v>625</v>
      </c>
      <c r="I192" s="7" t="s">
        <v>616</v>
      </c>
      <c r="J192" t="s">
        <v>623</v>
      </c>
      <c r="K192" s="17" t="str">
        <f>Table3[[#This Row],[Main Table]] &amp;"."&amp; Table3[[#This Row],[Main Field Name]]</f>
        <v>rbs_barr_matl.PROT_COAT_TYPE_CODE</v>
      </c>
      <c r="L192" s="17" t="e">
        <f>VLOOKUP(Table3[[#This Row],[Table and Field]],Table5[[Table and Field]:[Data Type]],3,FALSE)</f>
        <v>#N/A</v>
      </c>
      <c r="M192" s="32" t="s">
        <v>626</v>
      </c>
    </row>
    <row r="193" spans="1:13" ht="41.45">
      <c r="A193" s="6" t="s">
        <v>25</v>
      </c>
      <c r="B193" s="6" t="s">
        <v>591</v>
      </c>
      <c r="C193" s="6" t="s">
        <v>627</v>
      </c>
      <c r="D193" s="3" t="s">
        <v>628</v>
      </c>
      <c r="E193" s="6" t="s">
        <v>628</v>
      </c>
      <c r="I193" s="7" t="s">
        <v>629</v>
      </c>
      <c r="J193" t="s">
        <v>630</v>
      </c>
      <c r="K193" s="17" t="str">
        <f>Table3[[#This Row],[Main Table]] &amp;"."&amp; Table3[[#This Row],[Main Field Name]]</f>
        <v>rbs_struct_surf_matl.deck_wear_matl_code</v>
      </c>
      <c r="L193" s="17" t="e">
        <f>VLOOKUP(Table3[[#This Row],[Table and Field]],Table5[[Table and Field]:[Data Type]],3,FALSE)</f>
        <v>#N/A</v>
      </c>
    </row>
    <row r="194" spans="1:13" ht="41.45">
      <c r="A194" s="6" t="s">
        <v>25</v>
      </c>
      <c r="B194" s="6" t="s">
        <v>591</v>
      </c>
      <c r="C194" s="6" t="s">
        <v>627</v>
      </c>
      <c r="D194" s="3" t="s">
        <v>631</v>
      </c>
      <c r="E194" s="6" t="s">
        <v>632</v>
      </c>
      <c r="I194" s="7" t="s">
        <v>629</v>
      </c>
      <c r="J194" t="s">
        <v>630</v>
      </c>
      <c r="K194" s="17" t="str">
        <f>Table3[[#This Row],[Main Table]] &amp;"."&amp; Table3[[#This Row],[Main Field Name]]</f>
        <v>rbs_struct_surf_matl.deck_wear_matl_code</v>
      </c>
      <c r="L194" s="17" t="e">
        <f>VLOOKUP(Table3[[#This Row],[Table and Field]],Table5[[Table and Field]:[Data Type]],3,FALSE)</f>
        <v>#N/A</v>
      </c>
    </row>
    <row r="195" spans="1:13" ht="28.9">
      <c r="A195" s="6" t="s">
        <v>25</v>
      </c>
      <c r="B195" s="6" t="s">
        <v>591</v>
      </c>
      <c r="C195" s="6" t="s">
        <v>633</v>
      </c>
      <c r="D195" s="3" t="s">
        <v>634</v>
      </c>
      <c r="E195" s="6" t="s">
        <v>634</v>
      </c>
      <c r="I195" s="7" t="s">
        <v>635</v>
      </c>
      <c r="J195" t="s">
        <v>636</v>
      </c>
      <c r="K195" s="17" t="str">
        <f>Table3[[#This Row],[Main Table]] &amp;"."&amp; Table3[[#This Row],[Main Field Name]]</f>
        <v>rbs_struct_deck_matl.deck_matl_code</v>
      </c>
      <c r="L195" s="17" t="e">
        <f>VLOOKUP(Table3[[#This Row],[Table and Field]],Table5[[Table and Field]:[Data Type]],3,FALSE)</f>
        <v>#N/A</v>
      </c>
    </row>
    <row r="196" spans="1:13" ht="36.6">
      <c r="A196" s="6" t="s">
        <v>25</v>
      </c>
      <c r="B196" s="6" t="s">
        <v>591</v>
      </c>
      <c r="C196" s="6" t="s">
        <v>633</v>
      </c>
      <c r="D196" s="3" t="s">
        <v>637</v>
      </c>
      <c r="E196" s="6" t="s">
        <v>638</v>
      </c>
      <c r="I196" s="7" t="s">
        <v>635</v>
      </c>
      <c r="J196" t="s">
        <v>636</v>
      </c>
      <c r="K196" s="17" t="str">
        <f>Table3[[#This Row],[Main Table]] &amp;"."&amp; Table3[[#This Row],[Main Field Name]]</f>
        <v>rbs_struct_deck_matl.deck_matl_code</v>
      </c>
      <c r="L196" s="17" t="e">
        <f>VLOOKUP(Table3[[#This Row],[Table and Field]],Table5[[Table and Field]:[Data Type]],3,FALSE)</f>
        <v>#N/A</v>
      </c>
      <c r="M196" s="32" t="s">
        <v>639</v>
      </c>
    </row>
    <row r="197" spans="1:13" ht="27.6">
      <c r="A197" s="6" t="s">
        <v>25</v>
      </c>
      <c r="B197" s="6" t="s">
        <v>591</v>
      </c>
      <c r="C197" s="6" t="s">
        <v>640</v>
      </c>
      <c r="D197" s="3" t="s">
        <v>640</v>
      </c>
      <c r="E197" s="6" t="s">
        <v>641</v>
      </c>
      <c r="I197" s="7" t="s">
        <v>642</v>
      </c>
      <c r="J197" t="s">
        <v>643</v>
      </c>
      <c r="K197" s="17" t="str">
        <f>Table3[[#This Row],[Main Table]] &amp;"."&amp; Table3[[#This Row],[Main Field Name]]</f>
        <v>rbs_deck_join_on_supstr.deck_join_type_code</v>
      </c>
      <c r="L197" s="17" t="e">
        <f>VLOOKUP(Table3[[#This Row],[Table and Field]],Table5[[Table and Field]:[Data Type]],3,FALSE)</f>
        <v>#N/A</v>
      </c>
    </row>
    <row r="198" spans="1:13" ht="27.6">
      <c r="A198" s="6" t="s">
        <v>25</v>
      </c>
      <c r="B198" s="6" t="s">
        <v>591</v>
      </c>
      <c r="C198" s="6" t="s">
        <v>640</v>
      </c>
      <c r="D198" s="3" t="s">
        <v>644</v>
      </c>
      <c r="E198" s="6" t="s">
        <v>645</v>
      </c>
      <c r="I198" s="7" t="s">
        <v>642</v>
      </c>
      <c r="J198" t="s">
        <v>643</v>
      </c>
      <c r="K198" s="17" t="str">
        <f>Table3[[#This Row],[Main Table]] &amp;"."&amp; Table3[[#This Row],[Main Field Name]]</f>
        <v>rbs_deck_join_on_supstr.deck_join_type_code</v>
      </c>
      <c r="L198" s="17" t="e">
        <f>VLOOKUP(Table3[[#This Row],[Table and Field]],Table5[[Table and Field]:[Data Type]],3,FALSE)</f>
        <v>#N/A</v>
      </c>
    </row>
    <row r="199" spans="1:13" ht="27.6">
      <c r="A199" s="6" t="s">
        <v>25</v>
      </c>
      <c r="B199" s="6" t="s">
        <v>591</v>
      </c>
      <c r="C199" s="6" t="s">
        <v>640</v>
      </c>
      <c r="D199" s="3" t="s">
        <v>646</v>
      </c>
      <c r="E199" s="6" t="s">
        <v>647</v>
      </c>
      <c r="I199" s="7" t="s">
        <v>642</v>
      </c>
      <c r="J199" t="s">
        <v>648</v>
      </c>
      <c r="K199" s="17" t="str">
        <f>Table3[[#This Row],[Main Table]] &amp;"."&amp; Table3[[#This Row],[Main Field Name]]</f>
        <v>rbs_deck_join_on_supstr.no_of_joints</v>
      </c>
      <c r="L199" s="17" t="e">
        <f>VLOOKUP(Table3[[#This Row],[Table and Field]],Table5[[Table and Field]:[Data Type]],3,FALSE)</f>
        <v>#N/A</v>
      </c>
    </row>
    <row r="200" spans="1:13" ht="41.45">
      <c r="A200" s="6" t="s">
        <v>25</v>
      </c>
      <c r="B200" s="6" t="s">
        <v>591</v>
      </c>
      <c r="C200" s="6" t="s">
        <v>649</v>
      </c>
      <c r="D200" s="3" t="s">
        <v>649</v>
      </c>
      <c r="E200" s="6" t="s">
        <v>650</v>
      </c>
      <c r="I200" s="7" t="s">
        <v>651</v>
      </c>
      <c r="K200" s="17" t="str">
        <f>Table3[[#This Row],[Main Table]] &amp;"."&amp; Table3[[#This Row],[Main Field Name]]</f>
        <v>RBS_STRUCT_DECK_CONT.</v>
      </c>
      <c r="L200" s="17" t="e">
        <f>VLOOKUP(Table3[[#This Row],[Table and Field]],Table5[[Table and Field]:[Data Type]],3,FALSE)</f>
        <v>#N/A</v>
      </c>
    </row>
    <row r="201" spans="1:13" ht="27.6">
      <c r="A201" s="6" t="s">
        <v>25</v>
      </c>
      <c r="B201" s="6" t="s">
        <v>591</v>
      </c>
      <c r="C201" s="6" t="s">
        <v>652</v>
      </c>
      <c r="D201" s="3" t="s">
        <v>653</v>
      </c>
      <c r="E201" s="6" t="s">
        <v>653</v>
      </c>
      <c r="I201" s="7" t="s">
        <v>654</v>
      </c>
      <c r="J201" s="7" t="s">
        <v>655</v>
      </c>
      <c r="K201" s="17" t="str">
        <f>Table3[[#This Row],[Main Table]] &amp;"."&amp; Table3[[#This Row],[Main Field Name]]</f>
        <v>RBS_STRUCT_JOINT_TYPES.JOINT_LOCATION</v>
      </c>
      <c r="L201" s="17" t="e">
        <f>VLOOKUP(Table3[[#This Row],[Table and Field]],Table5[[Table and Field]:[Data Type]],3,FALSE)</f>
        <v>#N/A</v>
      </c>
    </row>
    <row r="202" spans="1:13" ht="27.6">
      <c r="A202" s="6" t="s">
        <v>25</v>
      </c>
      <c r="B202" s="6" t="s">
        <v>591</v>
      </c>
      <c r="C202" s="6" t="s">
        <v>652</v>
      </c>
      <c r="D202" s="3" t="s">
        <v>656</v>
      </c>
      <c r="E202" s="6" t="s">
        <v>657</v>
      </c>
      <c r="I202" s="7" t="s">
        <v>654</v>
      </c>
      <c r="J202" s="7" t="s">
        <v>658</v>
      </c>
      <c r="K202" s="17" t="str">
        <f>Table3[[#This Row],[Main Table]] &amp;"."&amp; Table3[[#This Row],[Main Field Name]]</f>
        <v>RBS_STRUCT_JOINT_TYPES.JOINT_LOCATION_ID</v>
      </c>
      <c r="L202" s="17" t="e">
        <f>VLOOKUP(Table3[[#This Row],[Table and Field]],Table5[[Table and Field]:[Data Type]],3,FALSE)</f>
        <v>#N/A</v>
      </c>
    </row>
    <row r="203" spans="1:13" ht="27.6">
      <c r="A203" s="6" t="s">
        <v>25</v>
      </c>
      <c r="B203" s="6" t="s">
        <v>591</v>
      </c>
      <c r="C203" s="6" t="s">
        <v>652</v>
      </c>
      <c r="D203" s="3" t="s">
        <v>659</v>
      </c>
      <c r="E203" s="6" t="s">
        <v>660</v>
      </c>
      <c r="I203" s="7" t="s">
        <v>654</v>
      </c>
      <c r="J203" t="s">
        <v>661</v>
      </c>
      <c r="K203" s="17" t="str">
        <f>Table3[[#This Row],[Main Table]] &amp;"."&amp; Table3[[#This Row],[Main Field Name]]</f>
        <v>RBS_STRUCT_JOINT_TYPES.JOINT _BRAND_CODE</v>
      </c>
      <c r="L203" s="17" t="e">
        <f>VLOOKUP(Table3[[#This Row],[Table and Field]],Table5[[Table and Field]:[Data Type]],3,FALSE)</f>
        <v>#N/A</v>
      </c>
    </row>
    <row r="204" spans="1:13" ht="48.6">
      <c r="A204" s="6" t="s">
        <v>25</v>
      </c>
      <c r="B204" s="6" t="s">
        <v>591</v>
      </c>
      <c r="C204" s="6" t="s">
        <v>652</v>
      </c>
      <c r="D204" s="3" t="s">
        <v>662</v>
      </c>
      <c r="E204" s="6" t="s">
        <v>663</v>
      </c>
      <c r="I204" s="7" t="s">
        <v>654</v>
      </c>
      <c r="J204" t="s">
        <v>664</v>
      </c>
      <c r="K204" s="17" t="str">
        <f>Table3[[#This Row],[Main Table]] &amp;"."&amp; Table3[[#This Row],[Main Field Name]]</f>
        <v>RBS_STRUCT_JOINT_TYPES.JOINT_BRAND_CODE</v>
      </c>
      <c r="L204" s="17" t="e">
        <f>VLOOKUP(Table3[[#This Row],[Table and Field]],Table5[[Table and Field]:[Data Type]],3,FALSE)</f>
        <v>#N/A</v>
      </c>
      <c r="M204" s="32" t="s">
        <v>665</v>
      </c>
    </row>
    <row r="205" spans="1:13" ht="27.6">
      <c r="A205" s="6" t="s">
        <v>25</v>
      </c>
      <c r="B205" s="6" t="s">
        <v>591</v>
      </c>
      <c r="C205" s="6" t="s">
        <v>652</v>
      </c>
      <c r="D205" s="3" t="s">
        <v>666</v>
      </c>
      <c r="E205" s="6" t="s">
        <v>667</v>
      </c>
      <c r="I205" s="7" t="s">
        <v>654</v>
      </c>
      <c r="J205" t="s">
        <v>668</v>
      </c>
      <c r="K205" s="17" t="str">
        <f>Table3[[#This Row],[Main Table]] &amp;"."&amp; Table3[[#This Row],[Main Field Name]]</f>
        <v>RBS_STRUCT_JOINT_TYPES.PRODUCT_MODEL</v>
      </c>
      <c r="L205" s="17" t="e">
        <f>VLOOKUP(Table3[[#This Row],[Table and Field]],Table5[[Table and Field]:[Data Type]],3,FALSE)</f>
        <v>#N/A</v>
      </c>
    </row>
    <row r="206" spans="1:13" ht="27.6">
      <c r="A206" s="6" t="s">
        <v>25</v>
      </c>
      <c r="B206" s="6" t="s">
        <v>591</v>
      </c>
      <c r="C206" s="6" t="s">
        <v>652</v>
      </c>
      <c r="D206" s="3" t="s">
        <v>669</v>
      </c>
      <c r="E206" s="6" t="s">
        <v>669</v>
      </c>
      <c r="I206" s="7" t="s">
        <v>654</v>
      </c>
      <c r="J206" t="s">
        <v>670</v>
      </c>
      <c r="K206" s="17" t="str">
        <f>Table3[[#This Row],[Main Table]] &amp;"."&amp; Table3[[#This Row],[Main Field Name]]</f>
        <v>RBS_STRUCT_JOINT_TYPES.YEAR_OF_INSTALL</v>
      </c>
      <c r="L206" s="17" t="e">
        <f>VLOOKUP(Table3[[#This Row],[Table and Field]],Table5[[Table and Field]:[Data Type]],3,FALSE)</f>
        <v>#N/A</v>
      </c>
    </row>
    <row r="207" spans="1:13" ht="27.6">
      <c r="A207" s="6" t="s">
        <v>25</v>
      </c>
      <c r="B207" s="6" t="s">
        <v>591</v>
      </c>
      <c r="C207" s="6" t="s">
        <v>652</v>
      </c>
      <c r="D207" s="3" t="s">
        <v>435</v>
      </c>
      <c r="E207" s="6" t="s">
        <v>671</v>
      </c>
      <c r="I207" s="7" t="s">
        <v>654</v>
      </c>
      <c r="J207" t="s">
        <v>672</v>
      </c>
      <c r="K207" s="17" t="str">
        <f>Table3[[#This Row],[Main Table]] &amp;"."&amp; Table3[[#This Row],[Main Field Name]]</f>
        <v>RBS_STRUCT_JOINT_TYPES.JOINT_TYPE_COMMENTS</v>
      </c>
      <c r="L207" s="17" t="e">
        <f>VLOOKUP(Table3[[#This Row],[Table and Field]],Table5[[Table and Field]:[Data Type]],3,FALSE)</f>
        <v>#N/A</v>
      </c>
    </row>
    <row r="208" spans="1:13" ht="27.6">
      <c r="A208" s="6" t="s">
        <v>25</v>
      </c>
      <c r="B208" s="6" t="s">
        <v>673</v>
      </c>
      <c r="C208" s="6"/>
      <c r="D208" s="3" t="s">
        <v>674</v>
      </c>
      <c r="E208" s="6" t="s">
        <v>674</v>
      </c>
      <c r="I208" s="7" t="s">
        <v>561</v>
      </c>
      <c r="J208" t="s">
        <v>675</v>
      </c>
      <c r="K208" s="17" t="str">
        <f>Table3[[#This Row],[Main Table]] &amp;"."&amp; Table3[[#This Row],[Main Field Name]]</f>
        <v>rbs_util_services.util_serv_type_code</v>
      </c>
      <c r="L208" s="17" t="e">
        <f>VLOOKUP(Table3[[#This Row],[Table and Field]],Table5[[Table and Field]:[Data Type]],3,FALSE)</f>
        <v>#N/A</v>
      </c>
    </row>
    <row r="209" spans="1:13" ht="96.6">
      <c r="A209" s="6" t="s">
        <v>25</v>
      </c>
      <c r="B209" s="6" t="s">
        <v>673</v>
      </c>
      <c r="C209" s="6"/>
      <c r="D209" s="3" t="s">
        <v>676</v>
      </c>
      <c r="E209" s="6" t="s">
        <v>676</v>
      </c>
      <c r="I209" s="7" t="s">
        <v>561</v>
      </c>
      <c r="J209" t="s">
        <v>675</v>
      </c>
      <c r="K209" s="17" t="str">
        <f>Table3[[#This Row],[Main Table]] &amp;"."&amp; Table3[[#This Row],[Main Field Name]]</f>
        <v>rbs_util_services.util_serv_type_code</v>
      </c>
      <c r="L209" s="17" t="e">
        <f>VLOOKUP(Table3[[#This Row],[Table and Field]],Table5[[Table and Field]:[Data Type]],3,FALSE)</f>
        <v>#N/A</v>
      </c>
      <c r="M209" s="32" t="s">
        <v>677</v>
      </c>
    </row>
    <row r="210" spans="1:13" ht="27.6">
      <c r="A210" s="6" t="s">
        <v>25</v>
      </c>
      <c r="B210" s="6" t="s">
        <v>673</v>
      </c>
      <c r="C210" s="6"/>
      <c r="D210" s="3" t="s">
        <v>678</v>
      </c>
      <c r="E210" s="6" t="s">
        <v>678</v>
      </c>
      <c r="I210" s="7" t="s">
        <v>561</v>
      </c>
      <c r="J210" t="s">
        <v>562</v>
      </c>
      <c r="K210" s="17" t="str">
        <f>Table3[[#This Row],[Main Table]] &amp;"."&amp; Table3[[#This Row],[Main Field Name]]</f>
        <v>rbs_util_services.work_auth_code</v>
      </c>
      <c r="L210" s="17" t="e">
        <f>VLOOKUP(Table3[[#This Row],[Table and Field]],Table5[[Table and Field]:[Data Type]],3,FALSE)</f>
        <v>#N/A</v>
      </c>
    </row>
    <row r="211" spans="1:13" ht="96.6">
      <c r="A211" s="6" t="s">
        <v>25</v>
      </c>
      <c r="B211" s="6" t="s">
        <v>673</v>
      </c>
      <c r="C211" s="6"/>
      <c r="D211" s="3" t="s">
        <v>679</v>
      </c>
      <c r="E211" s="6" t="s">
        <v>679</v>
      </c>
      <c r="I211" s="7" t="s">
        <v>561</v>
      </c>
      <c r="J211" t="s">
        <v>562</v>
      </c>
      <c r="K211" s="17" t="str">
        <f>Table3[[#This Row],[Main Table]] &amp;"."&amp; Table3[[#This Row],[Main Field Name]]</f>
        <v>rbs_util_services.work_auth_code</v>
      </c>
      <c r="L211" s="17" t="e">
        <f>VLOOKUP(Table3[[#This Row],[Table and Field]],Table5[[Table and Field]:[Data Type]],3,FALSE)</f>
        <v>#N/A</v>
      </c>
      <c r="M211" s="32" t="s">
        <v>563</v>
      </c>
    </row>
    <row r="212" spans="1:13" ht="27.6">
      <c r="A212" s="6" t="s">
        <v>25</v>
      </c>
      <c r="B212" s="6" t="s">
        <v>673</v>
      </c>
      <c r="C212" s="6"/>
      <c r="D212" s="3" t="s">
        <v>680</v>
      </c>
      <c r="E212" s="6" t="s">
        <v>680</v>
      </c>
      <c r="I212" s="7" t="s">
        <v>561</v>
      </c>
      <c r="J212" t="s">
        <v>681</v>
      </c>
      <c r="K212" s="17" t="str">
        <f>Table3[[#This Row],[Main Table]] &amp;"."&amp; Table3[[#This Row],[Main Field Name]]</f>
        <v>rbs_util_services.util_descr</v>
      </c>
      <c r="L212" s="17" t="e">
        <f>VLOOKUP(Table3[[#This Row],[Table and Field]],Table5[[Table and Field]:[Data Type]],3,FALSE)</f>
        <v>#N/A</v>
      </c>
    </row>
    <row r="213" spans="1:13" ht="28.9">
      <c r="A213" s="6" t="s">
        <v>25</v>
      </c>
      <c r="B213" s="6" t="s">
        <v>673</v>
      </c>
      <c r="C213" s="6"/>
      <c r="D213" s="3" t="s">
        <v>682</v>
      </c>
      <c r="E213" s="6" t="s">
        <v>683</v>
      </c>
      <c r="I213" s="7" t="s">
        <v>561</v>
      </c>
      <c r="J213" t="s">
        <v>566</v>
      </c>
      <c r="K213" s="17" t="str">
        <f>Table3[[#This Row],[Main Table]] &amp;"."&amp; Table3[[#This Row],[Main Field Name]]</f>
        <v>rbs_util_services.agreement_date</v>
      </c>
      <c r="L213" s="17" t="e">
        <f>VLOOKUP(Table3[[#This Row],[Table and Field]],Table5[[Table and Field]:[Data Type]],3,FALSE)</f>
        <v>#N/A</v>
      </c>
    </row>
    <row r="214" spans="1:13" ht="27.6">
      <c r="A214" s="6" t="s">
        <v>25</v>
      </c>
      <c r="B214" s="6" t="s">
        <v>684</v>
      </c>
      <c r="C214" s="6" t="s">
        <v>685</v>
      </c>
      <c r="D214" s="3" t="s">
        <v>686</v>
      </c>
      <c r="E214" s="6" t="s">
        <v>687</v>
      </c>
      <c r="I214" s="7" t="s">
        <v>688</v>
      </c>
      <c r="J214" t="s">
        <v>416</v>
      </c>
      <c r="K214" s="17" t="str">
        <f>Table3[[#This Row],[Main Table]] &amp;"."&amp; Table3[[#This Row],[Main Field Name]]</f>
        <v>rbs_substructures.YR_COMPLETED</v>
      </c>
      <c r="L214" s="17" t="e">
        <f>VLOOKUP(Table3[[#This Row],[Table and Field]],Table5[[Table and Field]:[Data Type]],3,FALSE)</f>
        <v>#N/A</v>
      </c>
    </row>
    <row r="215" spans="1:13" ht="27.6">
      <c r="A215" s="6" t="s">
        <v>25</v>
      </c>
      <c r="B215" s="6" t="s">
        <v>684</v>
      </c>
      <c r="C215" s="6" t="s">
        <v>685</v>
      </c>
      <c r="D215" s="3" t="s">
        <v>689</v>
      </c>
      <c r="E215" s="6" t="s">
        <v>690</v>
      </c>
      <c r="I215" s="7" t="s">
        <v>688</v>
      </c>
      <c r="J215" t="s">
        <v>422</v>
      </c>
      <c r="K215" s="17" t="str">
        <f>Table3[[#This Row],[Main Table]] &amp;"."&amp; Table3[[#This Row],[Main Field Name]]</f>
        <v>rbs_substructures.STRUCT_CONSTR_TYPE_CODE</v>
      </c>
      <c r="L215" s="17" t="e">
        <f>VLOOKUP(Table3[[#This Row],[Table and Field]],Table5[[Table and Field]:[Data Type]],3,FALSE)</f>
        <v>#N/A</v>
      </c>
    </row>
    <row r="216" spans="1:13" ht="28.9">
      <c r="A216" s="6" t="s">
        <v>25</v>
      </c>
      <c r="B216" s="6" t="s">
        <v>684</v>
      </c>
      <c r="C216" s="6" t="s">
        <v>685</v>
      </c>
      <c r="D216" s="3" t="s">
        <v>691</v>
      </c>
      <c r="E216" s="6" t="s">
        <v>692</v>
      </c>
      <c r="I216" s="7" t="s">
        <v>688</v>
      </c>
      <c r="J216" t="s">
        <v>422</v>
      </c>
      <c r="K216" s="17" t="str">
        <f>Table3[[#This Row],[Main Table]] &amp;"."&amp; Table3[[#This Row],[Main Field Name]]</f>
        <v>rbs_substructures.STRUCT_CONSTR_TYPE_CODE</v>
      </c>
      <c r="L216" s="17" t="e">
        <f>VLOOKUP(Table3[[#This Row],[Table and Field]],Table5[[Table and Field]:[Data Type]],3,FALSE)</f>
        <v>#N/A</v>
      </c>
    </row>
    <row r="217" spans="1:13" ht="27.6">
      <c r="A217" s="6" t="s">
        <v>25</v>
      </c>
      <c r="B217" s="6" t="s">
        <v>684</v>
      </c>
      <c r="C217" s="6" t="s">
        <v>685</v>
      </c>
      <c r="D217" s="3" t="s">
        <v>693</v>
      </c>
      <c r="E217" s="6" t="s">
        <v>694</v>
      </c>
      <c r="I217" s="7" t="s">
        <v>688</v>
      </c>
      <c r="J217" t="s">
        <v>695</v>
      </c>
      <c r="K217" s="17" t="str">
        <f>Table3[[#This Row],[Main Table]] &amp;"."&amp; Table3[[#This Row],[Main Field Name]]</f>
        <v>rbs_substructures.abut_or_pier</v>
      </c>
      <c r="L217" s="17" t="e">
        <f>VLOOKUP(Table3[[#This Row],[Table and Field]],Table5[[Table and Field]:[Data Type]],3,FALSE)</f>
        <v>#N/A</v>
      </c>
    </row>
    <row r="218" spans="1:13" ht="27.6">
      <c r="A218" s="6" t="s">
        <v>25</v>
      </c>
      <c r="B218" s="6" t="s">
        <v>684</v>
      </c>
      <c r="C218" s="6" t="s">
        <v>685</v>
      </c>
      <c r="D218" s="3" t="s">
        <v>696</v>
      </c>
      <c r="E218" s="6" t="s">
        <v>697</v>
      </c>
      <c r="I218" s="7" t="s">
        <v>688</v>
      </c>
      <c r="J218" t="s">
        <v>698</v>
      </c>
      <c r="K218" s="17" t="str">
        <f>Table3[[#This Row],[Main Table]] &amp;"."&amp; Table3[[#This Row],[Main Field Name]]</f>
        <v>rbs_substructures.substr_id_from</v>
      </c>
      <c r="L218" s="17" t="e">
        <f>VLOOKUP(Table3[[#This Row],[Table and Field]],Table5[[Table and Field]:[Data Type]],3,FALSE)</f>
        <v>#N/A</v>
      </c>
    </row>
    <row r="219" spans="1:13" ht="27.6">
      <c r="A219" s="6" t="s">
        <v>25</v>
      </c>
      <c r="B219" s="6" t="s">
        <v>684</v>
      </c>
      <c r="C219" s="6" t="s">
        <v>685</v>
      </c>
      <c r="D219" s="3" t="s">
        <v>699</v>
      </c>
      <c r="E219" s="6" t="s">
        <v>700</v>
      </c>
      <c r="I219" s="7" t="s">
        <v>688</v>
      </c>
      <c r="J219" t="s">
        <v>701</v>
      </c>
      <c r="K219" s="17" t="str">
        <f>Table3[[#This Row],[Main Table]] &amp;"."&amp; Table3[[#This Row],[Main Field Name]]</f>
        <v>rbs_substructures.substr_id_to</v>
      </c>
      <c r="L219" s="17" t="e">
        <f>VLOOKUP(Table3[[#This Row],[Table and Field]],Table5[[Table and Field]:[Data Type]],3,FALSE)</f>
        <v>#N/A</v>
      </c>
    </row>
    <row r="220" spans="1:13">
      <c r="A220" s="6" t="s">
        <v>25</v>
      </c>
      <c r="B220" s="6" t="s">
        <v>684</v>
      </c>
      <c r="C220" s="6" t="s">
        <v>702</v>
      </c>
      <c r="D220" s="3" t="s">
        <v>703</v>
      </c>
      <c r="E220" s="6" t="s">
        <v>704</v>
      </c>
      <c r="I220" s="7" t="s">
        <v>705</v>
      </c>
      <c r="J220" t="s">
        <v>706</v>
      </c>
      <c r="K220" s="17" t="str">
        <f>Table3[[#This Row],[Main Table]] &amp;"."&amp; Table3[[#This Row],[Main Field Name]]</f>
        <v>rbs_bear_on_substr.substr_bear_type_code</v>
      </c>
      <c r="L220" s="17" t="e">
        <f>VLOOKUP(Table3[[#This Row],[Table and Field]],Table5[[Table and Field]:[Data Type]],3,FALSE)</f>
        <v>#N/A</v>
      </c>
    </row>
    <row r="221" spans="1:13">
      <c r="A221" s="6" t="s">
        <v>25</v>
      </c>
      <c r="B221" s="6" t="s">
        <v>684</v>
      </c>
      <c r="C221" s="6" t="s">
        <v>702</v>
      </c>
      <c r="D221" s="3" t="s">
        <v>707</v>
      </c>
      <c r="E221" s="6" t="s">
        <v>708</v>
      </c>
      <c r="I221" s="7" t="s">
        <v>705</v>
      </c>
      <c r="J221" t="s">
        <v>706</v>
      </c>
      <c r="K221" s="17" t="str">
        <f>Table3[[#This Row],[Main Table]] &amp;"."&amp; Table3[[#This Row],[Main Field Name]]</f>
        <v>rbs_bear_on_substr.substr_bear_type_code</v>
      </c>
      <c r="L221" s="17" t="e">
        <f>VLOOKUP(Table3[[#This Row],[Table and Field]],Table5[[Table and Field]:[Data Type]],3,FALSE)</f>
        <v>#N/A</v>
      </c>
    </row>
    <row r="222" spans="1:13">
      <c r="A222" s="6" t="s">
        <v>25</v>
      </c>
      <c r="B222" s="6" t="s">
        <v>684</v>
      </c>
      <c r="C222" s="6" t="s">
        <v>702</v>
      </c>
      <c r="D222" s="3" t="s">
        <v>709</v>
      </c>
      <c r="E222" s="6" t="s">
        <v>710</v>
      </c>
      <c r="I222" s="7" t="s">
        <v>705</v>
      </c>
      <c r="J222" t="s">
        <v>711</v>
      </c>
      <c r="K222" s="17" t="str">
        <f>Table3[[#This Row],[Main Table]] &amp;"."&amp; Table3[[#This Row],[Main Field Name]]</f>
        <v>rbs_bear_on_substr.no_of_bear</v>
      </c>
      <c r="L222" s="17" t="e">
        <f>VLOOKUP(Table3[[#This Row],[Table and Field]],Table5[[Table and Field]:[Data Type]],3,FALSE)</f>
        <v>#N/A</v>
      </c>
    </row>
    <row r="223" spans="1:13">
      <c r="A223" s="6" t="s">
        <v>25</v>
      </c>
      <c r="B223" s="6" t="s">
        <v>684</v>
      </c>
      <c r="C223" s="6" t="s">
        <v>702</v>
      </c>
      <c r="D223" s="3" t="s">
        <v>712</v>
      </c>
      <c r="E223" s="6" t="s">
        <v>713</v>
      </c>
      <c r="I223" s="7" t="s">
        <v>705</v>
      </c>
      <c r="J223" t="s">
        <v>714</v>
      </c>
      <c r="K223" s="17" t="str">
        <f>Table3[[#This Row],[Main Table]] &amp;"."&amp; Table3[[#This Row],[Main Field Name]]</f>
        <v>rbs_bear_on_substr.bear_supp_type_code</v>
      </c>
      <c r="L223" s="17" t="e">
        <f>VLOOKUP(Table3[[#This Row],[Table and Field]],Table5[[Table and Field]:[Data Type]],3,FALSE)</f>
        <v>#N/A</v>
      </c>
    </row>
    <row r="224" spans="1:13" ht="28.9">
      <c r="A224" s="6" t="s">
        <v>25</v>
      </c>
      <c r="B224" s="6" t="s">
        <v>684</v>
      </c>
      <c r="C224" s="6" t="s">
        <v>702</v>
      </c>
      <c r="D224" s="3" t="s">
        <v>715</v>
      </c>
      <c r="E224" s="6" t="s">
        <v>716</v>
      </c>
      <c r="I224" s="7" t="s">
        <v>705</v>
      </c>
      <c r="J224" t="s">
        <v>714</v>
      </c>
      <c r="K224" s="17" t="str">
        <f>Table3[[#This Row],[Main Table]] &amp;"."&amp; Table3[[#This Row],[Main Field Name]]</f>
        <v>rbs_bear_on_substr.bear_supp_type_code</v>
      </c>
      <c r="L224" s="17" t="e">
        <f>VLOOKUP(Table3[[#This Row],[Table and Field]],Table5[[Table and Field]:[Data Type]],3,FALSE)</f>
        <v>#N/A</v>
      </c>
    </row>
    <row r="225" spans="1:22" ht="41.45">
      <c r="A225" s="6" t="s">
        <v>25</v>
      </c>
      <c r="B225" s="6" t="s">
        <v>684</v>
      </c>
      <c r="C225" s="6" t="s">
        <v>693</v>
      </c>
      <c r="D225" s="3" t="s">
        <v>717</v>
      </c>
      <c r="E225" s="6" t="s">
        <v>718</v>
      </c>
      <c r="H225">
        <v>1</v>
      </c>
      <c r="I225" s="7" t="s">
        <v>719</v>
      </c>
      <c r="J225" t="s">
        <v>720</v>
      </c>
      <c r="K225" s="17" t="str">
        <f>Table3[[#This Row],[Main Table]] &amp;"."&amp; Table3[[#This Row],[Main Field Name]]</f>
        <v>rbs_substr_constrs.substr_matl_code</v>
      </c>
      <c r="L225" s="17" t="s">
        <v>721</v>
      </c>
      <c r="M225" s="32" t="s">
        <v>722</v>
      </c>
      <c r="N225" s="6" t="s">
        <v>723</v>
      </c>
    </row>
    <row r="226" spans="1:22" ht="36.6">
      <c r="A226" s="6" t="s">
        <v>25</v>
      </c>
      <c r="B226" s="6" t="s">
        <v>684</v>
      </c>
      <c r="C226" s="6" t="s">
        <v>693</v>
      </c>
      <c r="D226" s="3" t="s">
        <v>724</v>
      </c>
      <c r="E226" s="6" t="s">
        <v>725</v>
      </c>
      <c r="H226">
        <v>1</v>
      </c>
      <c r="I226" s="7" t="s">
        <v>719</v>
      </c>
      <c r="J226" t="s">
        <v>720</v>
      </c>
      <c r="K226" s="17" t="str">
        <f>Table3[[#This Row],[Main Table]] &amp;"."&amp; Table3[[#This Row],[Main Field Name]]</f>
        <v>rbs_substr_constrs.substr_matl_code</v>
      </c>
      <c r="L226" s="17" t="s">
        <v>726</v>
      </c>
      <c r="M226" s="32" t="s">
        <v>727</v>
      </c>
      <c r="N226" s="6" t="s">
        <v>728</v>
      </c>
    </row>
    <row r="227" spans="1:22" ht="41.45">
      <c r="A227" s="6" t="s">
        <v>25</v>
      </c>
      <c r="B227" s="6" t="s">
        <v>684</v>
      </c>
      <c r="C227" s="6" t="s">
        <v>693</v>
      </c>
      <c r="D227" s="3" t="s">
        <v>729</v>
      </c>
      <c r="E227" s="6" t="s">
        <v>730</v>
      </c>
      <c r="H227">
        <v>1</v>
      </c>
      <c r="I227" s="7" t="s">
        <v>719</v>
      </c>
      <c r="J227" t="s">
        <v>731</v>
      </c>
      <c r="K227" s="17" t="str">
        <f>Table3[[#This Row],[Main Table]] &amp;"."&amp; Table3[[#This Row],[Main Field Name]]</f>
        <v>rbs_substr_constrs.substr_type_code</v>
      </c>
      <c r="L227" s="17" t="s">
        <v>721</v>
      </c>
      <c r="M227" s="32" t="s">
        <v>722</v>
      </c>
      <c r="N227" s="6" t="s">
        <v>723</v>
      </c>
    </row>
    <row r="228" spans="1:22" s="27" customFormat="1" ht="36">
      <c r="A228" s="24" t="s">
        <v>25</v>
      </c>
      <c r="B228" s="24" t="s">
        <v>684</v>
      </c>
      <c r="C228" s="24" t="s">
        <v>693</v>
      </c>
      <c r="D228" s="25" t="s">
        <v>732</v>
      </c>
      <c r="E228" s="24" t="s">
        <v>733</v>
      </c>
      <c r="F228" s="26"/>
      <c r="H228" s="27">
        <v>1</v>
      </c>
      <c r="I228" s="26" t="s">
        <v>719</v>
      </c>
      <c r="J228" s="27" t="s">
        <v>731</v>
      </c>
      <c r="K228" s="28" t="str">
        <f>Table3[[#This Row],[Main Table]] &amp;"."&amp; Table3[[#This Row],[Main Field Name]]</f>
        <v>rbs_substr_constrs.substr_type_code</v>
      </c>
      <c r="L228" s="28" t="s">
        <v>726</v>
      </c>
      <c r="M228" s="34" t="s">
        <v>734</v>
      </c>
      <c r="N228" s="24" t="s">
        <v>735</v>
      </c>
      <c r="T228" s="24"/>
      <c r="U228" s="24"/>
      <c r="V228" s="24"/>
    </row>
    <row r="229" spans="1:22" s="27" customFormat="1" ht="36">
      <c r="A229" s="24" t="s">
        <v>25</v>
      </c>
      <c r="B229" s="24" t="s">
        <v>684</v>
      </c>
      <c r="C229" s="24" t="s">
        <v>693</v>
      </c>
      <c r="D229" s="25" t="s">
        <v>736</v>
      </c>
      <c r="E229" s="24" t="s">
        <v>737</v>
      </c>
      <c r="F229" s="26"/>
      <c r="H229" s="27">
        <v>1</v>
      </c>
      <c r="I229" s="26" t="s">
        <v>719</v>
      </c>
      <c r="J229" s="27" t="s">
        <v>720</v>
      </c>
      <c r="K229" s="28" t="str">
        <f>Table3[[#This Row],[Main Table]] &amp;"."&amp; Table3[[#This Row],[Main Field Name]]</f>
        <v>rbs_substr_constrs.substr_matl_code</v>
      </c>
      <c r="L229" s="28" t="s">
        <v>721</v>
      </c>
      <c r="M229" s="34" t="s">
        <v>722</v>
      </c>
      <c r="N229" s="24" t="s">
        <v>738</v>
      </c>
      <c r="T229" s="24"/>
      <c r="U229" s="24"/>
      <c r="V229" s="24"/>
    </row>
    <row r="230" spans="1:22" s="27" customFormat="1" ht="41.45">
      <c r="A230" s="24" t="s">
        <v>25</v>
      </c>
      <c r="B230" s="24" t="s">
        <v>684</v>
      </c>
      <c r="C230" s="24" t="s">
        <v>693</v>
      </c>
      <c r="D230" s="25" t="s">
        <v>739</v>
      </c>
      <c r="E230" s="24" t="s">
        <v>740</v>
      </c>
      <c r="F230" s="26"/>
      <c r="H230" s="27">
        <v>1</v>
      </c>
      <c r="I230" s="26" t="s">
        <v>719</v>
      </c>
      <c r="J230" s="27" t="s">
        <v>720</v>
      </c>
      <c r="K230" s="28" t="str">
        <f>Table3[[#This Row],[Main Table]] &amp;"."&amp; Table3[[#This Row],[Main Field Name]]</f>
        <v>rbs_substr_constrs.substr_matl_code</v>
      </c>
      <c r="L230" s="28" t="s">
        <v>726</v>
      </c>
      <c r="M230" s="34" t="s">
        <v>727</v>
      </c>
      <c r="N230" s="24" t="s">
        <v>741</v>
      </c>
      <c r="T230" s="24"/>
      <c r="U230" s="24"/>
      <c r="V230" s="24"/>
    </row>
    <row r="231" spans="1:22" s="27" customFormat="1" ht="41.45">
      <c r="A231" s="24" t="s">
        <v>25</v>
      </c>
      <c r="B231" s="24" t="s">
        <v>684</v>
      </c>
      <c r="C231" s="24" t="s">
        <v>693</v>
      </c>
      <c r="D231" s="25" t="s">
        <v>742</v>
      </c>
      <c r="E231" s="24" t="s">
        <v>743</v>
      </c>
      <c r="F231" s="26"/>
      <c r="H231" s="27">
        <v>1</v>
      </c>
      <c r="I231" s="26" t="s">
        <v>719</v>
      </c>
      <c r="J231" s="27" t="s">
        <v>731</v>
      </c>
      <c r="K231" s="28" t="str">
        <f>Table3[[#This Row],[Main Table]] &amp;"."&amp; Table3[[#This Row],[Main Field Name]]</f>
        <v>rbs_substr_constrs.substr_type_code</v>
      </c>
      <c r="L231" s="28" t="s">
        <v>721</v>
      </c>
      <c r="M231" s="34" t="s">
        <v>722</v>
      </c>
      <c r="N231" s="24" t="s">
        <v>723</v>
      </c>
      <c r="T231" s="24"/>
      <c r="U231" s="24"/>
      <c r="V231" s="24"/>
    </row>
    <row r="232" spans="1:22" s="27" customFormat="1" ht="36">
      <c r="A232" s="24" t="s">
        <v>25</v>
      </c>
      <c r="B232" s="24" t="s">
        <v>684</v>
      </c>
      <c r="C232" s="24" t="s">
        <v>693</v>
      </c>
      <c r="D232" s="25" t="s">
        <v>744</v>
      </c>
      <c r="E232" s="24" t="s">
        <v>745</v>
      </c>
      <c r="F232" s="26"/>
      <c r="H232" s="27">
        <v>1</v>
      </c>
      <c r="I232" s="26" t="s">
        <v>719</v>
      </c>
      <c r="J232" s="27" t="s">
        <v>731</v>
      </c>
      <c r="K232" s="28" t="str">
        <f>Table3[[#This Row],[Main Table]] &amp;"."&amp; Table3[[#This Row],[Main Field Name]]</f>
        <v>rbs_substr_constrs.substr_type_code</v>
      </c>
      <c r="L232" s="28" t="s">
        <v>726</v>
      </c>
      <c r="M232" s="34" t="s">
        <v>734</v>
      </c>
      <c r="N232" s="24" t="s">
        <v>735</v>
      </c>
      <c r="T232" s="24"/>
      <c r="U232" s="24"/>
      <c r="V232" s="24"/>
    </row>
    <row r="233" spans="1:22" s="27" customFormat="1" ht="36">
      <c r="A233" s="24" t="s">
        <v>25</v>
      </c>
      <c r="B233" s="24" t="s">
        <v>684</v>
      </c>
      <c r="C233" s="24" t="s">
        <v>746</v>
      </c>
      <c r="D233" s="25" t="s">
        <v>747</v>
      </c>
      <c r="E233" s="24" t="s">
        <v>748</v>
      </c>
      <c r="F233" s="26"/>
      <c r="H233" s="27">
        <v>1</v>
      </c>
      <c r="I233" s="26" t="s">
        <v>749</v>
      </c>
      <c r="J233" s="27" t="s">
        <v>720</v>
      </c>
      <c r="K233" s="28" t="str">
        <f>Table3[[#This Row],[Main Table]] &amp;"."&amp; Table3[[#This Row],[Main Field Name]]</f>
        <v>rbs_substr_footings.substr_matl_code</v>
      </c>
      <c r="L233" s="28" t="s">
        <v>721</v>
      </c>
      <c r="M233" s="34" t="s">
        <v>750</v>
      </c>
      <c r="N233" s="24" t="s">
        <v>750</v>
      </c>
      <c r="T233" s="24"/>
      <c r="U233" s="24"/>
      <c r="V233" s="24"/>
    </row>
    <row r="234" spans="1:22" s="27" customFormat="1" ht="41.45">
      <c r="A234" s="24" t="s">
        <v>25</v>
      </c>
      <c r="B234" s="24" t="s">
        <v>684</v>
      </c>
      <c r="C234" s="24" t="s">
        <v>746</v>
      </c>
      <c r="D234" s="25" t="s">
        <v>751</v>
      </c>
      <c r="E234" s="24" t="s">
        <v>752</v>
      </c>
      <c r="F234" s="26"/>
      <c r="H234" s="27">
        <v>1</v>
      </c>
      <c r="I234" s="26" t="s">
        <v>749</v>
      </c>
      <c r="J234" s="27" t="s">
        <v>720</v>
      </c>
      <c r="K234" s="28" t="str">
        <f>Table3[[#This Row],[Main Table]] &amp;"."&amp; Table3[[#This Row],[Main Field Name]]</f>
        <v>rbs_substr_footings.substr_matl_code</v>
      </c>
      <c r="L234" s="28" t="e">
        <f>VLOOKUP(Table3[[#This Row],[Table and Field]],Table5[[Table and Field]:[Data Type]],3,FALSE)</f>
        <v>#N/A</v>
      </c>
      <c r="M234" s="34" t="s">
        <v>727</v>
      </c>
      <c r="N234" s="24" t="s">
        <v>741</v>
      </c>
      <c r="T234" s="24"/>
      <c r="U234" s="24"/>
      <c r="V234" s="24"/>
    </row>
    <row r="235" spans="1:22" s="27" customFormat="1" ht="36">
      <c r="A235" s="24" t="s">
        <v>25</v>
      </c>
      <c r="B235" s="24" t="s">
        <v>684</v>
      </c>
      <c r="C235" s="24" t="s">
        <v>746</v>
      </c>
      <c r="D235" s="25" t="s">
        <v>753</v>
      </c>
      <c r="E235" s="24" t="s">
        <v>754</v>
      </c>
      <c r="F235" s="26"/>
      <c r="H235" s="27">
        <v>1</v>
      </c>
      <c r="I235" s="26" t="s">
        <v>749</v>
      </c>
      <c r="J235" s="27" t="s">
        <v>755</v>
      </c>
      <c r="K235" s="28" t="str">
        <f>Table3[[#This Row],[Main Table]] &amp;"."&amp; Table3[[#This Row],[Main Field Name]]</f>
        <v>rbs_substr_footings.SUBSTR_FT_TYPE_CODE</v>
      </c>
      <c r="L235" s="28" t="e">
        <f>VLOOKUP(Table3[[#This Row],[Table and Field]],Table5[[Table and Field]:[Data Type]],3,FALSE)</f>
        <v>#N/A</v>
      </c>
      <c r="M235" s="34" t="s">
        <v>750</v>
      </c>
      <c r="N235" s="24" t="s">
        <v>750</v>
      </c>
      <c r="T235" s="24"/>
      <c r="U235" s="24"/>
      <c r="V235" s="24"/>
    </row>
    <row r="236" spans="1:22" s="27" customFormat="1" ht="41.45">
      <c r="A236" s="24" t="s">
        <v>25</v>
      </c>
      <c r="B236" s="24" t="s">
        <v>684</v>
      </c>
      <c r="C236" s="24" t="s">
        <v>746</v>
      </c>
      <c r="D236" s="25" t="s">
        <v>756</v>
      </c>
      <c r="E236" s="24" t="s">
        <v>757</v>
      </c>
      <c r="F236" s="26"/>
      <c r="H236" s="27">
        <v>1</v>
      </c>
      <c r="I236" s="26" t="s">
        <v>749</v>
      </c>
      <c r="J236" s="27" t="s">
        <v>755</v>
      </c>
      <c r="K236" s="28" t="str">
        <f>Table3[[#This Row],[Main Table]] &amp;"."&amp; Table3[[#This Row],[Main Field Name]]</f>
        <v>rbs_substr_footings.SUBSTR_FT_TYPE_CODE</v>
      </c>
      <c r="L236" s="28" t="e">
        <f>VLOOKUP(Table3[[#This Row],[Table and Field]],Table5[[Table and Field]:[Data Type]],3,FALSE)</f>
        <v>#N/A</v>
      </c>
      <c r="M236" s="34" t="s">
        <v>758</v>
      </c>
      <c r="N236" s="24" t="s">
        <v>759</v>
      </c>
      <c r="T236" s="24"/>
      <c r="U236" s="24"/>
      <c r="V236" s="24"/>
    </row>
    <row r="237" spans="1:22" s="27" customFormat="1" ht="41.45">
      <c r="A237" s="24" t="s">
        <v>25</v>
      </c>
      <c r="B237" s="24" t="s">
        <v>684</v>
      </c>
      <c r="C237" s="24" t="s">
        <v>760</v>
      </c>
      <c r="D237" s="25" t="s">
        <v>761</v>
      </c>
      <c r="E237" s="24" t="s">
        <v>762</v>
      </c>
      <c r="F237" s="26"/>
      <c r="H237" s="27">
        <v>1</v>
      </c>
      <c r="I237" s="26" t="s">
        <v>763</v>
      </c>
      <c r="J237" s="27" t="s">
        <v>764</v>
      </c>
      <c r="K237" s="28" t="str">
        <f>Table3[[#This Row],[Main Table]] &amp;"."&amp; Table3[[#This Row],[Main Field Name]]</f>
        <v>rbs_embank_prot.embank_prot_type_code</v>
      </c>
      <c r="L237" s="28" t="e">
        <f>VLOOKUP(Table3[[#This Row],[Table and Field]],Table5[[Table and Field]:[Data Type]],3,FALSE)</f>
        <v>#N/A</v>
      </c>
      <c r="M237" s="34" t="s">
        <v>750</v>
      </c>
      <c r="N237" s="24" t="s">
        <v>750</v>
      </c>
      <c r="T237" s="24"/>
      <c r="U237" s="24"/>
      <c r="V237" s="24"/>
    </row>
    <row r="238" spans="1:22" s="27" customFormat="1" ht="41.45">
      <c r="A238" s="24" t="s">
        <v>25</v>
      </c>
      <c r="B238" s="24" t="s">
        <v>684</v>
      </c>
      <c r="C238" s="24" t="s">
        <v>760</v>
      </c>
      <c r="D238" s="25" t="s">
        <v>765</v>
      </c>
      <c r="E238" s="24" t="s">
        <v>766</v>
      </c>
      <c r="F238" s="26"/>
      <c r="H238" s="27">
        <v>1</v>
      </c>
      <c r="I238" s="26" t="s">
        <v>763</v>
      </c>
      <c r="J238" s="27" t="s">
        <v>764</v>
      </c>
      <c r="K238" s="28" t="str">
        <f>Table3[[#This Row],[Main Table]] &amp;"."&amp; Table3[[#This Row],[Main Field Name]]</f>
        <v>rbs_embank_prot.embank_prot_type_code</v>
      </c>
      <c r="L238" s="28" t="e">
        <f>VLOOKUP(Table3[[#This Row],[Table and Field]],Table5[[Table and Field]:[Data Type]],3,FALSE)</f>
        <v>#N/A</v>
      </c>
      <c r="M238" s="34" t="s">
        <v>767</v>
      </c>
      <c r="N238" s="24" t="s">
        <v>768</v>
      </c>
      <c r="T238" s="24"/>
      <c r="U238" s="24"/>
      <c r="V238" s="24"/>
    </row>
    <row r="239" spans="1:22" s="27" customFormat="1" ht="41.45">
      <c r="A239" s="24" t="s">
        <v>25</v>
      </c>
      <c r="B239" s="24" t="s">
        <v>684</v>
      </c>
      <c r="C239" s="24" t="s">
        <v>769</v>
      </c>
      <c r="D239" s="25" t="s">
        <v>769</v>
      </c>
      <c r="E239" s="24" t="s">
        <v>770</v>
      </c>
      <c r="F239" s="26"/>
      <c r="H239" s="27">
        <v>1</v>
      </c>
      <c r="I239" s="26" t="s">
        <v>763</v>
      </c>
      <c r="J239" s="27" t="s">
        <v>764</v>
      </c>
      <c r="K239" s="28" t="str">
        <f>Table3[[#This Row],[Main Table]] &amp;"."&amp; Table3[[#This Row],[Main Field Name]]</f>
        <v>rbs_embank_prot.embank_prot_type_code</v>
      </c>
      <c r="L239" s="28" t="e">
        <f>VLOOKUP(Table3[[#This Row],[Table and Field]],Table5[[Table and Field]:[Data Type]],3,FALSE)</f>
        <v>#N/A</v>
      </c>
      <c r="M239" s="34"/>
      <c r="N239" s="24" t="s">
        <v>771</v>
      </c>
      <c r="T239" s="24"/>
      <c r="U239" s="24"/>
      <c r="V239" s="24"/>
    </row>
    <row r="240" spans="1:22" s="27" customFormat="1" ht="41.45">
      <c r="A240" s="24" t="s">
        <v>25</v>
      </c>
      <c r="B240" s="24" t="s">
        <v>684</v>
      </c>
      <c r="C240" s="24" t="s">
        <v>769</v>
      </c>
      <c r="D240" s="25" t="s">
        <v>772</v>
      </c>
      <c r="E240" s="24" t="s">
        <v>773</v>
      </c>
      <c r="F240" s="26"/>
      <c r="H240" s="27">
        <v>1</v>
      </c>
      <c r="I240" s="26" t="s">
        <v>763</v>
      </c>
      <c r="J240" s="27" t="s">
        <v>764</v>
      </c>
      <c r="K240" s="28" t="str">
        <f>Table3[[#This Row],[Main Table]] &amp;"."&amp; Table3[[#This Row],[Main Field Name]]</f>
        <v>rbs_embank_prot.embank_prot_type_code</v>
      </c>
      <c r="L240" s="28" t="e">
        <f>VLOOKUP(Table3[[#This Row],[Table and Field]],Table5[[Table and Field]:[Data Type]],3,FALSE)</f>
        <v>#N/A</v>
      </c>
      <c r="M240" s="34" t="s">
        <v>774</v>
      </c>
      <c r="N240" s="24" t="s">
        <v>775</v>
      </c>
      <c r="T240" s="24"/>
      <c r="U240" s="24"/>
      <c r="V240" s="24"/>
    </row>
    <row r="241" spans="1:22" s="27" customFormat="1" ht="55.15">
      <c r="A241" s="24" t="s">
        <v>25</v>
      </c>
      <c r="B241" s="24" t="s">
        <v>684</v>
      </c>
      <c r="C241" s="24" t="s">
        <v>776</v>
      </c>
      <c r="D241" s="25" t="s">
        <v>777</v>
      </c>
      <c r="E241" s="24" t="s">
        <v>778</v>
      </c>
      <c r="F241" s="26"/>
      <c r="I241" s="26" t="s">
        <v>779</v>
      </c>
      <c r="K241" s="28" t="str">
        <f>Table3[[#This Row],[Main Table]] &amp;"."&amp; Table3[[#This Row],[Main Field Name]]</f>
        <v>rbs_struct_pier.</v>
      </c>
      <c r="L241" s="28" t="e">
        <f>VLOOKUP(Table3[[#This Row],[Table and Field]],Table5[[Table and Field]:[Data Type]],3,FALSE)</f>
        <v>#N/A</v>
      </c>
      <c r="M241" s="34"/>
      <c r="N241" s="24"/>
      <c r="T241" s="24"/>
      <c r="U241" s="24"/>
      <c r="V241" s="24"/>
    </row>
    <row r="242" spans="1:22" ht="55.15">
      <c r="A242" s="6" t="s">
        <v>25</v>
      </c>
      <c r="B242" s="6" t="s">
        <v>684</v>
      </c>
      <c r="C242" s="6" t="s">
        <v>776</v>
      </c>
      <c r="D242" s="3" t="s">
        <v>780</v>
      </c>
      <c r="E242" s="6" t="s">
        <v>781</v>
      </c>
      <c r="I242" s="26" t="s">
        <v>779</v>
      </c>
      <c r="K242" s="17" t="str">
        <f>Table3[[#This Row],[Main Table]] &amp;"."&amp; Table3[[#This Row],[Main Field Name]]</f>
        <v>rbs_struct_pier.</v>
      </c>
      <c r="L242" s="17" t="e">
        <f>VLOOKUP(Table3[[#This Row],[Table and Field]],Table5[[Table and Field]:[Data Type]],3,FALSE)</f>
        <v>#N/A</v>
      </c>
      <c r="P242">
        <v>1</v>
      </c>
    </row>
    <row r="243" spans="1:22" ht="55.15">
      <c r="A243" s="6" t="s">
        <v>25</v>
      </c>
      <c r="B243" s="6" t="s">
        <v>684</v>
      </c>
      <c r="C243" s="6" t="s">
        <v>776</v>
      </c>
      <c r="D243" s="3" t="s">
        <v>782</v>
      </c>
      <c r="E243" s="6" t="s">
        <v>783</v>
      </c>
      <c r="I243" s="26" t="s">
        <v>779</v>
      </c>
      <c r="K243" s="17" t="str">
        <f>Table3[[#This Row],[Main Table]] &amp;"."&amp; Table3[[#This Row],[Main Field Name]]</f>
        <v>rbs_struct_pier.</v>
      </c>
      <c r="L243" s="17" t="e">
        <f>VLOOKUP(Table3[[#This Row],[Table and Field]],Table5[[Table and Field]:[Data Type]],3,FALSE)</f>
        <v>#N/A</v>
      </c>
      <c r="P243">
        <v>1</v>
      </c>
    </row>
    <row r="244" spans="1:22" ht="55.15">
      <c r="A244" s="6" t="s">
        <v>25</v>
      </c>
      <c r="B244" s="6" t="s">
        <v>684</v>
      </c>
      <c r="C244" s="6" t="s">
        <v>776</v>
      </c>
      <c r="D244" s="3" t="s">
        <v>784</v>
      </c>
      <c r="E244" s="6" t="s">
        <v>785</v>
      </c>
      <c r="I244" s="26" t="s">
        <v>779</v>
      </c>
      <c r="K244" s="17" t="str">
        <f>Table3[[#This Row],[Main Table]] &amp;"."&amp; Table3[[#This Row],[Main Field Name]]</f>
        <v>rbs_struct_pier.</v>
      </c>
      <c r="L244" s="17" t="e">
        <f>VLOOKUP(Table3[[#This Row],[Table and Field]],Table5[[Table and Field]:[Data Type]],3,FALSE)</f>
        <v>#N/A</v>
      </c>
      <c r="P244">
        <v>1</v>
      </c>
    </row>
    <row r="245" spans="1:22" ht="55.15">
      <c r="A245" s="6" t="s">
        <v>25</v>
      </c>
      <c r="B245" s="6" t="s">
        <v>684</v>
      </c>
      <c r="C245" s="6" t="s">
        <v>776</v>
      </c>
      <c r="D245" s="3" t="s">
        <v>786</v>
      </c>
      <c r="E245" s="6" t="s">
        <v>787</v>
      </c>
      <c r="I245" s="7" t="s">
        <v>788</v>
      </c>
      <c r="K245" s="17" t="str">
        <f>Table3[[#This Row],[Main Table]] &amp;"."&amp; Table3[[#This Row],[Main Field Name]]</f>
        <v>rbs_pier_insp.</v>
      </c>
      <c r="L245" s="17" t="e">
        <f>VLOOKUP(Table3[[#This Row],[Table and Field]],Table5[[Table and Field]:[Data Type]],3,FALSE)</f>
        <v>#N/A</v>
      </c>
      <c r="P245">
        <v>1</v>
      </c>
    </row>
    <row r="246" spans="1:22" ht="55.15">
      <c r="A246" s="6" t="s">
        <v>25</v>
      </c>
      <c r="B246" s="6" t="s">
        <v>684</v>
      </c>
      <c r="C246" s="6" t="s">
        <v>776</v>
      </c>
      <c r="D246" s="3" t="s">
        <v>789</v>
      </c>
      <c r="E246" s="6" t="s">
        <v>790</v>
      </c>
      <c r="I246" s="7"/>
      <c r="K246" s="17" t="str">
        <f>Table3[[#This Row],[Main Table]] &amp;"."&amp; Table3[[#This Row],[Main Field Name]]</f>
        <v>.</v>
      </c>
      <c r="L246" s="17" t="e">
        <f>VLOOKUP(Table3[[#This Row],[Table and Field]],Table5[[Table and Field]:[Data Type]],3,FALSE)</f>
        <v>#N/A</v>
      </c>
    </row>
    <row r="247" spans="1:22" ht="55.15">
      <c r="A247" s="6" t="s">
        <v>25</v>
      </c>
      <c r="B247" s="6" t="s">
        <v>684</v>
      </c>
      <c r="C247" s="6" t="s">
        <v>776</v>
      </c>
      <c r="D247" s="3" t="s">
        <v>791</v>
      </c>
      <c r="E247" s="6" t="s">
        <v>790</v>
      </c>
      <c r="I247" s="7"/>
      <c r="K247" s="17" t="str">
        <f>Table3[[#This Row],[Main Table]] &amp;"."&amp; Table3[[#This Row],[Main Field Name]]</f>
        <v>.</v>
      </c>
      <c r="L247" s="17" t="e">
        <f>VLOOKUP(Table3[[#This Row],[Table and Field]],Table5[[Table and Field]:[Data Type]],3,FALSE)</f>
        <v>#N/A</v>
      </c>
    </row>
    <row r="248" spans="1:22" ht="55.15">
      <c r="A248" s="6" t="s">
        <v>25</v>
      </c>
      <c r="B248" s="6" t="s">
        <v>684</v>
      </c>
      <c r="C248" s="6" t="s">
        <v>776</v>
      </c>
      <c r="D248" s="3" t="s">
        <v>435</v>
      </c>
      <c r="E248" s="6" t="s">
        <v>46</v>
      </c>
      <c r="I248" s="7"/>
      <c r="K248" s="17" t="str">
        <f>Table3[[#This Row],[Main Table]] &amp;"."&amp; Table3[[#This Row],[Main Field Name]]</f>
        <v>.</v>
      </c>
      <c r="L248" s="17" t="e">
        <f>VLOOKUP(Table3[[#This Row],[Table and Field]],Table5[[Table and Field]:[Data Type]],3,FALSE)</f>
        <v>#N/A</v>
      </c>
    </row>
    <row r="249" spans="1:22" ht="43.15">
      <c r="A249" s="6" t="s">
        <v>25</v>
      </c>
      <c r="B249" s="6" t="s">
        <v>684</v>
      </c>
      <c r="C249" s="6" t="s">
        <v>792</v>
      </c>
      <c r="D249" s="3" t="s">
        <v>793</v>
      </c>
      <c r="E249" s="6" t="s">
        <v>790</v>
      </c>
      <c r="I249" s="7"/>
      <c r="K249" s="17" t="str">
        <f>Table3[[#This Row],[Main Table]] &amp;"."&amp; Table3[[#This Row],[Main Field Name]]</f>
        <v>.</v>
      </c>
      <c r="L249" s="17" t="e">
        <f>VLOOKUP(Table3[[#This Row],[Table and Field]],Table5[[Table and Field]:[Data Type]],3,FALSE)</f>
        <v>#N/A</v>
      </c>
    </row>
    <row r="250" spans="1:22">
      <c r="A250" s="6" t="s">
        <v>25</v>
      </c>
      <c r="B250" s="6" t="s">
        <v>794</v>
      </c>
      <c r="C250" s="6"/>
      <c r="D250" s="3" t="s">
        <v>795</v>
      </c>
      <c r="E250" s="6" t="s">
        <v>796</v>
      </c>
      <c r="I250" s="29" t="s">
        <v>797</v>
      </c>
      <c r="J250" s="30" t="s">
        <v>798</v>
      </c>
      <c r="K250" s="17" t="str">
        <f>Table3[[#This Row],[Main Table]] &amp;"."&amp; Table3[[#This Row],[Main Field Name]]</f>
        <v>rbs_wwy_und_struct.DECK_HGHT_ABV_NWL</v>
      </c>
      <c r="L250" s="17" t="e">
        <f>VLOOKUP(Table3[[#This Row],[Table and Field]],Table5[[Table and Field]:[Data Type]],3,FALSE)</f>
        <v>#N/A</v>
      </c>
    </row>
    <row r="251" spans="1:22" ht="28.9">
      <c r="A251" s="6" t="s">
        <v>25</v>
      </c>
      <c r="B251" s="6" t="s">
        <v>794</v>
      </c>
      <c r="C251" s="6"/>
      <c r="D251" s="3" t="s">
        <v>799</v>
      </c>
      <c r="E251" s="6" t="s">
        <v>796</v>
      </c>
      <c r="I251" s="29" t="s">
        <v>797</v>
      </c>
      <c r="J251" s="30" t="s">
        <v>800</v>
      </c>
      <c r="K251" s="17" t="str">
        <f>Table3[[#This Row],[Main Table]] &amp;"."&amp; Table3[[#This Row],[Main Field Name]]</f>
        <v>rbs_wwy_und_struct.DECK_HGHT_ABV_BLW_HFL</v>
      </c>
      <c r="L251" s="17" t="e">
        <f>VLOOKUP(Table3[[#This Row],[Table and Field]],Table5[[Table and Field]:[Data Type]],3,FALSE)</f>
        <v>#N/A</v>
      </c>
    </row>
    <row r="252" spans="1:22" ht="28.9">
      <c r="A252" s="6" t="s">
        <v>25</v>
      </c>
      <c r="B252" s="6" t="s">
        <v>794</v>
      </c>
      <c r="C252" s="6"/>
      <c r="D252" s="3" t="s">
        <v>801</v>
      </c>
      <c r="E252" s="6" t="s">
        <v>802</v>
      </c>
      <c r="I252" s="29" t="s">
        <v>797</v>
      </c>
      <c r="J252" s="30" t="s">
        <v>803</v>
      </c>
      <c r="K252" s="17" t="str">
        <f>Table3[[#This Row],[Main Table]] &amp;"."&amp; Table3[[#This Row],[Main Field Name]]</f>
        <v>rbs_wwy_und_struct.YR_HFL_OBSV</v>
      </c>
      <c r="L252" s="17" t="e">
        <f>VLOOKUP(Table3[[#This Row],[Table and Field]],Table5[[Table and Field]:[Data Type]],3,FALSE)</f>
        <v>#N/A</v>
      </c>
    </row>
    <row r="253" spans="1:22" ht="28.9">
      <c r="A253" s="6" t="s">
        <v>25</v>
      </c>
      <c r="B253" s="6" t="s">
        <v>794</v>
      </c>
      <c r="C253" s="6"/>
      <c r="D253" s="3" t="s">
        <v>804</v>
      </c>
      <c r="E253" s="6" t="s">
        <v>805</v>
      </c>
      <c r="I253" s="29" t="s">
        <v>797</v>
      </c>
      <c r="J253" s="30" t="s">
        <v>806</v>
      </c>
      <c r="K253" s="17" t="str">
        <f>Table3[[#This Row],[Main Table]] &amp;"."&amp; Table3[[#This Row],[Main Field Name]]</f>
        <v>rbs_wwy_und_struct.CATCHMENT_AREA</v>
      </c>
      <c r="L253" s="17" t="e">
        <f>VLOOKUP(Table3[[#This Row],[Table and Field]],Table5[[Table and Field]:[Data Type]],3,FALSE)</f>
        <v>#N/A</v>
      </c>
    </row>
    <row r="254" spans="1:22" ht="28.9">
      <c r="A254" s="6" t="s">
        <v>25</v>
      </c>
      <c r="B254" s="6" t="s">
        <v>794</v>
      </c>
      <c r="C254" s="6"/>
      <c r="D254" s="3" t="s">
        <v>807</v>
      </c>
      <c r="E254" s="6" t="s">
        <v>808</v>
      </c>
      <c r="I254" s="29" t="s">
        <v>797</v>
      </c>
      <c r="J254" s="30" t="s">
        <v>809</v>
      </c>
      <c r="K254" s="17" t="str">
        <f>Table3[[#This Row],[Main Table]] &amp;"."&amp; Table3[[#This Row],[Main Field Name]]</f>
        <v>rbs_wwy_und_struct.VERT_NAVI_CLEAR</v>
      </c>
      <c r="L254" s="17" t="e">
        <f>VLOOKUP(Table3[[#This Row],[Table and Field]],Table5[[Table and Field]:[Data Type]],3,FALSE)</f>
        <v>#N/A</v>
      </c>
    </row>
    <row r="255" spans="1:22" ht="28.9">
      <c r="A255" s="6" t="s">
        <v>25</v>
      </c>
      <c r="B255" s="6" t="s">
        <v>794</v>
      </c>
      <c r="C255" s="6"/>
      <c r="D255" s="3" t="s">
        <v>810</v>
      </c>
      <c r="E255" s="6" t="s">
        <v>811</v>
      </c>
      <c r="I255" s="29" t="s">
        <v>797</v>
      </c>
      <c r="J255" s="30" t="s">
        <v>812</v>
      </c>
      <c r="K255" s="17" t="str">
        <f>Table3[[#This Row],[Main Table]] &amp;"."&amp; Table3[[#This Row],[Main Field Name]]</f>
        <v>rbs_wwy_und_struct.HRZN_NAVI_CLEAR</v>
      </c>
      <c r="L255" s="17" t="e">
        <f>VLOOKUP(Table3[[#This Row],[Table and Field]],Table5[[Table and Field]:[Data Type]],3,FALSE)</f>
        <v>#N/A</v>
      </c>
    </row>
    <row r="256" spans="1:22">
      <c r="A256" s="6" t="s">
        <v>25</v>
      </c>
      <c r="B256" s="6" t="s">
        <v>794</v>
      </c>
      <c r="C256" s="6"/>
      <c r="D256" s="3" t="s">
        <v>435</v>
      </c>
      <c r="E256" s="6" t="s">
        <v>46</v>
      </c>
      <c r="I256" s="29" t="s">
        <v>797</v>
      </c>
      <c r="J256" s="30" t="s">
        <v>813</v>
      </c>
      <c r="K256" s="17" t="str">
        <f>Table3[[#This Row],[Main Table]] &amp;"."&amp; Table3[[#This Row],[Main Field Name]]</f>
        <v>rbs_wwy_und_struct.comt_on_flood</v>
      </c>
      <c r="L256" s="17" t="e">
        <f>VLOOKUP(Table3[[#This Row],[Table and Field]],Table5[[Table and Field]:[Data Type]],3,FALSE)</f>
        <v>#N/A</v>
      </c>
    </row>
    <row r="257" spans="1:12">
      <c r="A257" s="6" t="s">
        <v>25</v>
      </c>
      <c r="B257" s="6" t="s">
        <v>794</v>
      </c>
      <c r="C257" s="6" t="s">
        <v>814</v>
      </c>
      <c r="D257" s="3" t="s">
        <v>814</v>
      </c>
      <c r="E257" s="6" t="s">
        <v>815</v>
      </c>
      <c r="H257" t="s">
        <v>816</v>
      </c>
      <c r="I257" s="29" t="s">
        <v>817</v>
      </c>
      <c r="J257" s="30" t="s">
        <v>818</v>
      </c>
      <c r="K257" s="17" t="str">
        <f>Table3[[#This Row],[Main Table]] &amp;"."&amp; Table3[[#This Row],[Main Field Name]]</f>
        <v>rbs_wwy_strm_types.strm_type_code</v>
      </c>
      <c r="L257" s="17" t="e">
        <f>VLOOKUP(Table3[[#This Row],[Table and Field]],Table5[[Table and Field]:[Data Type]],3,FALSE)</f>
        <v>#N/A</v>
      </c>
    </row>
    <row r="258" spans="1:12" ht="55.15">
      <c r="A258" s="6" t="s">
        <v>25</v>
      </c>
      <c r="B258" s="6" t="s">
        <v>819</v>
      </c>
      <c r="C258" s="6"/>
      <c r="D258" s="3" t="s">
        <v>820</v>
      </c>
      <c r="E258" s="6" t="s">
        <v>820</v>
      </c>
      <c r="I258" s="7" t="s">
        <v>271</v>
      </c>
      <c r="J258" t="s">
        <v>821</v>
      </c>
      <c r="K258" s="17" t="str">
        <f>Table3[[#This Row],[Main Table]] &amp;"."&amp; Table3[[#This Row],[Main Field Name]]</f>
        <v>RBS_DEFIC_STRUCT.STRUCT_DEFIC_CODE</v>
      </c>
      <c r="L258" s="17" t="e">
        <f>VLOOKUP(Table3[[#This Row],[Table and Field]],Table5[[Table and Field]:[Data Type]],3,FALSE)</f>
        <v>#N/A</v>
      </c>
    </row>
    <row r="259" spans="1:12" ht="55.15">
      <c r="A259" s="6" t="s">
        <v>25</v>
      </c>
      <c r="B259" s="6" t="s">
        <v>819</v>
      </c>
      <c r="C259" s="6"/>
      <c r="D259" s="3" t="s">
        <v>822</v>
      </c>
      <c r="E259" s="6" t="s">
        <v>822</v>
      </c>
      <c r="I259" s="7" t="s">
        <v>271</v>
      </c>
      <c r="J259" t="s">
        <v>823</v>
      </c>
      <c r="K259" s="17" t="str">
        <f>Table3[[#This Row],[Main Table]] &amp;"."&amp; Table3[[#This Row],[Main Field Name]]</f>
        <v>RBS_DEFIC_STRUCT.FROM_DATE</v>
      </c>
      <c r="L259" s="17" t="e">
        <f>VLOOKUP(Table3[[#This Row],[Table and Field]],Table5[[Table and Field]:[Data Type]],3,FALSE)</f>
        <v>#N/A</v>
      </c>
    </row>
    <row r="260" spans="1:12" ht="55.15">
      <c r="A260" s="6" t="s">
        <v>25</v>
      </c>
      <c r="B260" s="6" t="s">
        <v>819</v>
      </c>
      <c r="C260" s="6"/>
      <c r="D260" s="3" t="s">
        <v>824</v>
      </c>
      <c r="E260" s="6" t="s">
        <v>824</v>
      </c>
      <c r="I260" s="7" t="s">
        <v>271</v>
      </c>
      <c r="J260" t="s">
        <v>825</v>
      </c>
      <c r="K260" s="17" t="str">
        <f>Table3[[#This Row],[Main Table]] &amp;"."&amp; Table3[[#This Row],[Main Field Name]]</f>
        <v>RBS_DEFIC_STRUCT.END_DATE</v>
      </c>
      <c r="L260" s="17" t="e">
        <f>VLOOKUP(Table3[[#This Row],[Table and Field]],Table5[[Table and Field]:[Data Type]],3,FALSE)</f>
        <v>#N/A</v>
      </c>
    </row>
    <row r="261" spans="1:12" ht="55.15">
      <c r="A261" s="6" t="s">
        <v>25</v>
      </c>
      <c r="B261" s="6" t="s">
        <v>819</v>
      </c>
      <c r="C261" s="6"/>
      <c r="D261" s="3" t="s">
        <v>826</v>
      </c>
      <c r="E261" s="6" t="s">
        <v>826</v>
      </c>
      <c r="I261" s="7" t="s">
        <v>827</v>
      </c>
      <c r="J261" t="s">
        <v>828</v>
      </c>
      <c r="K261" s="17" t="str">
        <f>Table3[[#This Row],[Main Table]] &amp;"."&amp; Table3[[#This Row],[Main Field Name]]</f>
        <v>RBS_DEFIC_PROV.PROV_DEFIC_STRUCT_CODE</v>
      </c>
      <c r="L261" s="17" t="e">
        <f>VLOOKUP(Table3[[#This Row],[Table and Field]],Table5[[Table and Field]:[Data Type]],3,FALSE)</f>
        <v>#N/A</v>
      </c>
    </row>
    <row r="262" spans="1:12" ht="55.15">
      <c r="A262" s="6" t="s">
        <v>25</v>
      </c>
      <c r="B262" s="6" t="s">
        <v>819</v>
      </c>
      <c r="C262" s="6"/>
      <c r="D262" s="3" t="s">
        <v>829</v>
      </c>
      <c r="E262" s="6" t="s">
        <v>829</v>
      </c>
      <c r="I262" s="7" t="s">
        <v>271</v>
      </c>
      <c r="J262" t="s">
        <v>830</v>
      </c>
      <c r="K262" s="17" t="str">
        <f>Table3[[#This Row],[Main Table]] &amp;"."&amp; Table3[[#This Row],[Main Field Name]]</f>
        <v>RBS_DEFIC_STRUCT.LOAD_LMT_TRUCK</v>
      </c>
      <c r="L262" s="17" t="e">
        <f>VLOOKUP(Table3[[#This Row],[Table and Field]],Table5[[Table and Field]:[Data Type]],3,FALSE)</f>
        <v>#N/A</v>
      </c>
    </row>
    <row r="263" spans="1:12" ht="55.15">
      <c r="A263" s="6" t="s">
        <v>25</v>
      </c>
      <c r="B263" s="6" t="s">
        <v>819</v>
      </c>
      <c r="C263" s="6"/>
      <c r="D263" s="3" t="s">
        <v>831</v>
      </c>
      <c r="E263" s="6" t="s">
        <v>831</v>
      </c>
      <c r="I263" s="7" t="s">
        <v>271</v>
      </c>
      <c r="J263" t="s">
        <v>832</v>
      </c>
      <c r="K263" s="17" t="str">
        <f>Table3[[#This Row],[Main Table]] &amp;"."&amp; Table3[[#This Row],[Main Field Name]]</f>
        <v>RBS_DEFIC_STRUCT.LOAD_LMT_SEMITRL</v>
      </c>
      <c r="L263" s="17" t="e">
        <f>VLOOKUP(Table3[[#This Row],[Table and Field]],Table5[[Table and Field]:[Data Type]],3,FALSE)</f>
        <v>#N/A</v>
      </c>
    </row>
    <row r="264" spans="1:12" ht="55.15">
      <c r="A264" s="6" t="s">
        <v>25</v>
      </c>
      <c r="B264" s="6" t="s">
        <v>819</v>
      </c>
      <c r="C264" s="6"/>
      <c r="D264" s="3" t="s">
        <v>833</v>
      </c>
      <c r="E264" s="6" t="s">
        <v>833</v>
      </c>
      <c r="I264" s="7" t="s">
        <v>271</v>
      </c>
      <c r="J264" t="s">
        <v>834</v>
      </c>
      <c r="K264" s="17" t="str">
        <f>Table3[[#This Row],[Main Table]] &amp;"."&amp; Table3[[#This Row],[Main Field Name]]</f>
        <v>RBS_DEFIC_STRUCT.DET_LEN</v>
      </c>
      <c r="L264" s="17" t="e">
        <f>VLOOKUP(Table3[[#This Row],[Table and Field]],Table5[[Table and Field]:[Data Type]],3,FALSE)</f>
        <v>#N/A</v>
      </c>
    </row>
    <row r="265" spans="1:12" ht="55.15">
      <c r="A265" s="6" t="s">
        <v>25</v>
      </c>
      <c r="B265" s="6" t="s">
        <v>819</v>
      </c>
      <c r="C265" s="6"/>
      <c r="D265" s="3" t="s">
        <v>835</v>
      </c>
      <c r="E265" s="6" t="s">
        <v>836</v>
      </c>
      <c r="I265" s="7" t="s">
        <v>271</v>
      </c>
      <c r="J265" t="s">
        <v>837</v>
      </c>
      <c r="K265" s="17" t="str">
        <f>Table3[[#This Row],[Main Table]] &amp;"."&amp; Table3[[#This Row],[Main Field Name]]</f>
        <v>RBS_DEFIC_STRUCT.DET_CARRY_OVER_425T_YN</v>
      </c>
      <c r="L265" s="17" t="e">
        <f>VLOOKUP(Table3[[#This Row],[Table and Field]],Table5[[Table and Field]:[Data Type]],3,FALSE)</f>
        <v>#N/A</v>
      </c>
    </row>
    <row r="266" spans="1:12" ht="55.15">
      <c r="A266" s="6" t="s">
        <v>25</v>
      </c>
      <c r="B266" s="6" t="s">
        <v>819</v>
      </c>
      <c r="C266" s="6"/>
      <c r="D266" s="3" t="s">
        <v>838</v>
      </c>
      <c r="E266" s="6" t="s">
        <v>838</v>
      </c>
      <c r="I266" s="7" t="s">
        <v>271</v>
      </c>
      <c r="J266" t="s">
        <v>839</v>
      </c>
      <c r="K266" s="17" t="str">
        <f>Table3[[#This Row],[Main Table]] &amp;"."&amp; Table3[[#This Row],[Main Field Name]]</f>
        <v>RBS_DEFIC_STRUCT.MAX_AXLE_LOAD</v>
      </c>
      <c r="L266" s="17" t="e">
        <f>VLOOKUP(Table3[[#This Row],[Table and Field]],Table5[[Table and Field]:[Data Type]],3,FALSE)</f>
        <v>#N/A</v>
      </c>
    </row>
    <row r="267" spans="1:12" ht="57.6">
      <c r="A267" s="6" t="s">
        <v>25</v>
      </c>
      <c r="B267" s="6" t="s">
        <v>819</v>
      </c>
      <c r="C267" s="6"/>
      <c r="D267" s="3" t="s">
        <v>840</v>
      </c>
      <c r="E267" s="6" t="s">
        <v>841</v>
      </c>
      <c r="I267" s="7" t="s">
        <v>271</v>
      </c>
      <c r="J267" t="s">
        <v>842</v>
      </c>
      <c r="K267" s="17" t="str">
        <f>Table3[[#This Row],[Main Table]] &amp;"."&amp; Table3[[#This Row],[Main Field Name]]</f>
        <v>RBS_DEFIC_STRUCT.DET_ROUTE_DTL</v>
      </c>
      <c r="L267" s="17" t="e">
        <f>VLOOKUP(Table3[[#This Row],[Table and Field]],Table5[[Table and Field]:[Data Type]],3,FALSE)</f>
        <v>#N/A</v>
      </c>
    </row>
    <row r="268" spans="1:12" ht="55.15">
      <c r="A268" s="6" t="s">
        <v>25</v>
      </c>
      <c r="B268" s="6" t="s">
        <v>819</v>
      </c>
      <c r="C268" s="6"/>
      <c r="D268" s="3" t="s">
        <v>843</v>
      </c>
      <c r="E268" s="6" t="s">
        <v>843</v>
      </c>
      <c r="I268" s="7" t="s">
        <v>271</v>
      </c>
      <c r="J268" t="s">
        <v>844</v>
      </c>
      <c r="K268" s="17" t="str">
        <f>Table3[[#This Row],[Main Table]] &amp;"."&amp; Table3[[#This Row],[Main Field Name]]</f>
        <v>RBS_DEFIC_STRUCT.REPR_PROP_TYPE_CODE</v>
      </c>
      <c r="L268" s="17" t="e">
        <f>VLOOKUP(Table3[[#This Row],[Table and Field]],Table5[[Table and Field]:[Data Type]],3,FALSE)</f>
        <v>#N/A</v>
      </c>
    </row>
    <row r="269" spans="1:12" ht="55.15">
      <c r="A269" s="6" t="s">
        <v>25</v>
      </c>
      <c r="B269" s="6" t="s">
        <v>819</v>
      </c>
      <c r="C269" s="6"/>
      <c r="D269" s="3" t="s">
        <v>845</v>
      </c>
      <c r="E269" s="6" t="s">
        <v>845</v>
      </c>
      <c r="I269" s="7" t="s">
        <v>271</v>
      </c>
      <c r="J269" t="s">
        <v>846</v>
      </c>
      <c r="K269" s="17" t="str">
        <f>Table3[[#This Row],[Main Table]] &amp;"."&amp; Table3[[#This Row],[Main Field Name]]</f>
        <v>RBS_DEFIC_STRUCT.EST_COST</v>
      </c>
      <c r="L269" s="17" t="e">
        <f>VLOOKUP(Table3[[#This Row],[Table and Field]],Table5[[Table and Field]:[Data Type]],3,FALSE)</f>
        <v>#N/A</v>
      </c>
    </row>
    <row r="270" spans="1:12" ht="55.15">
      <c r="A270" s="6" t="s">
        <v>25</v>
      </c>
      <c r="B270" s="6" t="s">
        <v>819</v>
      </c>
      <c r="C270" s="6"/>
      <c r="D270" s="3" t="s">
        <v>847</v>
      </c>
      <c r="E270" s="6" t="s">
        <v>847</v>
      </c>
      <c r="I270" s="7" t="s">
        <v>271</v>
      </c>
      <c r="J270" t="s">
        <v>848</v>
      </c>
      <c r="K270" s="17" t="str">
        <f>Table3[[#This Row],[Main Table]] &amp;"."&amp; Table3[[#This Row],[Main Field Name]]</f>
        <v>RBS_DEFIC_STRUCT.FIN_YR_PROG</v>
      </c>
      <c r="L270" s="17" t="e">
        <f>VLOOKUP(Table3[[#This Row],[Table and Field]],Table5[[Table and Field]:[Data Type]],3,FALSE)</f>
        <v>#N/A</v>
      </c>
    </row>
    <row r="271" spans="1:12" ht="55.15">
      <c r="A271" s="6" t="s">
        <v>25</v>
      </c>
      <c r="B271" s="6" t="s">
        <v>819</v>
      </c>
      <c r="C271" s="6"/>
      <c r="D271" s="3" t="s">
        <v>435</v>
      </c>
      <c r="E271" s="6" t="s">
        <v>849</v>
      </c>
      <c r="I271" s="7" t="s">
        <v>271</v>
      </c>
      <c r="J271" t="s">
        <v>408</v>
      </c>
      <c r="K271" s="17" t="str">
        <f>Table3[[#This Row],[Main Table]] &amp;"."&amp; Table3[[#This Row],[Main Field Name]]</f>
        <v>RBS_DEFIC_STRUCT.COMMENTS</v>
      </c>
      <c r="L271" s="17" t="e">
        <f>VLOOKUP(Table3[[#This Row],[Table and Field]],Table5[[Table and Field]:[Data Type]],3,FALSE)</f>
        <v>#N/A</v>
      </c>
    </row>
    <row r="272" spans="1:12" ht="43.15">
      <c r="A272" s="6" t="s">
        <v>25</v>
      </c>
      <c r="B272" s="6" t="s">
        <v>850</v>
      </c>
      <c r="C272" s="6"/>
      <c r="D272" s="3" t="s">
        <v>851</v>
      </c>
      <c r="E272" s="6" t="s">
        <v>852</v>
      </c>
      <c r="I272" s="7" t="s">
        <v>29</v>
      </c>
      <c r="J272" t="s">
        <v>213</v>
      </c>
      <c r="K272" s="17" t="str">
        <f>Table3[[#This Row],[Main Table]] &amp;"."&amp; Table3[[#This Row],[Main Field Name]]</f>
        <v>RBS_STRUCTURES.B_DOUBLE_RD_YN</v>
      </c>
      <c r="L272" s="17" t="str">
        <f>VLOOKUP(Table3[[#This Row],[Table and Field]],Table5[[Table and Field]:[Data Type]],3,FALSE)</f>
        <v>VARCHAR2(1),</v>
      </c>
    </row>
    <row r="273" spans="1:15" ht="41.45">
      <c r="A273" s="6" t="s">
        <v>25</v>
      </c>
      <c r="B273" s="6" t="s">
        <v>850</v>
      </c>
      <c r="C273" s="6" t="s">
        <v>853</v>
      </c>
      <c r="D273" s="3" t="s">
        <v>854</v>
      </c>
      <c r="E273" s="6" t="s">
        <v>855</v>
      </c>
      <c r="I273" s="7" t="s">
        <v>856</v>
      </c>
      <c r="J273" t="s">
        <v>857</v>
      </c>
      <c r="K273" s="17" t="str">
        <f>Table3[[#This Row],[Main Table]] &amp;"."&amp; Table3[[#This Row],[Main Field Name]]</f>
        <v>RBS_STRUCT_LOAD_CAPS.VEH_CONFIG</v>
      </c>
      <c r="L273" s="17" t="e">
        <f>VLOOKUP(Table3[[#This Row],[Table and Field]],Table5[[Table and Field]:[Data Type]],3,FALSE)</f>
        <v>#N/A</v>
      </c>
      <c r="M273" s="34" t="s">
        <v>858</v>
      </c>
    </row>
    <row r="274" spans="1:15" ht="96.6">
      <c r="A274" s="6" t="s">
        <v>25</v>
      </c>
      <c r="B274" s="6" t="s">
        <v>850</v>
      </c>
      <c r="C274" s="6" t="s">
        <v>853</v>
      </c>
      <c r="D274" s="3" t="s">
        <v>859</v>
      </c>
      <c r="E274" s="6" t="s">
        <v>860</v>
      </c>
      <c r="I274" s="7" t="s">
        <v>856</v>
      </c>
      <c r="J274" t="s">
        <v>857</v>
      </c>
      <c r="K274" s="17" t="str">
        <f>Table3[[#This Row],[Main Table]] &amp;"."&amp; Table3[[#This Row],[Main Field Name]]</f>
        <v>RBS_STRUCT_LOAD_CAPS.VEH_CONFIG</v>
      </c>
      <c r="L274" s="17" t="e">
        <f>VLOOKUP(Table3[[#This Row],[Table and Field]],Table5[[Table and Field]:[Data Type]],3,FALSE)</f>
        <v>#N/A</v>
      </c>
      <c r="M274" s="32" t="s">
        <v>861</v>
      </c>
    </row>
    <row r="275" spans="1:15" ht="96.6">
      <c r="A275" s="6" t="s">
        <v>25</v>
      </c>
      <c r="B275" s="6" t="s">
        <v>850</v>
      </c>
      <c r="C275" s="6" t="s">
        <v>853</v>
      </c>
      <c r="D275" s="3" t="s">
        <v>862</v>
      </c>
      <c r="E275" s="6" t="s">
        <v>863</v>
      </c>
      <c r="I275" s="7" t="s">
        <v>856</v>
      </c>
      <c r="J275" t="s">
        <v>857</v>
      </c>
      <c r="K275" s="17" t="str">
        <f>Table3[[#This Row],[Main Table]] &amp;"."&amp; Table3[[#This Row],[Main Field Name]]</f>
        <v>RBS_STRUCT_LOAD_CAPS.VEH_CONFIG</v>
      </c>
      <c r="L275" s="17" t="e">
        <f>VLOOKUP(Table3[[#This Row],[Table and Field]],Table5[[Table and Field]:[Data Type]],3,FALSE)</f>
        <v>#N/A</v>
      </c>
      <c r="M275" s="32" t="s">
        <v>864</v>
      </c>
    </row>
    <row r="276" spans="1:15" ht="41.45">
      <c r="A276" s="6" t="s">
        <v>25</v>
      </c>
      <c r="B276" s="6" t="s">
        <v>850</v>
      </c>
      <c r="C276" s="6" t="s">
        <v>853</v>
      </c>
      <c r="D276" s="3" t="s">
        <v>865</v>
      </c>
      <c r="E276" s="6" t="s">
        <v>866</v>
      </c>
      <c r="I276" s="7" t="s">
        <v>856</v>
      </c>
      <c r="J276" t="s">
        <v>867</v>
      </c>
      <c r="K276" s="17" t="str">
        <f>Table3[[#This Row],[Main Table]] &amp;"."&amp; Table3[[#This Row],[Main Field Name]]</f>
        <v>RBS_STRUCT_LOAD_CAPS.APPROVED_YN</v>
      </c>
      <c r="L276" s="17" t="e">
        <f>VLOOKUP(Table3[[#This Row],[Table and Field]],Table5[[Table and Field]:[Data Type]],3,FALSE)</f>
        <v>#N/A</v>
      </c>
    </row>
    <row r="277" spans="1:15" ht="41.45">
      <c r="A277" s="6" t="s">
        <v>25</v>
      </c>
      <c r="B277" s="6" t="s">
        <v>850</v>
      </c>
      <c r="C277" s="6" t="s">
        <v>853</v>
      </c>
      <c r="D277" s="3" t="s">
        <v>868</v>
      </c>
      <c r="E277" s="6" t="s">
        <v>869</v>
      </c>
      <c r="I277" s="7" t="s">
        <v>856</v>
      </c>
      <c r="J277" t="s">
        <v>867</v>
      </c>
      <c r="K277" s="17" t="str">
        <f>Table3[[#This Row],[Main Table]] &amp;"."&amp; Table3[[#This Row],[Main Field Name]]</f>
        <v>RBS_STRUCT_LOAD_CAPS.APPROVED_YN</v>
      </c>
      <c r="L277" s="17" t="e">
        <f>VLOOKUP(Table3[[#This Row],[Table and Field]],Table5[[Table and Field]:[Data Type]],3,FALSE)</f>
        <v>#N/A</v>
      </c>
    </row>
    <row r="278" spans="1:15" ht="41.45">
      <c r="A278" s="6" t="s">
        <v>25</v>
      </c>
      <c r="B278" s="6" t="s">
        <v>850</v>
      </c>
      <c r="C278" s="6" t="s">
        <v>853</v>
      </c>
      <c r="D278" s="3" t="s">
        <v>870</v>
      </c>
      <c r="E278" s="6" t="s">
        <v>871</v>
      </c>
      <c r="I278" s="7"/>
      <c r="K278" s="17" t="str">
        <f>Table3[[#This Row],[Main Table]] &amp;"."&amp; Table3[[#This Row],[Main Field Name]]</f>
        <v>.</v>
      </c>
      <c r="L278" s="17" t="e">
        <f>VLOOKUP(Table3[[#This Row],[Table and Field]],Table5[[Table and Field]:[Data Type]],3,FALSE)</f>
        <v>#N/A</v>
      </c>
    </row>
    <row r="279" spans="1:15" ht="41.45">
      <c r="A279" s="6" t="s">
        <v>25</v>
      </c>
      <c r="B279" s="6" t="s">
        <v>850</v>
      </c>
      <c r="C279" s="6" t="s">
        <v>853</v>
      </c>
      <c r="D279" s="3" t="s">
        <v>872</v>
      </c>
      <c r="E279" s="6" t="s">
        <v>873</v>
      </c>
      <c r="I279" s="7"/>
      <c r="K279" s="17" t="str">
        <f>Table3[[#This Row],[Main Table]] &amp;"."&amp; Table3[[#This Row],[Main Field Name]]</f>
        <v>.</v>
      </c>
      <c r="L279" s="17" t="e">
        <f>VLOOKUP(Table3[[#This Row],[Table and Field]],Table5[[Table and Field]:[Data Type]],3,FALSE)</f>
        <v>#N/A</v>
      </c>
    </row>
    <row r="280" spans="1:15" ht="41.45">
      <c r="A280" s="6" t="s">
        <v>25</v>
      </c>
      <c r="B280" s="6" t="s">
        <v>850</v>
      </c>
      <c r="C280" s="6" t="s">
        <v>853</v>
      </c>
      <c r="D280" s="3" t="s">
        <v>874</v>
      </c>
      <c r="E280" s="6" t="s">
        <v>875</v>
      </c>
      <c r="I280" s="7" t="s">
        <v>856</v>
      </c>
      <c r="J280" s="7" t="s">
        <v>876</v>
      </c>
      <c r="K280" s="17" t="str">
        <f>Table3[[#This Row],[Main Table]] &amp;"."&amp; Table3[[#This Row],[Main Field Name]]</f>
        <v>RBS_STRUCT_LOAD_CAPS.APPROVED_DATE</v>
      </c>
      <c r="L280" s="17" t="e">
        <f>VLOOKUP(Table3[[#This Row],[Table and Field]],Table5[[Table and Field]:[Data Type]],3,FALSE)</f>
        <v>#N/A</v>
      </c>
    </row>
    <row r="281" spans="1:15" ht="41.45">
      <c r="A281" s="6" t="s">
        <v>25</v>
      </c>
      <c r="B281" s="6" t="s">
        <v>850</v>
      </c>
      <c r="C281" s="6" t="s">
        <v>853</v>
      </c>
      <c r="D281" s="3" t="s">
        <v>877</v>
      </c>
      <c r="E281" s="6" t="s">
        <v>878</v>
      </c>
      <c r="I281" s="7" t="s">
        <v>856</v>
      </c>
      <c r="J281" t="s">
        <v>879</v>
      </c>
      <c r="K281" s="17" t="str">
        <f>Table3[[#This Row],[Main Table]] &amp;"."&amp; Table3[[#This Row],[Main Field Name]]</f>
        <v>RBS_STRUCT_LOAD_CAPS.ENTRY_DATE</v>
      </c>
      <c r="L281" s="17" t="e">
        <f>VLOOKUP(Table3[[#This Row],[Table and Field]],Table5[[Table and Field]:[Data Type]],3,FALSE)</f>
        <v>#N/A</v>
      </c>
    </row>
    <row r="282" spans="1:15" ht="41.45">
      <c r="A282" s="6" t="s">
        <v>25</v>
      </c>
      <c r="B282" s="6" t="s">
        <v>850</v>
      </c>
      <c r="C282" s="6" t="s">
        <v>853</v>
      </c>
      <c r="D282" s="3" t="s">
        <v>880</v>
      </c>
      <c r="E282" s="6" t="s">
        <v>881</v>
      </c>
      <c r="I282" s="7" t="s">
        <v>882</v>
      </c>
      <c r="J282" t="s">
        <v>883</v>
      </c>
      <c r="K282" s="17" t="str">
        <f>Table3[[#This Row],[Main Table]] &amp;"."&amp; Table3[[#This Row],[Main Field Name]]</f>
        <v>rbs_structures.UPGRADE_COST</v>
      </c>
      <c r="L282" s="17" t="str">
        <f>VLOOKUP(Table3[[#This Row],[Table and Field]],Table5[[Table and Field]:[Data Type]],3,FALSE)</f>
        <v>NUMBER(10,0),</v>
      </c>
    </row>
    <row r="283" spans="1:15" ht="41.45">
      <c r="A283" s="6" t="s">
        <v>25</v>
      </c>
      <c r="B283" s="6" t="s">
        <v>850</v>
      </c>
      <c r="C283" s="6" t="s">
        <v>853</v>
      </c>
      <c r="D283" s="3" t="s">
        <v>884</v>
      </c>
      <c r="E283" s="6" t="s">
        <v>885</v>
      </c>
      <c r="I283" s="7" t="s">
        <v>882</v>
      </c>
      <c r="J283" t="s">
        <v>886</v>
      </c>
      <c r="K283" s="17" t="str">
        <f>Table3[[#This Row],[Main Table]] &amp;"."&amp; Table3[[#This Row],[Main Field Name]]</f>
        <v>rbs_structures.ROUTE_ASSESS_COMMENT</v>
      </c>
      <c r="L283" s="17" t="str">
        <f>VLOOKUP(Table3[[#This Row],[Table and Field]],Table5[[Table and Field]:[Data Type]],3,FALSE)</f>
        <v>VARCHAR2(4000),</v>
      </c>
    </row>
    <row r="284" spans="1:15" ht="43.15">
      <c r="A284" s="6" t="s">
        <v>25</v>
      </c>
      <c r="B284" s="6" t="s">
        <v>850</v>
      </c>
      <c r="C284" s="6" t="s">
        <v>853</v>
      </c>
      <c r="D284" s="3" t="s">
        <v>887</v>
      </c>
      <c r="E284" s="6" t="s">
        <v>888</v>
      </c>
      <c r="I284" s="7" t="s">
        <v>889</v>
      </c>
      <c r="J284" t="s">
        <v>889</v>
      </c>
      <c r="K284" s="17" t="str">
        <f>Table3[[#This Row],[Main Table]] &amp;"."&amp; Table3[[#This Row],[Main Field Name]]</f>
        <v>n/a.n/a</v>
      </c>
      <c r="L284" s="17" t="e">
        <f>VLOOKUP(Table3[[#This Row],[Table and Field]],Table5[[Table and Field]:[Data Type]],3,FALSE)</f>
        <v>#N/A</v>
      </c>
      <c r="N284" s="12" t="s">
        <v>890</v>
      </c>
      <c r="O284">
        <v>1</v>
      </c>
    </row>
    <row r="285" spans="1:15" ht="55.15">
      <c r="A285" s="6" t="s">
        <v>25</v>
      </c>
      <c r="B285" s="6" t="s">
        <v>850</v>
      </c>
      <c r="C285" s="6" t="s">
        <v>891</v>
      </c>
      <c r="D285" s="3" t="s">
        <v>892</v>
      </c>
      <c r="E285" s="6" t="s">
        <v>893</v>
      </c>
      <c r="I285" s="7"/>
      <c r="K285" s="17" t="str">
        <f>Table3[[#This Row],[Main Table]] &amp;"."&amp; Table3[[#This Row],[Main Field Name]]</f>
        <v>.</v>
      </c>
      <c r="L285" s="17" t="e">
        <f>VLOOKUP(Table3[[#This Row],[Table and Field]],Table5[[Table and Field]:[Data Type]],3,FALSE)</f>
        <v>#N/A</v>
      </c>
    </row>
    <row r="286" spans="1:15" ht="41.45">
      <c r="A286" s="6" t="s">
        <v>25</v>
      </c>
      <c r="B286" s="6" t="s">
        <v>894</v>
      </c>
      <c r="C286" s="6" t="s">
        <v>895</v>
      </c>
      <c r="D286" s="3" t="s">
        <v>896</v>
      </c>
      <c r="E286" s="6" t="s">
        <v>897</v>
      </c>
      <c r="I286" s="7"/>
      <c r="K286" s="17" t="str">
        <f>Table3[[#This Row],[Main Table]] &amp;"."&amp; Table3[[#This Row],[Main Field Name]]</f>
        <v>.</v>
      </c>
      <c r="L286" s="17" t="e">
        <f>VLOOKUP(Table3[[#This Row],[Table and Field]],Table5[[Table and Field]:[Data Type]],3,FALSE)</f>
        <v>#N/A</v>
      </c>
    </row>
    <row r="287" spans="1:15" ht="41.45">
      <c r="A287" s="6" t="s">
        <v>25</v>
      </c>
      <c r="B287" s="6" t="s">
        <v>894</v>
      </c>
      <c r="C287" s="6" t="s">
        <v>895</v>
      </c>
      <c r="D287" s="3" t="s">
        <v>46</v>
      </c>
      <c r="E287" s="6" t="s">
        <v>46</v>
      </c>
      <c r="I287" s="7"/>
      <c r="K287" s="17" t="str">
        <f>Table3[[#This Row],[Main Table]] &amp;"."&amp; Table3[[#This Row],[Main Field Name]]</f>
        <v>.</v>
      </c>
      <c r="L287" s="17" t="e">
        <f>VLOOKUP(Table3[[#This Row],[Table and Field]],Table5[[Table and Field]:[Data Type]],3,FALSE)</f>
        <v>#N/A</v>
      </c>
    </row>
    <row r="288" spans="1:15" ht="41.45">
      <c r="A288" s="6" t="s">
        <v>25</v>
      </c>
      <c r="B288" s="6" t="s">
        <v>894</v>
      </c>
      <c r="C288" s="6" t="s">
        <v>895</v>
      </c>
      <c r="D288" s="3" t="s">
        <v>435</v>
      </c>
      <c r="E288" s="6" t="s">
        <v>46</v>
      </c>
      <c r="I288" s="7"/>
      <c r="K288" s="17" t="str">
        <f>Table3[[#This Row],[Main Table]] &amp;"."&amp; Table3[[#This Row],[Main Field Name]]</f>
        <v>.</v>
      </c>
      <c r="L288" s="17" t="e">
        <f>VLOOKUP(Table3[[#This Row],[Table and Field]],Table5[[Table and Field]:[Data Type]],3,FALSE)</f>
        <v>#N/A</v>
      </c>
    </row>
    <row r="289" spans="1:12" ht="41.45">
      <c r="A289" s="6" t="s">
        <v>25</v>
      </c>
      <c r="B289" s="6" t="s">
        <v>894</v>
      </c>
      <c r="C289" s="6" t="s">
        <v>898</v>
      </c>
      <c r="D289" s="3" t="s">
        <v>899</v>
      </c>
      <c r="E289" s="6" t="s">
        <v>46</v>
      </c>
      <c r="I289" s="7"/>
      <c r="K289" s="17" t="str">
        <f>Table3[[#This Row],[Main Table]] &amp;"."&amp; Table3[[#This Row],[Main Field Name]]</f>
        <v>.</v>
      </c>
      <c r="L289" s="17" t="e">
        <f>VLOOKUP(Table3[[#This Row],[Table and Field]],Table5[[Table and Field]:[Data Type]],3,FALSE)</f>
        <v>#N/A</v>
      </c>
    </row>
    <row r="290" spans="1:12" ht="41.45">
      <c r="A290" s="6" t="s">
        <v>25</v>
      </c>
      <c r="B290" s="6" t="s">
        <v>894</v>
      </c>
      <c r="C290" s="6" t="s">
        <v>898</v>
      </c>
      <c r="D290" s="3" t="s">
        <v>900</v>
      </c>
      <c r="E290" s="6" t="s">
        <v>901</v>
      </c>
      <c r="I290" s="7"/>
      <c r="K290" s="17" t="str">
        <f>Table3[[#This Row],[Main Table]] &amp;"."&amp; Table3[[#This Row],[Main Field Name]]</f>
        <v>.</v>
      </c>
      <c r="L290" s="17" t="e">
        <f>VLOOKUP(Table3[[#This Row],[Table and Field]],Table5[[Table and Field]:[Data Type]],3,FALSE)</f>
        <v>#N/A</v>
      </c>
    </row>
    <row r="291" spans="1:12" ht="41.45">
      <c r="A291" s="6" t="s">
        <v>25</v>
      </c>
      <c r="B291" s="6" t="s">
        <v>894</v>
      </c>
      <c r="C291" s="6" t="s">
        <v>898</v>
      </c>
      <c r="D291" s="3" t="s">
        <v>902</v>
      </c>
      <c r="E291" s="6" t="s">
        <v>903</v>
      </c>
      <c r="I291" s="7"/>
      <c r="K291" s="17" t="str">
        <f>Table3[[#This Row],[Main Table]] &amp;"."&amp; Table3[[#This Row],[Main Field Name]]</f>
        <v>.</v>
      </c>
      <c r="L291" s="17" t="e">
        <f>VLOOKUP(Table3[[#This Row],[Table and Field]],Table5[[Table and Field]:[Data Type]],3,FALSE)</f>
        <v>#N/A</v>
      </c>
    </row>
    <row r="292" spans="1:12" ht="41.45">
      <c r="A292" s="6" t="s">
        <v>25</v>
      </c>
      <c r="B292" s="6" t="s">
        <v>894</v>
      </c>
      <c r="C292" s="6" t="s">
        <v>898</v>
      </c>
      <c r="D292" s="3" t="s">
        <v>904</v>
      </c>
      <c r="E292" s="6" t="s">
        <v>905</v>
      </c>
      <c r="I292" s="7"/>
      <c r="K292" s="17" t="str">
        <f>Table3[[#This Row],[Main Table]] &amp;"."&amp; Table3[[#This Row],[Main Field Name]]</f>
        <v>.</v>
      </c>
      <c r="L292" s="17" t="e">
        <f>VLOOKUP(Table3[[#This Row],[Table and Field]],Table5[[Table and Field]:[Data Type]],3,FALSE)</f>
        <v>#N/A</v>
      </c>
    </row>
    <row r="293" spans="1:12" ht="41.45">
      <c r="A293" s="6" t="s">
        <v>25</v>
      </c>
      <c r="B293" s="6" t="s">
        <v>894</v>
      </c>
      <c r="C293" s="6" t="s">
        <v>898</v>
      </c>
      <c r="D293" s="3" t="s">
        <v>435</v>
      </c>
      <c r="E293" s="6" t="s">
        <v>46</v>
      </c>
      <c r="I293" s="7"/>
      <c r="K293" s="17" t="str">
        <f>Table3[[#This Row],[Main Table]] &amp;"."&amp; Table3[[#This Row],[Main Field Name]]</f>
        <v>.</v>
      </c>
      <c r="L293" s="17" t="e">
        <f>VLOOKUP(Table3[[#This Row],[Table and Field]],Table5[[Table and Field]:[Data Type]],3,FALSE)</f>
        <v>#N/A</v>
      </c>
    </row>
    <row r="294" spans="1:12" ht="41.45">
      <c r="A294" s="6" t="s">
        <v>25</v>
      </c>
      <c r="B294" s="6" t="s">
        <v>894</v>
      </c>
      <c r="C294" s="6" t="s">
        <v>906</v>
      </c>
      <c r="D294" s="3" t="s">
        <v>907</v>
      </c>
      <c r="E294" s="6" t="s">
        <v>908</v>
      </c>
      <c r="I294" s="7"/>
      <c r="K294" s="17" t="str">
        <f>Table3[[#This Row],[Main Table]] &amp;"."&amp; Table3[[#This Row],[Main Field Name]]</f>
        <v>.</v>
      </c>
      <c r="L294" s="17" t="e">
        <f>VLOOKUP(Table3[[#This Row],[Table and Field]],Table5[[Table and Field]:[Data Type]],3,FALSE)</f>
        <v>#N/A</v>
      </c>
    </row>
    <row r="295" spans="1:12" ht="41.45">
      <c r="A295" s="6" t="s">
        <v>25</v>
      </c>
      <c r="B295" s="6" t="s">
        <v>894</v>
      </c>
      <c r="C295" s="6" t="s">
        <v>906</v>
      </c>
      <c r="D295" s="3" t="s">
        <v>909</v>
      </c>
      <c r="E295" s="6" t="s">
        <v>910</v>
      </c>
      <c r="I295" s="7"/>
      <c r="K295" s="17" t="str">
        <f>Table3[[#This Row],[Main Table]] &amp;"."&amp; Table3[[#This Row],[Main Field Name]]</f>
        <v>.</v>
      </c>
      <c r="L295" s="17" t="e">
        <f>VLOOKUP(Table3[[#This Row],[Table and Field]],Table5[[Table and Field]:[Data Type]],3,FALSE)</f>
        <v>#N/A</v>
      </c>
    </row>
    <row r="296" spans="1:12" ht="41.45">
      <c r="A296" s="6" t="s">
        <v>25</v>
      </c>
      <c r="B296" s="6" t="s">
        <v>894</v>
      </c>
      <c r="C296" s="6" t="s">
        <v>906</v>
      </c>
      <c r="D296" s="3" t="s">
        <v>911</v>
      </c>
      <c r="E296" s="6" t="s">
        <v>912</v>
      </c>
      <c r="I296" s="7"/>
      <c r="K296" s="17" t="str">
        <f>Table3[[#This Row],[Main Table]] &amp;"."&amp; Table3[[#This Row],[Main Field Name]]</f>
        <v>.</v>
      </c>
      <c r="L296" s="17" t="e">
        <f>VLOOKUP(Table3[[#This Row],[Table and Field]],Table5[[Table and Field]:[Data Type]],3,FALSE)</f>
        <v>#N/A</v>
      </c>
    </row>
    <row r="297" spans="1:12" ht="41.45">
      <c r="A297" s="6" t="s">
        <v>25</v>
      </c>
      <c r="B297" s="6" t="s">
        <v>894</v>
      </c>
      <c r="C297" s="6" t="s">
        <v>906</v>
      </c>
      <c r="D297" s="3" t="s">
        <v>913</v>
      </c>
      <c r="E297" s="6" t="s">
        <v>914</v>
      </c>
      <c r="I297" s="7"/>
      <c r="K297" s="17" t="str">
        <f>Table3[[#This Row],[Main Table]] &amp;"."&amp; Table3[[#This Row],[Main Field Name]]</f>
        <v>.</v>
      </c>
      <c r="L297" s="17" t="e">
        <f>VLOOKUP(Table3[[#This Row],[Table and Field]],Table5[[Table and Field]:[Data Type]],3,FALSE)</f>
        <v>#N/A</v>
      </c>
    </row>
    <row r="298" spans="1:12" ht="41.45">
      <c r="A298" s="6" t="s">
        <v>25</v>
      </c>
      <c r="B298" s="6" t="s">
        <v>894</v>
      </c>
      <c r="C298" s="6" t="s">
        <v>906</v>
      </c>
      <c r="D298" s="3" t="s">
        <v>915</v>
      </c>
      <c r="E298" s="6" t="s">
        <v>916</v>
      </c>
      <c r="I298" s="7"/>
      <c r="K298" s="17" t="str">
        <f>Table3[[#This Row],[Main Table]] &amp;"."&amp; Table3[[#This Row],[Main Field Name]]</f>
        <v>.</v>
      </c>
      <c r="L298" s="17" t="e">
        <f>VLOOKUP(Table3[[#This Row],[Table and Field]],Table5[[Table and Field]:[Data Type]],3,FALSE)</f>
        <v>#N/A</v>
      </c>
    </row>
    <row r="299" spans="1:12" ht="41.45">
      <c r="A299" s="6" t="s">
        <v>25</v>
      </c>
      <c r="B299" s="6" t="s">
        <v>894</v>
      </c>
      <c r="C299" s="6" t="s">
        <v>906</v>
      </c>
      <c r="D299" s="3" t="s">
        <v>917</v>
      </c>
      <c r="E299" s="6" t="s">
        <v>918</v>
      </c>
      <c r="I299" s="7"/>
      <c r="K299" s="17" t="str">
        <f>Table3[[#This Row],[Main Table]] &amp;"."&amp; Table3[[#This Row],[Main Field Name]]</f>
        <v>.</v>
      </c>
      <c r="L299" s="17" t="e">
        <f>VLOOKUP(Table3[[#This Row],[Table and Field]],Table5[[Table and Field]:[Data Type]],3,FALSE)</f>
        <v>#N/A</v>
      </c>
    </row>
    <row r="300" spans="1:12" ht="41.45">
      <c r="A300" s="6" t="s">
        <v>25</v>
      </c>
      <c r="B300" s="6" t="s">
        <v>894</v>
      </c>
      <c r="C300" s="6" t="s">
        <v>906</v>
      </c>
      <c r="D300" s="3" t="s">
        <v>919</v>
      </c>
      <c r="E300" s="6" t="s">
        <v>920</v>
      </c>
      <c r="I300" s="7"/>
      <c r="K300" s="17" t="str">
        <f>Table3[[#This Row],[Main Table]] &amp;"."&amp; Table3[[#This Row],[Main Field Name]]</f>
        <v>.</v>
      </c>
      <c r="L300" s="17" t="e">
        <f>VLOOKUP(Table3[[#This Row],[Table and Field]],Table5[[Table and Field]:[Data Type]],3,FALSE)</f>
        <v>#N/A</v>
      </c>
    </row>
    <row r="301" spans="1:12" ht="41.45">
      <c r="A301" s="6" t="s">
        <v>25</v>
      </c>
      <c r="B301" s="6" t="s">
        <v>894</v>
      </c>
      <c r="C301" s="6" t="s">
        <v>906</v>
      </c>
      <c r="D301" s="3" t="s">
        <v>46</v>
      </c>
      <c r="E301" s="6" t="s">
        <v>46</v>
      </c>
      <c r="I301" s="7"/>
      <c r="K301" s="17" t="str">
        <f>Table3[[#This Row],[Main Table]] &amp;"."&amp; Table3[[#This Row],[Main Field Name]]</f>
        <v>.</v>
      </c>
      <c r="L301" s="17" t="e">
        <f>VLOOKUP(Table3[[#This Row],[Table and Field]],Table5[[Table and Field]:[Data Type]],3,FALSE)</f>
        <v>#N/A</v>
      </c>
    </row>
    <row r="302" spans="1:12" ht="41.45">
      <c r="A302" s="6" t="s">
        <v>25</v>
      </c>
      <c r="B302" s="6" t="s">
        <v>894</v>
      </c>
      <c r="C302" s="6" t="s">
        <v>906</v>
      </c>
      <c r="D302" s="3" t="s">
        <v>921</v>
      </c>
      <c r="E302" s="6" t="s">
        <v>922</v>
      </c>
      <c r="I302" s="7"/>
      <c r="K302" s="17" t="str">
        <f>Table3[[#This Row],[Main Table]] &amp;"."&amp; Table3[[#This Row],[Main Field Name]]</f>
        <v>.</v>
      </c>
      <c r="L302" s="17" t="e">
        <f>VLOOKUP(Table3[[#This Row],[Table and Field]],Table5[[Table and Field]:[Data Type]],3,FALSE)</f>
        <v>#N/A</v>
      </c>
    </row>
    <row r="303" spans="1:12" ht="27.6">
      <c r="A303" s="6" t="s">
        <v>25</v>
      </c>
      <c r="B303" s="6" t="s">
        <v>923</v>
      </c>
      <c r="C303" s="6" t="s">
        <v>924</v>
      </c>
      <c r="D303" s="3" t="s">
        <v>925</v>
      </c>
      <c r="E303" s="6" t="s">
        <v>926</v>
      </c>
      <c r="I303" s="7"/>
      <c r="K303" s="17" t="str">
        <f>Table3[[#This Row],[Main Table]] &amp;"."&amp; Table3[[#This Row],[Main Field Name]]</f>
        <v>.</v>
      </c>
      <c r="L303" s="17" t="e">
        <f>VLOOKUP(Table3[[#This Row],[Table and Field]],Table5[[Table and Field]:[Data Type]],3,FALSE)</f>
        <v>#N/A</v>
      </c>
    </row>
    <row r="304" spans="1:12" ht="27.6">
      <c r="A304" s="6" t="s">
        <v>25</v>
      </c>
      <c r="B304" s="6" t="s">
        <v>923</v>
      </c>
      <c r="C304" s="6" t="s">
        <v>924</v>
      </c>
      <c r="D304" s="3" t="s">
        <v>927</v>
      </c>
      <c r="E304" s="6" t="s">
        <v>928</v>
      </c>
      <c r="I304" s="7"/>
      <c r="K304" s="17" t="str">
        <f>Table3[[#This Row],[Main Table]] &amp;"."&amp; Table3[[#This Row],[Main Field Name]]</f>
        <v>.</v>
      </c>
      <c r="L304" s="17" t="e">
        <f>VLOOKUP(Table3[[#This Row],[Table and Field]],Table5[[Table and Field]:[Data Type]],3,FALSE)</f>
        <v>#N/A</v>
      </c>
    </row>
    <row r="305" spans="1:12" ht="27.6">
      <c r="A305" s="6" t="s">
        <v>25</v>
      </c>
      <c r="B305" s="6" t="s">
        <v>923</v>
      </c>
      <c r="C305" s="6" t="s">
        <v>924</v>
      </c>
      <c r="D305" s="3" t="s">
        <v>929</v>
      </c>
      <c r="E305" s="6" t="s">
        <v>930</v>
      </c>
      <c r="I305" s="7"/>
      <c r="K305" s="17" t="str">
        <f>Table3[[#This Row],[Main Table]] &amp;"."&amp; Table3[[#This Row],[Main Field Name]]</f>
        <v>.</v>
      </c>
      <c r="L305" s="17" t="e">
        <f>VLOOKUP(Table3[[#This Row],[Table and Field]],Table5[[Table and Field]:[Data Type]],3,FALSE)</f>
        <v>#N/A</v>
      </c>
    </row>
    <row r="306" spans="1:12" ht="27.6">
      <c r="A306" s="6" t="s">
        <v>25</v>
      </c>
      <c r="B306" s="6" t="s">
        <v>923</v>
      </c>
      <c r="C306" s="6" t="s">
        <v>924</v>
      </c>
      <c r="D306" s="3" t="s">
        <v>931</v>
      </c>
      <c r="E306" s="6" t="s">
        <v>932</v>
      </c>
      <c r="I306" s="7"/>
      <c r="K306" s="17" t="str">
        <f>Table3[[#This Row],[Main Table]] &amp;"."&amp; Table3[[#This Row],[Main Field Name]]</f>
        <v>.</v>
      </c>
      <c r="L306" s="17" t="e">
        <f>VLOOKUP(Table3[[#This Row],[Table and Field]],Table5[[Table and Field]:[Data Type]],3,FALSE)</f>
        <v>#N/A</v>
      </c>
    </row>
    <row r="307" spans="1:12" ht="27.6">
      <c r="A307" s="6" t="s">
        <v>25</v>
      </c>
      <c r="B307" s="6" t="s">
        <v>923</v>
      </c>
      <c r="C307" s="6" t="s">
        <v>924</v>
      </c>
      <c r="D307" s="3" t="s">
        <v>933</v>
      </c>
      <c r="E307" s="6" t="s">
        <v>934</v>
      </c>
      <c r="I307" s="7"/>
      <c r="K307" s="17" t="str">
        <f>Table3[[#This Row],[Main Table]] &amp;"."&amp; Table3[[#This Row],[Main Field Name]]</f>
        <v>.</v>
      </c>
      <c r="L307" s="17" t="e">
        <f>VLOOKUP(Table3[[#This Row],[Table and Field]],Table5[[Table and Field]:[Data Type]],3,FALSE)</f>
        <v>#N/A</v>
      </c>
    </row>
    <row r="308" spans="1:12" ht="27.6">
      <c r="A308" s="6" t="s">
        <v>25</v>
      </c>
      <c r="B308" s="6" t="s">
        <v>923</v>
      </c>
      <c r="C308" s="6" t="s">
        <v>924</v>
      </c>
      <c r="D308" s="3" t="s">
        <v>935</v>
      </c>
      <c r="E308" s="6" t="s">
        <v>936</v>
      </c>
      <c r="I308" s="7"/>
      <c r="K308" s="17" t="str">
        <f>Table3[[#This Row],[Main Table]] &amp;"."&amp; Table3[[#This Row],[Main Field Name]]</f>
        <v>.</v>
      </c>
      <c r="L308" s="17" t="e">
        <f>VLOOKUP(Table3[[#This Row],[Table and Field]],Table5[[Table and Field]:[Data Type]],3,FALSE)</f>
        <v>#N/A</v>
      </c>
    </row>
    <row r="309" spans="1:12" ht="27.6">
      <c r="A309" s="6" t="s">
        <v>25</v>
      </c>
      <c r="B309" s="6" t="s">
        <v>923</v>
      </c>
      <c r="C309" s="6" t="s">
        <v>924</v>
      </c>
      <c r="D309" s="3" t="s">
        <v>937</v>
      </c>
      <c r="E309" s="6" t="s">
        <v>46</v>
      </c>
      <c r="I309" s="7"/>
      <c r="K309" s="17" t="str">
        <f>Table3[[#This Row],[Main Table]] &amp;"."&amp; Table3[[#This Row],[Main Field Name]]</f>
        <v>.</v>
      </c>
      <c r="L309" s="17" t="e">
        <f>VLOOKUP(Table3[[#This Row],[Table and Field]],Table5[[Table and Field]:[Data Type]],3,FALSE)</f>
        <v>#N/A</v>
      </c>
    </row>
    <row r="310" spans="1:12" ht="27.6">
      <c r="A310" s="6" t="s">
        <v>25</v>
      </c>
      <c r="B310" s="6" t="s">
        <v>923</v>
      </c>
      <c r="C310" s="6" t="s">
        <v>924</v>
      </c>
      <c r="D310" s="3" t="s">
        <v>938</v>
      </c>
      <c r="E310" s="6" t="s">
        <v>46</v>
      </c>
      <c r="I310" s="7"/>
      <c r="K310" s="17" t="str">
        <f>Table3[[#This Row],[Main Table]] &amp;"."&amp; Table3[[#This Row],[Main Field Name]]</f>
        <v>.</v>
      </c>
      <c r="L310" s="17" t="e">
        <f>VLOOKUP(Table3[[#This Row],[Table and Field]],Table5[[Table and Field]:[Data Type]],3,FALSE)</f>
        <v>#N/A</v>
      </c>
    </row>
    <row r="311" spans="1:12" ht="27.6">
      <c r="A311" s="6" t="s">
        <v>25</v>
      </c>
      <c r="B311" s="6" t="s">
        <v>923</v>
      </c>
      <c r="C311" s="6" t="s">
        <v>924</v>
      </c>
      <c r="D311" s="3" t="s">
        <v>939</v>
      </c>
      <c r="E311" s="6" t="s">
        <v>940</v>
      </c>
      <c r="I311" s="7"/>
      <c r="K311" s="17" t="str">
        <f>Table3[[#This Row],[Main Table]] &amp;"."&amp; Table3[[#This Row],[Main Field Name]]</f>
        <v>.</v>
      </c>
      <c r="L311" s="17" t="e">
        <f>VLOOKUP(Table3[[#This Row],[Table and Field]],Table5[[Table and Field]:[Data Type]],3,FALSE)</f>
        <v>#N/A</v>
      </c>
    </row>
    <row r="312" spans="1:12" ht="27.6">
      <c r="A312" s="6" t="s">
        <v>25</v>
      </c>
      <c r="B312" s="6" t="s">
        <v>923</v>
      </c>
      <c r="C312" s="6" t="s">
        <v>924</v>
      </c>
      <c r="D312" s="3" t="s">
        <v>941</v>
      </c>
      <c r="E312" s="6" t="s">
        <v>942</v>
      </c>
      <c r="I312" s="7"/>
      <c r="K312" s="17" t="str">
        <f>Table3[[#This Row],[Main Table]] &amp;"."&amp; Table3[[#This Row],[Main Field Name]]</f>
        <v>.</v>
      </c>
      <c r="L312" s="17" t="e">
        <f>VLOOKUP(Table3[[#This Row],[Table and Field]],Table5[[Table and Field]:[Data Type]],3,FALSE)</f>
        <v>#N/A</v>
      </c>
    </row>
    <row r="313" spans="1:12" ht="27.6">
      <c r="A313" s="6" t="s">
        <v>25</v>
      </c>
      <c r="B313" s="6" t="s">
        <v>923</v>
      </c>
      <c r="C313" s="6" t="s">
        <v>924</v>
      </c>
      <c r="D313" s="3" t="s">
        <v>46</v>
      </c>
      <c r="E313" s="6" t="s">
        <v>46</v>
      </c>
      <c r="I313" s="7"/>
      <c r="K313" s="17" t="str">
        <f>Table3[[#This Row],[Main Table]] &amp;"."&amp; Table3[[#This Row],[Main Field Name]]</f>
        <v>.</v>
      </c>
      <c r="L313" s="17" t="e">
        <f>VLOOKUP(Table3[[#This Row],[Table and Field]],Table5[[Table and Field]:[Data Type]],3,FALSE)</f>
        <v>#N/A</v>
      </c>
    </row>
    <row r="314" spans="1:12" ht="27.6">
      <c r="A314" s="6" t="s">
        <v>25</v>
      </c>
      <c r="B314" s="6" t="s">
        <v>923</v>
      </c>
      <c r="C314" s="6" t="s">
        <v>924</v>
      </c>
      <c r="D314" s="3" t="s">
        <v>435</v>
      </c>
      <c r="E314" s="6" t="s">
        <v>46</v>
      </c>
      <c r="I314" s="7"/>
      <c r="K314" s="17" t="str">
        <f>Table3[[#This Row],[Main Table]] &amp;"."&amp; Table3[[#This Row],[Main Field Name]]</f>
        <v>.</v>
      </c>
      <c r="L314" s="17" t="e">
        <f>VLOOKUP(Table3[[#This Row],[Table and Field]],Table5[[Table and Field]:[Data Type]],3,FALSE)</f>
        <v>#N/A</v>
      </c>
    </row>
    <row r="315" spans="1:12" ht="27.6">
      <c r="A315" s="6" t="s">
        <v>25</v>
      </c>
      <c r="B315" s="6" t="s">
        <v>923</v>
      </c>
      <c r="C315" s="6" t="s">
        <v>924</v>
      </c>
      <c r="D315" s="3" t="s">
        <v>943</v>
      </c>
      <c r="E315" s="6" t="s">
        <v>555</v>
      </c>
      <c r="I315" s="7"/>
      <c r="K315" s="17" t="str">
        <f>Table3[[#This Row],[Main Table]] &amp;"."&amp; Table3[[#This Row],[Main Field Name]]</f>
        <v>.</v>
      </c>
      <c r="L315" s="17" t="e">
        <f>VLOOKUP(Table3[[#This Row],[Table and Field]],Table5[[Table and Field]:[Data Type]],3,FALSE)</f>
        <v>#N/A</v>
      </c>
    </row>
    <row r="316" spans="1:12" ht="27.6">
      <c r="A316" s="6" t="s">
        <v>25</v>
      </c>
      <c r="B316" s="6" t="s">
        <v>923</v>
      </c>
      <c r="C316" s="6" t="s">
        <v>924</v>
      </c>
      <c r="D316" s="3" t="s">
        <v>944</v>
      </c>
      <c r="E316" s="6" t="s">
        <v>555</v>
      </c>
      <c r="I316" s="7"/>
      <c r="K316" s="17" t="str">
        <f>Table3[[#This Row],[Main Table]] &amp;"."&amp; Table3[[#This Row],[Main Field Name]]</f>
        <v>.</v>
      </c>
      <c r="L316" s="17" t="e">
        <f>VLOOKUP(Table3[[#This Row],[Table and Field]],Table5[[Table and Field]:[Data Type]],3,FALSE)</f>
        <v>#N/A</v>
      </c>
    </row>
    <row r="317" spans="1:12" ht="27.6">
      <c r="A317" s="6" t="s">
        <v>25</v>
      </c>
      <c r="B317" s="6" t="s">
        <v>923</v>
      </c>
      <c r="C317" s="6" t="s">
        <v>924</v>
      </c>
      <c r="D317" s="3" t="s">
        <v>256</v>
      </c>
      <c r="E317" s="6" t="s">
        <v>46</v>
      </c>
      <c r="I317" s="7"/>
      <c r="K317" s="17" t="str">
        <f>Table3[[#This Row],[Main Table]] &amp;"."&amp; Table3[[#This Row],[Main Field Name]]</f>
        <v>.</v>
      </c>
      <c r="L317" s="17" t="e">
        <f>VLOOKUP(Table3[[#This Row],[Table and Field]],Table5[[Table and Field]:[Data Type]],3,FALSE)</f>
        <v>#N/A</v>
      </c>
    </row>
    <row r="318" spans="1:12" ht="27.6">
      <c r="A318" s="6" t="s">
        <v>25</v>
      </c>
      <c r="B318" s="6" t="s">
        <v>923</v>
      </c>
      <c r="C318" s="6" t="s">
        <v>924</v>
      </c>
      <c r="D318" s="3" t="s">
        <v>945</v>
      </c>
      <c r="E318" s="6" t="s">
        <v>946</v>
      </c>
      <c r="I318" s="7"/>
      <c r="K318" s="17" t="str">
        <f>Table3[[#This Row],[Main Table]] &amp;"."&amp; Table3[[#This Row],[Main Field Name]]</f>
        <v>.</v>
      </c>
      <c r="L318" s="17" t="e">
        <f>VLOOKUP(Table3[[#This Row],[Table and Field]],Table5[[Table and Field]:[Data Type]],3,FALSE)</f>
        <v>#N/A</v>
      </c>
    </row>
    <row r="319" spans="1:12" ht="27.6">
      <c r="A319" s="6" t="s">
        <v>25</v>
      </c>
      <c r="B319" s="6" t="s">
        <v>923</v>
      </c>
      <c r="C319" s="6" t="s">
        <v>924</v>
      </c>
      <c r="D319" s="3" t="s">
        <v>947</v>
      </c>
      <c r="E319" s="6" t="s">
        <v>46</v>
      </c>
      <c r="I319" s="7"/>
      <c r="K319" s="17" t="str">
        <f>Table3[[#This Row],[Main Table]] &amp;"."&amp; Table3[[#This Row],[Main Field Name]]</f>
        <v>.</v>
      </c>
      <c r="L319" s="17" t="e">
        <f>VLOOKUP(Table3[[#This Row],[Table and Field]],Table5[[Table and Field]:[Data Type]],3,FALSE)</f>
        <v>#N/A</v>
      </c>
    </row>
    <row r="320" spans="1:12" ht="27.6">
      <c r="A320" s="6" t="s">
        <v>25</v>
      </c>
      <c r="B320" s="6" t="s">
        <v>923</v>
      </c>
      <c r="C320" s="6" t="s">
        <v>924</v>
      </c>
      <c r="D320" s="3" t="s">
        <v>948</v>
      </c>
      <c r="E320" s="6" t="s">
        <v>949</v>
      </c>
      <c r="I320" s="7"/>
      <c r="K320" s="17" t="str">
        <f>Table3[[#This Row],[Main Table]] &amp;"."&amp; Table3[[#This Row],[Main Field Name]]</f>
        <v>.</v>
      </c>
      <c r="L320" s="17" t="e">
        <f>VLOOKUP(Table3[[#This Row],[Table and Field]],Table5[[Table and Field]:[Data Type]],3,FALSE)</f>
        <v>#N/A</v>
      </c>
    </row>
    <row r="321" spans="1:12" ht="27.6">
      <c r="A321" s="6" t="s">
        <v>25</v>
      </c>
      <c r="B321" s="6" t="s">
        <v>923</v>
      </c>
      <c r="C321" s="6" t="s">
        <v>924</v>
      </c>
      <c r="D321" s="3" t="s">
        <v>950</v>
      </c>
      <c r="E321" s="6" t="s">
        <v>46</v>
      </c>
      <c r="I321" s="7"/>
      <c r="K321" s="17" t="str">
        <f>Table3[[#This Row],[Main Table]] &amp;"."&amp; Table3[[#This Row],[Main Field Name]]</f>
        <v>.</v>
      </c>
      <c r="L321" s="17" t="e">
        <f>VLOOKUP(Table3[[#This Row],[Table and Field]],Table5[[Table and Field]:[Data Type]],3,FALSE)</f>
        <v>#N/A</v>
      </c>
    </row>
    <row r="322" spans="1:12" ht="27.6">
      <c r="A322" s="6" t="s">
        <v>25</v>
      </c>
      <c r="B322" s="6" t="s">
        <v>923</v>
      </c>
      <c r="C322" s="6" t="s">
        <v>924</v>
      </c>
      <c r="D322" s="3" t="s">
        <v>951</v>
      </c>
      <c r="E322" s="6" t="s">
        <v>952</v>
      </c>
      <c r="I322" s="7"/>
      <c r="K322" s="17" t="str">
        <f>Table3[[#This Row],[Main Table]] &amp;"."&amp; Table3[[#This Row],[Main Field Name]]</f>
        <v>.</v>
      </c>
      <c r="L322" s="17" t="e">
        <f>VLOOKUP(Table3[[#This Row],[Table and Field]],Table5[[Table and Field]:[Data Type]],3,FALSE)</f>
        <v>#N/A</v>
      </c>
    </row>
    <row r="323" spans="1:12" ht="27.6">
      <c r="A323" s="6" t="s">
        <v>25</v>
      </c>
      <c r="B323" s="6" t="s">
        <v>923</v>
      </c>
      <c r="C323" s="6" t="s">
        <v>924</v>
      </c>
      <c r="D323" s="3" t="s">
        <v>953</v>
      </c>
      <c r="E323" s="6" t="s">
        <v>954</v>
      </c>
      <c r="I323" s="7"/>
      <c r="K323" s="17" t="str">
        <f>Table3[[#This Row],[Main Table]] &amp;"."&amp; Table3[[#This Row],[Main Field Name]]</f>
        <v>.</v>
      </c>
      <c r="L323" s="17" t="e">
        <f>VLOOKUP(Table3[[#This Row],[Table and Field]],Table5[[Table and Field]:[Data Type]],3,FALSE)</f>
        <v>#N/A</v>
      </c>
    </row>
    <row r="324" spans="1:12" ht="27.6">
      <c r="A324" s="6" t="s">
        <v>25</v>
      </c>
      <c r="B324" s="6" t="s">
        <v>923</v>
      </c>
      <c r="C324" s="6" t="s">
        <v>924</v>
      </c>
      <c r="D324" s="3" t="s">
        <v>955</v>
      </c>
      <c r="E324" s="6" t="s">
        <v>956</v>
      </c>
      <c r="I324" s="7"/>
      <c r="K324" s="17" t="str">
        <f>Table3[[#This Row],[Main Table]] &amp;"."&amp; Table3[[#This Row],[Main Field Name]]</f>
        <v>.</v>
      </c>
      <c r="L324" s="17" t="e">
        <f>VLOOKUP(Table3[[#This Row],[Table and Field]],Table5[[Table and Field]:[Data Type]],3,FALSE)</f>
        <v>#N/A</v>
      </c>
    </row>
    <row r="325" spans="1:12" ht="27.6">
      <c r="A325" s="6" t="s">
        <v>25</v>
      </c>
      <c r="B325" s="6" t="s">
        <v>923</v>
      </c>
      <c r="C325" s="6" t="s">
        <v>924</v>
      </c>
      <c r="D325" s="3" t="s">
        <v>957</v>
      </c>
      <c r="E325" s="6" t="s">
        <v>958</v>
      </c>
      <c r="I325" s="7"/>
      <c r="K325" s="17" t="str">
        <f>Table3[[#This Row],[Main Table]] &amp;"."&amp; Table3[[#This Row],[Main Field Name]]</f>
        <v>.</v>
      </c>
      <c r="L325" s="17" t="e">
        <f>VLOOKUP(Table3[[#This Row],[Table and Field]],Table5[[Table and Field]:[Data Type]],3,FALSE)</f>
        <v>#N/A</v>
      </c>
    </row>
    <row r="326" spans="1:12" ht="27.6">
      <c r="A326" s="6" t="s">
        <v>25</v>
      </c>
      <c r="B326" s="6" t="s">
        <v>923</v>
      </c>
      <c r="C326" s="6" t="s">
        <v>924</v>
      </c>
      <c r="D326" s="3" t="s">
        <v>428</v>
      </c>
      <c r="E326" s="6" t="s">
        <v>429</v>
      </c>
      <c r="I326" s="7"/>
      <c r="K326" s="17" t="str">
        <f>Table3[[#This Row],[Main Table]] &amp;"."&amp; Table3[[#This Row],[Main Field Name]]</f>
        <v>.</v>
      </c>
      <c r="L326" s="17" t="e">
        <f>VLOOKUP(Table3[[#This Row],[Table and Field]],Table5[[Table and Field]:[Data Type]],3,FALSE)</f>
        <v>#N/A</v>
      </c>
    </row>
    <row r="327" spans="1:12" ht="27.6">
      <c r="A327" s="6" t="s">
        <v>25</v>
      </c>
      <c r="B327" s="6" t="s">
        <v>923</v>
      </c>
      <c r="C327" s="6" t="s">
        <v>924</v>
      </c>
      <c r="D327" s="3" t="s">
        <v>959</v>
      </c>
      <c r="E327" s="6" t="s">
        <v>960</v>
      </c>
      <c r="I327" s="7"/>
      <c r="K327" s="17" t="str">
        <f>Table3[[#This Row],[Main Table]] &amp;"."&amp; Table3[[#This Row],[Main Field Name]]</f>
        <v>.</v>
      </c>
      <c r="L327" s="17" t="e">
        <f>VLOOKUP(Table3[[#This Row],[Table and Field]],Table5[[Table and Field]:[Data Type]],3,FALSE)</f>
        <v>#N/A</v>
      </c>
    </row>
    <row r="328" spans="1:12" ht="27.6">
      <c r="A328" s="6" t="s">
        <v>25</v>
      </c>
      <c r="B328" s="6" t="s">
        <v>923</v>
      </c>
      <c r="C328" s="6" t="s">
        <v>924</v>
      </c>
      <c r="D328" s="3" t="s">
        <v>961</v>
      </c>
      <c r="E328" s="6" t="s">
        <v>962</v>
      </c>
      <c r="I328" s="7"/>
      <c r="K328" s="17" t="str">
        <f>Table3[[#This Row],[Main Table]] &amp;"."&amp; Table3[[#This Row],[Main Field Name]]</f>
        <v>.</v>
      </c>
      <c r="L328" s="17" t="e">
        <f>VLOOKUP(Table3[[#This Row],[Table and Field]],Table5[[Table and Field]:[Data Type]],3,FALSE)</f>
        <v>#N/A</v>
      </c>
    </row>
    <row r="329" spans="1:12" ht="27.6">
      <c r="A329" s="6" t="s">
        <v>25</v>
      </c>
      <c r="B329" s="6" t="s">
        <v>923</v>
      </c>
      <c r="C329" s="6" t="s">
        <v>924</v>
      </c>
      <c r="D329" s="3" t="s">
        <v>963</v>
      </c>
      <c r="E329" s="6" t="s">
        <v>964</v>
      </c>
      <c r="I329" s="7"/>
      <c r="K329" s="17" t="str">
        <f>Table3[[#This Row],[Main Table]] &amp;"."&amp; Table3[[#This Row],[Main Field Name]]</f>
        <v>.</v>
      </c>
      <c r="L329" s="17" t="e">
        <f>VLOOKUP(Table3[[#This Row],[Table and Field]],Table5[[Table and Field]:[Data Type]],3,FALSE)</f>
        <v>#N/A</v>
      </c>
    </row>
    <row r="330" spans="1:12" ht="27.6">
      <c r="A330" s="6" t="s">
        <v>25</v>
      </c>
      <c r="B330" s="6" t="s">
        <v>923</v>
      </c>
      <c r="C330" s="6" t="s">
        <v>924</v>
      </c>
      <c r="D330" s="3" t="s">
        <v>965</v>
      </c>
      <c r="E330" s="6" t="s">
        <v>966</v>
      </c>
      <c r="I330" s="7"/>
      <c r="K330" s="17" t="str">
        <f>Table3[[#This Row],[Main Table]] &amp;"."&amp; Table3[[#This Row],[Main Field Name]]</f>
        <v>.</v>
      </c>
      <c r="L330" s="17" t="e">
        <f>VLOOKUP(Table3[[#This Row],[Table and Field]],Table5[[Table and Field]:[Data Type]],3,FALSE)</f>
        <v>#N/A</v>
      </c>
    </row>
    <row r="331" spans="1:12" ht="27.6">
      <c r="A331" s="6" t="s">
        <v>25</v>
      </c>
      <c r="B331" s="6" t="s">
        <v>923</v>
      </c>
      <c r="C331" s="6" t="s">
        <v>924</v>
      </c>
      <c r="D331" s="3" t="s">
        <v>967</v>
      </c>
      <c r="E331" s="6" t="s">
        <v>968</v>
      </c>
      <c r="I331" s="7"/>
      <c r="K331" s="17" t="str">
        <f>Table3[[#This Row],[Main Table]] &amp;"."&amp; Table3[[#This Row],[Main Field Name]]</f>
        <v>.</v>
      </c>
      <c r="L331" s="17" t="e">
        <f>VLOOKUP(Table3[[#This Row],[Table and Field]],Table5[[Table and Field]:[Data Type]],3,FALSE)</f>
        <v>#N/A</v>
      </c>
    </row>
    <row r="332" spans="1:12" ht="27.6">
      <c r="A332" s="6" t="s">
        <v>25</v>
      </c>
      <c r="B332" s="6" t="s">
        <v>923</v>
      </c>
      <c r="C332" s="6" t="s">
        <v>969</v>
      </c>
      <c r="D332" s="3" t="s">
        <v>970</v>
      </c>
      <c r="E332" s="6" t="s">
        <v>971</v>
      </c>
      <c r="I332" s="7"/>
      <c r="K332" s="17" t="str">
        <f>Table3[[#This Row],[Main Table]] &amp;"."&amp; Table3[[#This Row],[Main Field Name]]</f>
        <v>.</v>
      </c>
      <c r="L332" s="17" t="e">
        <f>VLOOKUP(Table3[[#This Row],[Table and Field]],Table5[[Table and Field]:[Data Type]],3,FALSE)</f>
        <v>#N/A</v>
      </c>
    </row>
    <row r="333" spans="1:12" ht="27.6">
      <c r="A333" s="6" t="s">
        <v>25</v>
      </c>
      <c r="B333" s="6" t="s">
        <v>923</v>
      </c>
      <c r="C333" s="6" t="s">
        <v>969</v>
      </c>
      <c r="D333" s="3" t="s">
        <v>972</v>
      </c>
      <c r="E333" s="6" t="s">
        <v>973</v>
      </c>
      <c r="I333" s="7"/>
      <c r="K333" s="17" t="str">
        <f>Table3[[#This Row],[Main Table]] &amp;"."&amp; Table3[[#This Row],[Main Field Name]]</f>
        <v>.</v>
      </c>
      <c r="L333" s="17" t="e">
        <f>VLOOKUP(Table3[[#This Row],[Table and Field]],Table5[[Table and Field]:[Data Type]],3,FALSE)</f>
        <v>#N/A</v>
      </c>
    </row>
    <row r="334" spans="1:12" ht="27.6">
      <c r="A334" s="6" t="s">
        <v>25</v>
      </c>
      <c r="B334" s="6" t="s">
        <v>923</v>
      </c>
      <c r="C334" s="6" t="s">
        <v>969</v>
      </c>
      <c r="D334" s="3" t="s">
        <v>925</v>
      </c>
      <c r="E334" s="6" t="s">
        <v>926</v>
      </c>
      <c r="I334" s="7"/>
      <c r="K334" s="17" t="str">
        <f>Table3[[#This Row],[Main Table]] &amp;"."&amp; Table3[[#This Row],[Main Field Name]]</f>
        <v>.</v>
      </c>
      <c r="L334" s="17" t="e">
        <f>VLOOKUP(Table3[[#This Row],[Table and Field]],Table5[[Table and Field]:[Data Type]],3,FALSE)</f>
        <v>#N/A</v>
      </c>
    </row>
    <row r="335" spans="1:12" ht="28.9">
      <c r="A335" s="6" t="s">
        <v>25</v>
      </c>
      <c r="B335" s="6" t="s">
        <v>923</v>
      </c>
      <c r="C335" s="6" t="s">
        <v>969</v>
      </c>
      <c r="D335" s="3" t="s">
        <v>974</v>
      </c>
      <c r="E335" s="6" t="s">
        <v>975</v>
      </c>
      <c r="I335" s="7"/>
      <c r="K335" s="17" t="str">
        <f>Table3[[#This Row],[Main Table]] &amp;"."&amp; Table3[[#This Row],[Main Field Name]]</f>
        <v>.</v>
      </c>
      <c r="L335" s="17" t="e">
        <f>VLOOKUP(Table3[[#This Row],[Table and Field]],Table5[[Table and Field]:[Data Type]],3,FALSE)</f>
        <v>#N/A</v>
      </c>
    </row>
    <row r="336" spans="1:12" ht="27.6">
      <c r="A336" s="6" t="s">
        <v>25</v>
      </c>
      <c r="B336" s="6" t="s">
        <v>923</v>
      </c>
      <c r="C336" s="6" t="s">
        <v>969</v>
      </c>
      <c r="D336" s="3" t="s">
        <v>976</v>
      </c>
      <c r="E336" s="6" t="s">
        <v>977</v>
      </c>
      <c r="I336" s="7"/>
      <c r="K336" s="17" t="str">
        <f>Table3[[#This Row],[Main Table]] &amp;"."&amp; Table3[[#This Row],[Main Field Name]]</f>
        <v>.</v>
      </c>
      <c r="L336" s="17" t="e">
        <f>VLOOKUP(Table3[[#This Row],[Table and Field]],Table5[[Table and Field]:[Data Type]],3,FALSE)</f>
        <v>#N/A</v>
      </c>
    </row>
    <row r="337" spans="1:12" ht="27.6">
      <c r="A337" s="6" t="s">
        <v>25</v>
      </c>
      <c r="B337" s="6" t="s">
        <v>923</v>
      </c>
      <c r="C337" s="6" t="s">
        <v>969</v>
      </c>
      <c r="D337" s="3" t="s">
        <v>978</v>
      </c>
      <c r="E337" s="6" t="s">
        <v>979</v>
      </c>
      <c r="I337" s="7"/>
      <c r="K337" s="17" t="str">
        <f>Table3[[#This Row],[Main Table]] &amp;"."&amp; Table3[[#This Row],[Main Field Name]]</f>
        <v>.</v>
      </c>
      <c r="L337" s="17" t="e">
        <f>VLOOKUP(Table3[[#This Row],[Table and Field]],Table5[[Table and Field]:[Data Type]],3,FALSE)</f>
        <v>#N/A</v>
      </c>
    </row>
    <row r="338" spans="1:12" ht="27.6">
      <c r="A338" s="6" t="s">
        <v>25</v>
      </c>
      <c r="B338" s="6" t="s">
        <v>923</v>
      </c>
      <c r="C338" s="6" t="s">
        <v>980</v>
      </c>
      <c r="D338" s="3" t="s">
        <v>981</v>
      </c>
      <c r="E338" s="6" t="s">
        <v>982</v>
      </c>
      <c r="I338" s="7"/>
      <c r="K338" s="17" t="str">
        <f>Table3[[#This Row],[Main Table]] &amp;"."&amp; Table3[[#This Row],[Main Field Name]]</f>
        <v>.</v>
      </c>
      <c r="L338" s="17" t="e">
        <f>VLOOKUP(Table3[[#This Row],[Table and Field]],Table5[[Table and Field]:[Data Type]],3,FALSE)</f>
        <v>#N/A</v>
      </c>
    </row>
    <row r="339" spans="1:12" ht="27.6">
      <c r="A339" s="6" t="s">
        <v>25</v>
      </c>
      <c r="B339" s="6" t="s">
        <v>923</v>
      </c>
      <c r="C339" s="6" t="s">
        <v>980</v>
      </c>
      <c r="D339" s="3" t="s">
        <v>46</v>
      </c>
      <c r="E339" s="6" t="s">
        <v>46</v>
      </c>
      <c r="I339" s="7"/>
      <c r="K339" s="17" t="str">
        <f>Table3[[#This Row],[Main Table]] &amp;"."&amp; Table3[[#This Row],[Main Field Name]]</f>
        <v>.</v>
      </c>
      <c r="L339" s="17" t="e">
        <f>VLOOKUP(Table3[[#This Row],[Table and Field]],Table5[[Table and Field]:[Data Type]],3,FALSE)</f>
        <v>#N/A</v>
      </c>
    </row>
    <row r="340" spans="1:12" ht="27.6">
      <c r="A340" s="6" t="s">
        <v>25</v>
      </c>
      <c r="B340" s="6" t="s">
        <v>923</v>
      </c>
      <c r="C340" s="6" t="s">
        <v>980</v>
      </c>
      <c r="D340" s="3" t="s">
        <v>983</v>
      </c>
      <c r="E340" s="6" t="s">
        <v>46</v>
      </c>
      <c r="I340" s="7"/>
      <c r="K340" s="17" t="str">
        <f>Table3[[#This Row],[Main Table]] &amp;"."&amp; Table3[[#This Row],[Main Field Name]]</f>
        <v>.</v>
      </c>
      <c r="L340" s="17" t="e">
        <f>VLOOKUP(Table3[[#This Row],[Table and Field]],Table5[[Table and Field]:[Data Type]],3,FALSE)</f>
        <v>#N/A</v>
      </c>
    </row>
    <row r="341" spans="1:12" ht="27.6">
      <c r="A341" s="6" t="s">
        <v>25</v>
      </c>
      <c r="B341" s="6" t="s">
        <v>923</v>
      </c>
      <c r="C341" s="6" t="s">
        <v>980</v>
      </c>
      <c r="D341" s="3" t="s">
        <v>984</v>
      </c>
      <c r="E341" s="6" t="s">
        <v>985</v>
      </c>
      <c r="I341" s="7"/>
      <c r="K341" s="17" t="str">
        <f>Table3[[#This Row],[Main Table]] &amp;"."&amp; Table3[[#This Row],[Main Field Name]]</f>
        <v>.</v>
      </c>
      <c r="L341" s="17" t="e">
        <f>VLOOKUP(Table3[[#This Row],[Table and Field]],Table5[[Table and Field]:[Data Type]],3,FALSE)</f>
        <v>#N/A</v>
      </c>
    </row>
    <row r="342" spans="1:12" ht="27.6">
      <c r="A342" s="6" t="s">
        <v>25</v>
      </c>
      <c r="B342" s="6" t="s">
        <v>923</v>
      </c>
      <c r="C342" s="6" t="s">
        <v>980</v>
      </c>
      <c r="D342" s="3" t="s">
        <v>986</v>
      </c>
      <c r="E342" s="6" t="s">
        <v>987</v>
      </c>
      <c r="I342" s="7"/>
      <c r="K342" s="17" t="str">
        <f>Table3[[#This Row],[Main Table]] &amp;"."&amp; Table3[[#This Row],[Main Field Name]]</f>
        <v>.</v>
      </c>
      <c r="L342" s="17" t="e">
        <f>VLOOKUP(Table3[[#This Row],[Table and Field]],Table5[[Table and Field]:[Data Type]],3,FALSE)</f>
        <v>#N/A</v>
      </c>
    </row>
    <row r="343" spans="1:12" ht="27.6">
      <c r="A343" s="6" t="s">
        <v>25</v>
      </c>
      <c r="B343" s="6" t="s">
        <v>923</v>
      </c>
      <c r="C343" s="6" t="s">
        <v>980</v>
      </c>
      <c r="D343" s="3" t="s">
        <v>986</v>
      </c>
      <c r="E343" s="6" t="s">
        <v>987</v>
      </c>
      <c r="I343" s="7"/>
      <c r="K343" s="17" t="str">
        <f>Table3[[#This Row],[Main Table]] &amp;"."&amp; Table3[[#This Row],[Main Field Name]]</f>
        <v>.</v>
      </c>
      <c r="L343" s="17" t="e">
        <f>VLOOKUP(Table3[[#This Row],[Table and Field]],Table5[[Table and Field]:[Data Type]],3,FALSE)</f>
        <v>#N/A</v>
      </c>
    </row>
    <row r="344" spans="1:12" ht="27.6">
      <c r="A344" s="6" t="s">
        <v>25</v>
      </c>
      <c r="B344" s="6" t="s">
        <v>923</v>
      </c>
      <c r="C344" s="6" t="s">
        <v>980</v>
      </c>
      <c r="D344" s="3" t="s">
        <v>435</v>
      </c>
      <c r="E344" s="6" t="s">
        <v>46</v>
      </c>
      <c r="I344" s="7"/>
      <c r="K344" s="17" t="str">
        <f>Table3[[#This Row],[Main Table]] &amp;"."&amp; Table3[[#This Row],[Main Field Name]]</f>
        <v>.</v>
      </c>
      <c r="L344" s="17" t="e">
        <f>VLOOKUP(Table3[[#This Row],[Table and Field]],Table5[[Table and Field]:[Data Type]],3,FALSE)</f>
        <v>#N/A</v>
      </c>
    </row>
    <row r="345" spans="1:12" ht="27.6">
      <c r="A345" s="6" t="s">
        <v>25</v>
      </c>
      <c r="B345" s="6" t="s">
        <v>988</v>
      </c>
      <c r="C345" s="6"/>
      <c r="D345" s="3" t="s">
        <v>981</v>
      </c>
      <c r="E345" s="6" t="s">
        <v>982</v>
      </c>
      <c r="I345" s="7"/>
      <c r="K345" s="17" t="str">
        <f>Table3[[#This Row],[Main Table]] &amp;"."&amp; Table3[[#This Row],[Main Field Name]]</f>
        <v>.</v>
      </c>
      <c r="L345" s="17" t="e">
        <f>VLOOKUP(Table3[[#This Row],[Table and Field]],Table5[[Table and Field]:[Data Type]],3,FALSE)</f>
        <v>#N/A</v>
      </c>
    </row>
    <row r="346" spans="1:12" ht="27.6">
      <c r="A346" s="6" t="s">
        <v>25</v>
      </c>
      <c r="B346" s="6" t="s">
        <v>988</v>
      </c>
      <c r="C346" s="6"/>
      <c r="D346" s="3" t="s">
        <v>989</v>
      </c>
      <c r="E346" s="6" t="s">
        <v>990</v>
      </c>
      <c r="I346" s="7" t="s">
        <v>991</v>
      </c>
      <c r="K346" s="17" t="str">
        <f>Table3[[#This Row],[Main Table]] &amp;"."&amp; Table3[[#This Row],[Main Field Name]]</f>
        <v>rbs_non_rms_details.</v>
      </c>
      <c r="L346" s="17" t="e">
        <f>VLOOKUP(Table3[[#This Row],[Table and Field]],Table5[[Table and Field]:[Data Type]],3,FALSE)</f>
        <v>#N/A</v>
      </c>
    </row>
    <row r="347" spans="1:12" ht="27.6">
      <c r="A347" s="6" t="s">
        <v>25</v>
      </c>
      <c r="B347" s="6" t="s">
        <v>988</v>
      </c>
      <c r="C347" s="6"/>
      <c r="D347" s="3" t="s">
        <v>992</v>
      </c>
      <c r="E347" s="6" t="s">
        <v>46</v>
      </c>
      <c r="I347" s="7"/>
      <c r="K347" s="17" t="str">
        <f>Table3[[#This Row],[Main Table]] &amp;"."&amp; Table3[[#This Row],[Main Field Name]]</f>
        <v>.</v>
      </c>
      <c r="L347" s="17" t="e">
        <f>VLOOKUP(Table3[[#This Row],[Table and Field]],Table5[[Table and Field]:[Data Type]],3,FALSE)</f>
        <v>#N/A</v>
      </c>
    </row>
    <row r="348" spans="1:12" ht="27.6">
      <c r="A348" s="6" t="s">
        <v>25</v>
      </c>
      <c r="B348" s="6" t="s">
        <v>988</v>
      </c>
      <c r="C348" s="6"/>
      <c r="D348" s="3" t="s">
        <v>993</v>
      </c>
      <c r="E348" s="6" t="s">
        <v>46</v>
      </c>
      <c r="I348" s="7"/>
      <c r="K348" s="17" t="str">
        <f>Table3[[#This Row],[Main Table]] &amp;"."&amp; Table3[[#This Row],[Main Field Name]]</f>
        <v>.</v>
      </c>
      <c r="L348" s="17" t="e">
        <f>VLOOKUP(Table3[[#This Row],[Table and Field]],Table5[[Table and Field]:[Data Type]],3,FALSE)</f>
        <v>#N/A</v>
      </c>
    </row>
    <row r="349" spans="1:12" ht="27.6">
      <c r="A349" s="6" t="s">
        <v>25</v>
      </c>
      <c r="B349" s="6" t="s">
        <v>988</v>
      </c>
      <c r="C349" s="6"/>
      <c r="D349" s="3" t="s">
        <v>994</v>
      </c>
      <c r="E349" s="6" t="s">
        <v>995</v>
      </c>
      <c r="I349" s="7"/>
      <c r="K349" s="17" t="str">
        <f>Table3[[#This Row],[Main Table]] &amp;"."&amp; Table3[[#This Row],[Main Field Name]]</f>
        <v>.</v>
      </c>
      <c r="L349" s="17" t="e">
        <f>VLOOKUP(Table3[[#This Row],[Table and Field]],Table5[[Table and Field]:[Data Type]],3,FALSE)</f>
        <v>#N/A</v>
      </c>
    </row>
    <row r="350" spans="1:12" ht="27.6">
      <c r="A350" s="6" t="s">
        <v>25</v>
      </c>
      <c r="B350" s="6" t="s">
        <v>988</v>
      </c>
      <c r="C350" s="6"/>
      <c r="D350" s="3" t="s">
        <v>996</v>
      </c>
      <c r="E350" s="6" t="s">
        <v>997</v>
      </c>
      <c r="I350" s="7"/>
      <c r="K350" s="17" t="str">
        <f>Table3[[#This Row],[Main Table]] &amp;"."&amp; Table3[[#This Row],[Main Field Name]]</f>
        <v>.</v>
      </c>
      <c r="L350" s="17" t="e">
        <f>VLOOKUP(Table3[[#This Row],[Table and Field]],Table5[[Table and Field]:[Data Type]],3,FALSE)</f>
        <v>#N/A</v>
      </c>
    </row>
    <row r="351" spans="1:12" ht="27.6">
      <c r="A351" s="6" t="s">
        <v>25</v>
      </c>
      <c r="B351" s="6" t="s">
        <v>988</v>
      </c>
      <c r="C351" s="6"/>
      <c r="D351" s="3" t="s">
        <v>998</v>
      </c>
      <c r="E351" s="6" t="s">
        <v>46</v>
      </c>
      <c r="I351" s="7"/>
      <c r="K351" s="17" t="str">
        <f>Table3[[#This Row],[Main Table]] &amp;"."&amp; Table3[[#This Row],[Main Field Name]]</f>
        <v>.</v>
      </c>
      <c r="L351" s="17" t="e">
        <f>VLOOKUP(Table3[[#This Row],[Table and Field]],Table5[[Table and Field]:[Data Type]],3,FALSE)</f>
        <v>#N/A</v>
      </c>
    </row>
    <row r="352" spans="1:12" ht="27.6">
      <c r="A352" s="6" t="s">
        <v>25</v>
      </c>
      <c r="B352" s="6" t="s">
        <v>988</v>
      </c>
      <c r="C352" s="6"/>
      <c r="D352" s="3" t="s">
        <v>999</v>
      </c>
      <c r="E352" s="6" t="s">
        <v>1000</v>
      </c>
      <c r="I352" s="7"/>
      <c r="K352" s="17" t="str">
        <f>Table3[[#This Row],[Main Table]] &amp;"."&amp; Table3[[#This Row],[Main Field Name]]</f>
        <v>.</v>
      </c>
      <c r="L352" s="17" t="e">
        <f>VLOOKUP(Table3[[#This Row],[Table and Field]],Table5[[Table and Field]:[Data Type]],3,FALSE)</f>
        <v>#N/A</v>
      </c>
    </row>
    <row r="353" spans="1:20" ht="27.6">
      <c r="A353" s="6" t="s">
        <v>25</v>
      </c>
      <c r="B353" s="6" t="s">
        <v>988</v>
      </c>
      <c r="C353" s="6"/>
      <c r="D353" s="3" t="s">
        <v>1001</v>
      </c>
      <c r="E353" s="6" t="s">
        <v>46</v>
      </c>
      <c r="I353" s="7"/>
      <c r="K353" s="17" t="str">
        <f>Table3[[#This Row],[Main Table]] &amp;"."&amp; Table3[[#This Row],[Main Field Name]]</f>
        <v>.</v>
      </c>
      <c r="L353" s="17" t="e">
        <f>VLOOKUP(Table3[[#This Row],[Table and Field]],Table5[[Table and Field]:[Data Type]],3,FALSE)</f>
        <v>#N/A</v>
      </c>
    </row>
    <row r="354" spans="1:20" ht="27.6">
      <c r="A354" s="6" t="s">
        <v>25</v>
      </c>
      <c r="B354" s="6" t="s">
        <v>1002</v>
      </c>
      <c r="C354" s="6"/>
      <c r="D354" s="3" t="s">
        <v>1003</v>
      </c>
      <c r="E354" s="6" t="s">
        <v>1004</v>
      </c>
      <c r="H354" t="s">
        <v>36</v>
      </c>
      <c r="I354" s="7" t="s">
        <v>1005</v>
      </c>
      <c r="J354" t="s">
        <v>1006</v>
      </c>
      <c r="K354" s="17" t="str">
        <f>Table3[[#This Row],[Main Table]] &amp;"."&amp; Table3[[#This Row],[Main Field Name]]</f>
        <v>rbs_struct_elt.struct_elt_type_code</v>
      </c>
      <c r="L354" s="17" t="e">
        <f>VLOOKUP(Table3[[#This Row],[Table and Field]],Table5[[Table and Field]:[Data Type]],3,FALSE)</f>
        <v>#N/A</v>
      </c>
      <c r="M354" s="32" t="s">
        <v>1007</v>
      </c>
      <c r="T354" s="6" t="s">
        <v>1008</v>
      </c>
    </row>
    <row r="355" spans="1:20" ht="27.6">
      <c r="A355" s="6" t="s">
        <v>25</v>
      </c>
      <c r="B355" s="6" t="s">
        <v>1002</v>
      </c>
      <c r="C355" s="6"/>
      <c r="D355" s="3" t="s">
        <v>435</v>
      </c>
      <c r="E355" s="6" t="s">
        <v>46</v>
      </c>
      <c r="H355" t="s">
        <v>36</v>
      </c>
      <c r="I355" s="7" t="s">
        <v>1005</v>
      </c>
      <c r="J355" t="s">
        <v>1009</v>
      </c>
      <c r="K355" s="17" t="str">
        <f>Table3[[#This Row],[Main Table]] &amp;"."&amp; Table3[[#This Row],[Main Field Name]]</f>
        <v>rbs_struct_elt.comments</v>
      </c>
      <c r="L355" s="17" t="e">
        <f>VLOOKUP(Table3[[#This Row],[Table and Field]],Table5[[Table and Field]:[Data Type]],3,FALSE)</f>
        <v>#N/A</v>
      </c>
      <c r="T355" s="6" t="s">
        <v>1008</v>
      </c>
    </row>
    <row r="356" spans="1:20" ht="27.6">
      <c r="A356" s="6" t="s">
        <v>25</v>
      </c>
      <c r="B356" s="6" t="s">
        <v>1002</v>
      </c>
      <c r="C356" s="6"/>
      <c r="D356" s="3" t="s">
        <v>1010</v>
      </c>
      <c r="E356" s="6" t="s">
        <v>1011</v>
      </c>
      <c r="H356" t="s">
        <v>36</v>
      </c>
      <c r="I356" s="7" t="s">
        <v>1005</v>
      </c>
      <c r="J356" t="s">
        <v>1012</v>
      </c>
      <c r="K356" s="17" t="str">
        <f>Table3[[#This Row],[Main Table]] &amp;"."&amp; Table3[[#This Row],[Main Field Name]]</f>
        <v>rbs_struct_elt.env_expo_type_code</v>
      </c>
      <c r="L356" s="17" t="e">
        <f>VLOOKUP(Table3[[#This Row],[Table and Field]],Table5[[Table and Field]:[Data Type]],3,FALSE)</f>
        <v>#N/A</v>
      </c>
      <c r="M356" s="32" t="s">
        <v>99</v>
      </c>
      <c r="N356" s="6" t="s">
        <v>1013</v>
      </c>
      <c r="T356" s="6" t="s">
        <v>1008</v>
      </c>
    </row>
    <row r="357" spans="1:20" ht="27.6">
      <c r="A357" s="6" t="s">
        <v>25</v>
      </c>
      <c r="B357" s="6" t="s">
        <v>1002</v>
      </c>
      <c r="C357" s="6"/>
      <c r="D357" s="3" t="s">
        <v>1014</v>
      </c>
      <c r="E357" s="6" t="s">
        <v>1015</v>
      </c>
      <c r="H357" t="s">
        <v>36</v>
      </c>
      <c r="I357" s="7" t="s">
        <v>1005</v>
      </c>
      <c r="J357" t="s">
        <v>1016</v>
      </c>
      <c r="K357" s="17" t="str">
        <f>Table3[[#This Row],[Main Table]] &amp;"."&amp; Table3[[#This Row],[Main Field Name]]</f>
        <v>rbs_struct_elt.tot_qty</v>
      </c>
      <c r="L357" s="17" t="e">
        <f>VLOOKUP(Table3[[#This Row],[Table and Field]],Table5[[Table and Field]:[Data Type]],3,FALSE)</f>
        <v>#N/A</v>
      </c>
      <c r="T357" s="6" t="s">
        <v>1008</v>
      </c>
    </row>
    <row r="358" spans="1:20" ht="27.6">
      <c r="A358" s="6" t="s">
        <v>25</v>
      </c>
      <c r="B358" s="6" t="s">
        <v>1002</v>
      </c>
      <c r="C358" s="6"/>
      <c r="D358" s="3" t="s">
        <v>1017</v>
      </c>
      <c r="E358" s="6" t="s">
        <v>46</v>
      </c>
      <c r="H358" t="s">
        <v>36</v>
      </c>
      <c r="I358" s="7" t="s">
        <v>1018</v>
      </c>
      <c r="K358" s="17" t="str">
        <f>Table3[[#This Row],[Main Table]] &amp;"."&amp; Table3[[#This Row],[Main Field Name]]</f>
        <v>rbs_struct_elt_types.</v>
      </c>
      <c r="L358" s="17" t="e">
        <f>VLOOKUP(Table3[[#This Row],[Table and Field]],Table5[[Table and Field]:[Data Type]],3,FALSE)</f>
        <v>#N/A</v>
      </c>
      <c r="T358" s="6" t="s">
        <v>1008</v>
      </c>
    </row>
    <row r="359" spans="1:20" ht="27.6">
      <c r="A359" s="6" t="s">
        <v>25</v>
      </c>
      <c r="B359" s="6" t="s">
        <v>1002</v>
      </c>
      <c r="C359" s="6"/>
      <c r="D359" s="3" t="s">
        <v>1019</v>
      </c>
      <c r="E359" s="6" t="s">
        <v>1020</v>
      </c>
      <c r="H359" t="s">
        <v>36</v>
      </c>
      <c r="I359" s="7"/>
      <c r="K359" s="17" t="str">
        <f>Table3[[#This Row],[Main Table]] &amp;"."&amp; Table3[[#This Row],[Main Field Name]]</f>
        <v>.</v>
      </c>
      <c r="L359" s="17" t="e">
        <f>VLOOKUP(Table3[[#This Row],[Table and Field]],Table5[[Table and Field]:[Data Type]],3,FALSE)</f>
        <v>#N/A</v>
      </c>
      <c r="T359" s="6" t="s">
        <v>1008</v>
      </c>
    </row>
    <row r="360" spans="1:20" ht="27.6">
      <c r="A360" s="6" t="s">
        <v>25</v>
      </c>
      <c r="B360" s="6" t="s">
        <v>1021</v>
      </c>
      <c r="C360" s="6"/>
      <c r="D360" s="3" t="s">
        <v>1022</v>
      </c>
      <c r="E360" s="6" t="s">
        <v>1023</v>
      </c>
      <c r="H360" t="s">
        <v>36</v>
      </c>
      <c r="I360" s="7"/>
      <c r="K360" s="17" t="str">
        <f>Table3[[#This Row],[Main Table]] &amp;"."&amp; Table3[[#This Row],[Main Field Name]]</f>
        <v>.</v>
      </c>
      <c r="L360" s="17" t="e">
        <f>VLOOKUP(Table3[[#This Row],[Table and Field]],Table5[[Table and Field]:[Data Type]],3,FALSE)</f>
        <v>#N/A</v>
      </c>
    </row>
    <row r="361" spans="1:20" ht="27.6">
      <c r="A361" s="6" t="s">
        <v>25</v>
      </c>
      <c r="B361" s="6" t="s">
        <v>1021</v>
      </c>
      <c r="C361" s="6"/>
      <c r="D361" s="3" t="s">
        <v>1024</v>
      </c>
      <c r="E361" s="6" t="s">
        <v>1025</v>
      </c>
      <c r="H361" t="s">
        <v>36</v>
      </c>
      <c r="I361" s="7"/>
      <c r="K361" s="17" t="str">
        <f>Table3[[#This Row],[Main Table]] &amp;"."&amp; Table3[[#This Row],[Main Field Name]]</f>
        <v>.</v>
      </c>
      <c r="L361" s="17" t="e">
        <f>VLOOKUP(Table3[[#This Row],[Table and Field]],Table5[[Table and Field]:[Data Type]],3,FALSE)</f>
        <v>#N/A</v>
      </c>
    </row>
    <row r="362" spans="1:20" ht="27.6">
      <c r="A362" s="6" t="s">
        <v>25</v>
      </c>
      <c r="B362" s="6" t="s">
        <v>1021</v>
      </c>
      <c r="C362" s="6"/>
      <c r="D362" s="3" t="s">
        <v>435</v>
      </c>
      <c r="E362" s="6" t="s">
        <v>46</v>
      </c>
      <c r="H362" t="s">
        <v>36</v>
      </c>
      <c r="I362" s="7"/>
      <c r="K362" s="17" t="str">
        <f>Table3[[#This Row],[Main Table]] &amp;"."&amp; Table3[[#This Row],[Main Field Name]]</f>
        <v>.</v>
      </c>
      <c r="L362" s="17" t="e">
        <f>VLOOKUP(Table3[[#This Row],[Table and Field]],Table5[[Table and Field]:[Data Type]],3,FALSE)</f>
        <v>#N/A</v>
      </c>
    </row>
    <row r="363" spans="1:20" ht="28.9">
      <c r="A363" s="6" t="s">
        <v>25</v>
      </c>
      <c r="B363" s="6" t="s">
        <v>1026</v>
      </c>
      <c r="C363" s="6" t="s">
        <v>1027</v>
      </c>
      <c r="D363" s="3" t="s">
        <v>1028</v>
      </c>
      <c r="E363" s="6" t="s">
        <v>1029</v>
      </c>
      <c r="I363" s="7" t="s">
        <v>1030</v>
      </c>
      <c r="J363" t="s">
        <v>1031</v>
      </c>
      <c r="K363" s="17" t="str">
        <f>Table3[[#This Row],[Main Table]] &amp;"."&amp; Table3[[#This Row],[Main Field Name]]</f>
        <v>RBS_STRUCT_INSP.INSP_DATE</v>
      </c>
      <c r="L363" s="17" t="e">
        <f>VLOOKUP(Table3[[#This Row],[Table and Field]],Table5[[Table and Field]:[Data Type]],3,FALSE)</f>
        <v>#N/A</v>
      </c>
      <c r="T363" s="6" t="s">
        <v>1008</v>
      </c>
    </row>
    <row r="364" spans="1:20" ht="27.6">
      <c r="A364" s="6" t="s">
        <v>25</v>
      </c>
      <c r="B364" s="6" t="s">
        <v>1026</v>
      </c>
      <c r="C364" s="6" t="s">
        <v>1027</v>
      </c>
      <c r="D364" s="3" t="s">
        <v>1032</v>
      </c>
      <c r="E364" s="6" t="s">
        <v>1033</v>
      </c>
      <c r="I364" s="7" t="s">
        <v>1030</v>
      </c>
      <c r="J364" t="s">
        <v>1034</v>
      </c>
      <c r="K364" s="17" t="str">
        <f>Table3[[#This Row],[Main Table]] &amp;"."&amp; Table3[[#This Row],[Main Field Name]]</f>
        <v>RBS_STRUCT_INSP.level_insp</v>
      </c>
      <c r="L364" s="17" t="e">
        <f>VLOOKUP(Table3[[#This Row],[Table and Field]],Table5[[Table and Field]:[Data Type]],3,FALSE)</f>
        <v>#N/A</v>
      </c>
      <c r="M364" s="32" t="s">
        <v>99</v>
      </c>
      <c r="N364" s="6" t="s">
        <v>1035</v>
      </c>
      <c r="T364" s="6" t="s">
        <v>1008</v>
      </c>
    </row>
    <row r="365" spans="1:20" ht="27.6">
      <c r="A365" s="6" t="s">
        <v>25</v>
      </c>
      <c r="B365" s="6" t="s">
        <v>1026</v>
      </c>
      <c r="C365" s="6" t="s">
        <v>1027</v>
      </c>
      <c r="D365" s="3" t="s">
        <v>1036</v>
      </c>
      <c r="E365" s="6" t="s">
        <v>1037</v>
      </c>
      <c r="I365" s="7" t="s">
        <v>1030</v>
      </c>
      <c r="J365" t="s">
        <v>1038</v>
      </c>
      <c r="K365" s="17" t="str">
        <f>Table3[[#This Row],[Main Table]] &amp;"."&amp; Table3[[#This Row],[Main Field Name]]</f>
        <v>RBS_STRUCT_INSP.insp_type_code</v>
      </c>
      <c r="L365" s="17" t="e">
        <f>VLOOKUP(Table3[[#This Row],[Table and Field]],Table5[[Table and Field]:[Data Type]],3,FALSE)</f>
        <v>#N/A</v>
      </c>
      <c r="M365" s="32" t="s">
        <v>99</v>
      </c>
      <c r="N365" s="6" t="s">
        <v>1039</v>
      </c>
      <c r="T365" s="6" t="s">
        <v>1008</v>
      </c>
    </row>
    <row r="366" spans="1:20" ht="27.6">
      <c r="A366" s="6" t="s">
        <v>25</v>
      </c>
      <c r="B366" s="6" t="s">
        <v>1026</v>
      </c>
      <c r="C366" s="6" t="s">
        <v>1027</v>
      </c>
      <c r="D366" s="3" t="s">
        <v>1040</v>
      </c>
      <c r="E366" s="6" t="s">
        <v>1041</v>
      </c>
      <c r="I366" s="7" t="s">
        <v>1030</v>
      </c>
      <c r="J366" t="s">
        <v>1042</v>
      </c>
      <c r="K366" s="17" t="str">
        <f>Table3[[#This Row],[Main Table]] &amp;"."&amp; Table3[[#This Row],[Main Field Name]]</f>
        <v>RBS_STRUCT_INSP.inspr_initials</v>
      </c>
      <c r="L366" s="17" t="e">
        <f>VLOOKUP(Table3[[#This Row],[Table and Field]],Table5[[Table and Field]:[Data Type]],3,FALSE)</f>
        <v>#N/A</v>
      </c>
      <c r="M366" s="32" t="s">
        <v>889</v>
      </c>
      <c r="T366" s="6" t="s">
        <v>1008</v>
      </c>
    </row>
    <row r="367" spans="1:20" ht="27.6">
      <c r="A367" s="6" t="s">
        <v>25</v>
      </c>
      <c r="B367" s="6" t="s">
        <v>1026</v>
      </c>
      <c r="C367" s="6" t="s">
        <v>1027</v>
      </c>
      <c r="D367" s="3" t="s">
        <v>1043</v>
      </c>
      <c r="E367" s="6" t="s">
        <v>1044</v>
      </c>
      <c r="I367" s="7" t="s">
        <v>1030</v>
      </c>
      <c r="K367" s="17" t="str">
        <f>Table3[[#This Row],[Main Table]] &amp;"."&amp; Table3[[#This Row],[Main Field Name]]</f>
        <v>RBS_STRUCT_INSP.</v>
      </c>
      <c r="L367" s="17" t="e">
        <f>VLOOKUP(Table3[[#This Row],[Table and Field]],Table5[[Table and Field]:[Data Type]],3,FALSE)</f>
        <v>#N/A</v>
      </c>
      <c r="T367" s="6" t="s">
        <v>1008</v>
      </c>
    </row>
    <row r="368" spans="1:20" ht="36.6">
      <c r="A368" s="6" t="s">
        <v>25</v>
      </c>
      <c r="B368" s="6" t="s">
        <v>1026</v>
      </c>
      <c r="C368" s="6" t="s">
        <v>1027</v>
      </c>
      <c r="D368" s="3" t="s">
        <v>1045</v>
      </c>
      <c r="E368" s="6" t="s">
        <v>1046</v>
      </c>
      <c r="I368" s="7" t="s">
        <v>1030</v>
      </c>
      <c r="J368" t="s">
        <v>1042</v>
      </c>
      <c r="K368" s="17" t="str">
        <f>Table3[[#This Row],[Main Table]] &amp;"."&amp; Table3[[#This Row],[Main Field Name]]</f>
        <v>RBS_STRUCT_INSP.inspr_initials</v>
      </c>
      <c r="L368" s="17" t="e">
        <f>VLOOKUP(Table3[[#This Row],[Table and Field]],Table5[[Table and Field]:[Data Type]],3,FALSE)</f>
        <v>#N/A</v>
      </c>
      <c r="M368" s="32" t="s">
        <v>1047</v>
      </c>
      <c r="T368" s="6" t="s">
        <v>1008</v>
      </c>
    </row>
    <row r="369" spans="1:20" ht="27.6">
      <c r="A369" s="6" t="s">
        <v>25</v>
      </c>
      <c r="B369" s="6" t="s">
        <v>1026</v>
      </c>
      <c r="C369" s="6" t="s">
        <v>1027</v>
      </c>
      <c r="D369" s="3" t="s">
        <v>1048</v>
      </c>
      <c r="E369" s="6" t="s">
        <v>1049</v>
      </c>
      <c r="I369" s="7" t="s">
        <v>1030</v>
      </c>
      <c r="K369" s="17" t="str">
        <f>Table3[[#This Row],[Main Table]] &amp;"."&amp; Table3[[#This Row],[Main Field Name]]</f>
        <v>RBS_STRUCT_INSP.</v>
      </c>
      <c r="L369" s="17" t="e">
        <f>VLOOKUP(Table3[[#This Row],[Table and Field]],Table5[[Table and Field]:[Data Type]],3,FALSE)</f>
        <v>#N/A</v>
      </c>
      <c r="T369" s="6" t="s">
        <v>1008</v>
      </c>
    </row>
    <row r="370" spans="1:20" ht="27.6">
      <c r="A370" s="6" t="s">
        <v>25</v>
      </c>
      <c r="B370" s="6" t="s">
        <v>1026</v>
      </c>
      <c r="C370" s="6" t="s">
        <v>1027</v>
      </c>
      <c r="D370" s="3" t="s">
        <v>1050</v>
      </c>
      <c r="E370" s="6" t="s">
        <v>1051</v>
      </c>
      <c r="I370" s="7" t="s">
        <v>1030</v>
      </c>
      <c r="K370" s="17" t="str">
        <f>Table3[[#This Row],[Main Table]] &amp;"."&amp; Table3[[#This Row],[Main Field Name]]</f>
        <v>RBS_STRUCT_INSP.</v>
      </c>
      <c r="L370" s="17" t="e">
        <f>VLOOKUP(Table3[[#This Row],[Table and Field]],Table5[[Table and Field]:[Data Type]],3,FALSE)</f>
        <v>#N/A</v>
      </c>
      <c r="T370" s="6" t="s">
        <v>1008</v>
      </c>
    </row>
    <row r="371" spans="1:20" ht="27.6">
      <c r="A371" s="6" t="s">
        <v>25</v>
      </c>
      <c r="B371" s="6" t="s">
        <v>1026</v>
      </c>
      <c r="C371" s="6" t="s">
        <v>1027</v>
      </c>
      <c r="D371" s="3" t="s">
        <v>1052</v>
      </c>
      <c r="E371" s="6" t="s">
        <v>1053</v>
      </c>
      <c r="I371" s="7" t="s">
        <v>1030</v>
      </c>
      <c r="K371" s="17" t="str">
        <f>Table3[[#This Row],[Main Table]] &amp;"."&amp; Table3[[#This Row],[Main Field Name]]</f>
        <v>RBS_STRUCT_INSP.</v>
      </c>
      <c r="L371" s="17" t="e">
        <f>VLOOKUP(Table3[[#This Row],[Table and Field]],Table5[[Table and Field]:[Data Type]],3,FALSE)</f>
        <v>#N/A</v>
      </c>
      <c r="T371" s="6" t="s">
        <v>1008</v>
      </c>
    </row>
    <row r="372" spans="1:20" ht="43.15">
      <c r="A372" s="6" t="s">
        <v>25</v>
      </c>
      <c r="B372" s="6" t="s">
        <v>1026</v>
      </c>
      <c r="C372" s="6" t="s">
        <v>1027</v>
      </c>
      <c r="D372" s="3" t="s">
        <v>1054</v>
      </c>
      <c r="E372" s="6" t="s">
        <v>1055</v>
      </c>
      <c r="I372" s="7" t="s">
        <v>1030</v>
      </c>
      <c r="K372" s="17" t="str">
        <f>Table3[[#This Row],[Main Table]] &amp;"."&amp; Table3[[#This Row],[Main Field Name]]</f>
        <v>RBS_STRUCT_INSP.</v>
      </c>
      <c r="L372" s="17" t="e">
        <f>VLOOKUP(Table3[[#This Row],[Table and Field]],Table5[[Table and Field]:[Data Type]],3,FALSE)</f>
        <v>#N/A</v>
      </c>
      <c r="T372" s="6" t="s">
        <v>1008</v>
      </c>
    </row>
    <row r="373" spans="1:20" ht="27.6">
      <c r="A373" s="6" t="s">
        <v>25</v>
      </c>
      <c r="B373" s="6" t="s">
        <v>1026</v>
      </c>
      <c r="C373" s="6" t="s">
        <v>1027</v>
      </c>
      <c r="D373" s="3" t="s">
        <v>1056</v>
      </c>
      <c r="E373" s="6" t="s">
        <v>1057</v>
      </c>
      <c r="I373" s="7" t="s">
        <v>1030</v>
      </c>
      <c r="K373" s="17" t="str">
        <f>Table3[[#This Row],[Main Table]] &amp;"."&amp; Table3[[#This Row],[Main Field Name]]</f>
        <v>RBS_STRUCT_INSP.</v>
      </c>
      <c r="L373" s="17" t="e">
        <f>VLOOKUP(Table3[[#This Row],[Table and Field]],Table5[[Table and Field]:[Data Type]],3,FALSE)</f>
        <v>#N/A</v>
      </c>
      <c r="T373" s="6" t="s">
        <v>1008</v>
      </c>
    </row>
    <row r="374" spans="1:20" ht="27.6">
      <c r="A374" s="6" t="s">
        <v>25</v>
      </c>
      <c r="B374" s="6" t="s">
        <v>1026</v>
      </c>
      <c r="C374" s="6" t="s">
        <v>1027</v>
      </c>
      <c r="D374" s="3" t="s">
        <v>1058</v>
      </c>
      <c r="E374" s="6" t="s">
        <v>1059</v>
      </c>
      <c r="I374" s="7" t="s">
        <v>1030</v>
      </c>
      <c r="K374" s="17" t="str">
        <f>Table3[[#This Row],[Main Table]] &amp;"."&amp; Table3[[#This Row],[Main Field Name]]</f>
        <v>RBS_STRUCT_INSP.</v>
      </c>
      <c r="L374" s="17" t="e">
        <f>VLOOKUP(Table3[[#This Row],[Table and Field]],Table5[[Table and Field]:[Data Type]],3,FALSE)</f>
        <v>#N/A</v>
      </c>
      <c r="T374" s="6" t="s">
        <v>1008</v>
      </c>
    </row>
    <row r="375" spans="1:20" ht="27.6">
      <c r="A375" s="6" t="s">
        <v>25</v>
      </c>
      <c r="B375" s="6" t="s">
        <v>1026</v>
      </c>
      <c r="C375" s="6" t="s">
        <v>1027</v>
      </c>
      <c r="D375" s="3" t="s">
        <v>1060</v>
      </c>
      <c r="E375" s="6" t="s">
        <v>1061</v>
      </c>
      <c r="I375" s="7" t="s">
        <v>1030</v>
      </c>
      <c r="K375" s="17" t="str">
        <f>Table3[[#This Row],[Main Table]] &amp;"."&amp; Table3[[#This Row],[Main Field Name]]</f>
        <v>RBS_STRUCT_INSP.</v>
      </c>
      <c r="L375" s="17" t="e">
        <f>VLOOKUP(Table3[[#This Row],[Table and Field]],Table5[[Table and Field]:[Data Type]],3,FALSE)</f>
        <v>#N/A</v>
      </c>
      <c r="T375" s="6" t="s">
        <v>1008</v>
      </c>
    </row>
    <row r="376" spans="1:20" ht="28.9">
      <c r="A376" s="6" t="s">
        <v>25</v>
      </c>
      <c r="B376" s="6" t="s">
        <v>1026</v>
      </c>
      <c r="C376" s="6" t="s">
        <v>1027</v>
      </c>
      <c r="D376" s="3" t="s">
        <v>1062</v>
      </c>
      <c r="E376" s="6" t="s">
        <v>1063</v>
      </c>
      <c r="I376" s="7"/>
      <c r="K376" s="17" t="str">
        <f>Table3[[#This Row],[Main Table]] &amp;"."&amp; Table3[[#This Row],[Main Field Name]]</f>
        <v>.</v>
      </c>
      <c r="L376" s="17" t="e">
        <f>VLOOKUP(Table3[[#This Row],[Table and Field]],Table5[[Table and Field]:[Data Type]],3,FALSE)</f>
        <v>#N/A</v>
      </c>
      <c r="T376" s="6" t="s">
        <v>1008</v>
      </c>
    </row>
    <row r="377" spans="1:20" ht="27.6">
      <c r="A377" s="6" t="s">
        <v>25</v>
      </c>
      <c r="B377" s="6" t="s">
        <v>1026</v>
      </c>
      <c r="C377" s="6" t="s">
        <v>1064</v>
      </c>
      <c r="D377" s="3" t="s">
        <v>1065</v>
      </c>
      <c r="I377" s="7" t="s">
        <v>1007</v>
      </c>
      <c r="J377" t="s">
        <v>1066</v>
      </c>
      <c r="K377" s="17" t="str">
        <f>Table3[[#This Row],[Main Table]] &amp;"."&amp; Table3[[#This Row],[Main Field Name]]</f>
        <v>RBS_STRUCT_ELT_TYPES.STRUCT_ELT_TYPE_CODE</v>
      </c>
      <c r="L377" s="17" t="e">
        <f>VLOOKUP(Table3[[#This Row],[Table and Field]],Table5[[Table and Field]:[Data Type]],3,FALSE)</f>
        <v>#N/A</v>
      </c>
      <c r="T377" s="6" t="s">
        <v>1008</v>
      </c>
    </row>
    <row r="378" spans="1:20" ht="27.6">
      <c r="A378" s="6" t="s">
        <v>25</v>
      </c>
      <c r="B378" s="6" t="s">
        <v>1026</v>
      </c>
      <c r="C378" s="6" t="s">
        <v>1064</v>
      </c>
      <c r="D378" s="3" t="s">
        <v>1067</v>
      </c>
      <c r="I378" s="7" t="s">
        <v>1007</v>
      </c>
      <c r="J378" t="s">
        <v>1068</v>
      </c>
      <c r="K378" s="17" t="str">
        <f>Table3[[#This Row],[Main Table]] &amp;"."&amp; Table3[[#This Row],[Main Field Name]]</f>
        <v>RBS_STRUCT_ELT_TYPES.DESCRIPTION1</v>
      </c>
      <c r="L378" s="17" t="e">
        <f>VLOOKUP(Table3[[#This Row],[Table and Field]],Table5[[Table and Field]:[Data Type]],3,FALSE)</f>
        <v>#N/A</v>
      </c>
      <c r="T378" s="6" t="s">
        <v>1008</v>
      </c>
    </row>
    <row r="379" spans="1:20" ht="27.6">
      <c r="A379" s="6" t="s">
        <v>25</v>
      </c>
      <c r="B379" s="6" t="s">
        <v>1026</v>
      </c>
      <c r="C379" s="6" t="s">
        <v>1064</v>
      </c>
      <c r="D379" s="3" t="s">
        <v>1010</v>
      </c>
      <c r="E379" s="6" t="s">
        <v>1011</v>
      </c>
      <c r="H379" t="s">
        <v>36</v>
      </c>
      <c r="I379" s="7" t="s">
        <v>1005</v>
      </c>
      <c r="J379" t="s">
        <v>1069</v>
      </c>
      <c r="K379" s="17" t="str">
        <f>Table3[[#This Row],[Main Table]] &amp;"."&amp; Table3[[#This Row],[Main Field Name]]</f>
        <v>rbs_struct_elt.ENV_EXPO_TYPE_CODE</v>
      </c>
      <c r="L379" s="17" t="e">
        <f>VLOOKUP(Table3[[#This Row],[Table and Field]],Table5[[Table and Field]:[Data Type]],3,FALSE)</f>
        <v>#N/A</v>
      </c>
      <c r="M379" s="32" t="s">
        <v>99</v>
      </c>
      <c r="N379" s="6" t="s">
        <v>1013</v>
      </c>
      <c r="T379" s="6" t="s">
        <v>1008</v>
      </c>
    </row>
    <row r="380" spans="1:20" ht="28.9">
      <c r="A380" s="6" t="s">
        <v>25</v>
      </c>
      <c r="B380" s="6" t="s">
        <v>1026</v>
      </c>
      <c r="C380" s="6" t="s">
        <v>1064</v>
      </c>
      <c r="D380" s="3" t="s">
        <v>1070</v>
      </c>
      <c r="E380" s="6" t="s">
        <v>1071</v>
      </c>
      <c r="I380" s="7" t="s">
        <v>1072</v>
      </c>
      <c r="J380" t="s">
        <v>1073</v>
      </c>
      <c r="K380" s="17" t="str">
        <f>Table3[[#This Row],[Main Table]] &amp;"."&amp; Table3[[#This Row],[Main Field Name]]</f>
        <v>RBS_INSPECTIONS_VW.QTY_IN_STATE1</v>
      </c>
      <c r="L380" s="17" t="e">
        <f>VLOOKUP(Table3[[#This Row],[Table and Field]],Table5[[Table and Field]:[Data Type]],3,FALSE)</f>
        <v>#N/A</v>
      </c>
      <c r="M380" s="32" t="s">
        <v>889</v>
      </c>
      <c r="P380">
        <v>1</v>
      </c>
      <c r="T380" s="6" t="s">
        <v>1008</v>
      </c>
    </row>
    <row r="381" spans="1:20" ht="28.9">
      <c r="A381" s="6" t="s">
        <v>25</v>
      </c>
      <c r="B381" s="6" t="s">
        <v>1026</v>
      </c>
      <c r="C381" s="6" t="s">
        <v>1064</v>
      </c>
      <c r="D381" s="3" t="s">
        <v>1074</v>
      </c>
      <c r="E381" s="6" t="s">
        <v>1075</v>
      </c>
      <c r="I381" s="7" t="s">
        <v>1076</v>
      </c>
      <c r="K381" s="17" t="str">
        <f>Table3[[#This Row],[Main Table]] &amp;"."&amp; Table3[[#This Row],[Main Field Name]]</f>
        <v>RBS_ELT_COND_RATINGS.</v>
      </c>
      <c r="L381" s="17" t="e">
        <f>VLOOKUP(Table3[[#This Row],[Table and Field]],Table5[[Table and Field]:[Data Type]],3,FALSE)</f>
        <v>#N/A</v>
      </c>
      <c r="M381" s="32" t="s">
        <v>889</v>
      </c>
      <c r="P381">
        <v>1</v>
      </c>
      <c r="T381" s="6" t="s">
        <v>1008</v>
      </c>
    </row>
    <row r="382" spans="1:20" ht="28.9">
      <c r="A382" s="6" t="s">
        <v>25</v>
      </c>
      <c r="B382" s="6" t="s">
        <v>1026</v>
      </c>
      <c r="C382" s="6" t="s">
        <v>1064</v>
      </c>
      <c r="D382" s="3" t="s">
        <v>1077</v>
      </c>
      <c r="E382" s="6" t="s">
        <v>1075</v>
      </c>
      <c r="I382" s="7"/>
      <c r="K382" s="17" t="str">
        <f>Table3[[#This Row],[Main Table]] &amp;"."&amp; Table3[[#This Row],[Main Field Name]]</f>
        <v>.</v>
      </c>
      <c r="L382" s="17" t="e">
        <f>VLOOKUP(Table3[[#This Row],[Table and Field]],Table5[[Table and Field]:[Data Type]],3,FALSE)</f>
        <v>#N/A</v>
      </c>
      <c r="M382" s="32" t="s">
        <v>889</v>
      </c>
      <c r="P382">
        <v>1</v>
      </c>
      <c r="T382" s="6" t="s">
        <v>1008</v>
      </c>
    </row>
    <row r="383" spans="1:20" ht="28.9">
      <c r="A383" s="6" t="s">
        <v>25</v>
      </c>
      <c r="B383" s="6" t="s">
        <v>1026</v>
      </c>
      <c r="C383" s="6" t="s">
        <v>1064</v>
      </c>
      <c r="D383" s="3" t="s">
        <v>1078</v>
      </c>
      <c r="E383" s="6" t="s">
        <v>1079</v>
      </c>
      <c r="I383" s="7"/>
      <c r="K383" s="17" t="str">
        <f>Table3[[#This Row],[Main Table]] &amp;"."&amp; Table3[[#This Row],[Main Field Name]]</f>
        <v>.</v>
      </c>
      <c r="L383" s="17" t="e">
        <f>VLOOKUP(Table3[[#This Row],[Table and Field]],Table5[[Table and Field]:[Data Type]],3,FALSE)</f>
        <v>#N/A</v>
      </c>
      <c r="M383" s="32" t="s">
        <v>889</v>
      </c>
      <c r="P383">
        <v>1</v>
      </c>
      <c r="T383" s="6" t="s">
        <v>1008</v>
      </c>
    </row>
    <row r="384" spans="1:20" ht="28.9">
      <c r="A384" s="6" t="s">
        <v>25</v>
      </c>
      <c r="B384" s="6" t="s">
        <v>1026</v>
      </c>
      <c r="C384" s="6" t="s">
        <v>1064</v>
      </c>
      <c r="D384" s="3" t="s">
        <v>1080</v>
      </c>
      <c r="E384" s="6" t="s">
        <v>1081</v>
      </c>
      <c r="I384" s="7"/>
      <c r="K384" s="17" t="str">
        <f>Table3[[#This Row],[Main Table]] &amp;"."&amp; Table3[[#This Row],[Main Field Name]]</f>
        <v>.</v>
      </c>
      <c r="L384" s="17" t="e">
        <f>VLOOKUP(Table3[[#This Row],[Table and Field]],Table5[[Table and Field]:[Data Type]],3,FALSE)</f>
        <v>#N/A</v>
      </c>
      <c r="M384" s="32" t="s">
        <v>889</v>
      </c>
      <c r="T384" s="6" t="s">
        <v>889</v>
      </c>
    </row>
    <row r="385" spans="1:20" ht="28.9">
      <c r="A385" s="6" t="s">
        <v>25</v>
      </c>
      <c r="B385" s="6" t="s">
        <v>1026</v>
      </c>
      <c r="C385" s="6" t="s">
        <v>1064</v>
      </c>
      <c r="D385" s="3" t="s">
        <v>1082</v>
      </c>
      <c r="E385" s="6" t="s">
        <v>1083</v>
      </c>
      <c r="I385" s="7"/>
      <c r="K385" s="17" t="str">
        <f>Table3[[#This Row],[Main Table]] &amp;"."&amp; Table3[[#This Row],[Main Field Name]]</f>
        <v>.</v>
      </c>
      <c r="L385" s="17" t="e">
        <f>VLOOKUP(Table3[[#This Row],[Table and Field]],Table5[[Table and Field]:[Data Type]],3,FALSE)</f>
        <v>#N/A</v>
      </c>
      <c r="M385" s="32" t="s">
        <v>889</v>
      </c>
      <c r="T385" s="6" t="s">
        <v>1008</v>
      </c>
    </row>
    <row r="386" spans="1:20" ht="28.9">
      <c r="A386" s="6" t="s">
        <v>25</v>
      </c>
      <c r="B386" s="6" t="s">
        <v>1026</v>
      </c>
      <c r="C386" s="6" t="s">
        <v>1064</v>
      </c>
      <c r="D386" s="3" t="s">
        <v>1084</v>
      </c>
      <c r="E386" s="6" t="s">
        <v>1085</v>
      </c>
      <c r="I386" s="7"/>
      <c r="K386" s="17" t="str">
        <f>Table3[[#This Row],[Main Table]] &amp;"."&amp; Table3[[#This Row],[Main Field Name]]</f>
        <v>.</v>
      </c>
      <c r="L386" s="17" t="e">
        <f>VLOOKUP(Table3[[#This Row],[Table and Field]],Table5[[Table and Field]:[Data Type]],3,FALSE)</f>
        <v>#N/A</v>
      </c>
      <c r="M386" s="32" t="s">
        <v>889</v>
      </c>
      <c r="T386" s="6" t="s">
        <v>1008</v>
      </c>
    </row>
    <row r="387" spans="1:20" ht="28.9">
      <c r="A387" s="6" t="s">
        <v>25</v>
      </c>
      <c r="B387" s="6" t="s">
        <v>1026</v>
      </c>
      <c r="C387" s="6" t="s">
        <v>1064</v>
      </c>
      <c r="D387" s="3" t="s">
        <v>1086</v>
      </c>
      <c r="E387" s="6" t="s">
        <v>1085</v>
      </c>
      <c r="I387" s="7"/>
      <c r="K387" s="17" t="str">
        <f>Table3[[#This Row],[Main Table]] &amp;"."&amp; Table3[[#This Row],[Main Field Name]]</f>
        <v>.</v>
      </c>
      <c r="L387" s="17" t="e">
        <f>VLOOKUP(Table3[[#This Row],[Table and Field]],Table5[[Table and Field]:[Data Type]],3,FALSE)</f>
        <v>#N/A</v>
      </c>
      <c r="M387" s="32" t="s">
        <v>889</v>
      </c>
      <c r="T387" s="6" t="s">
        <v>1008</v>
      </c>
    </row>
    <row r="388" spans="1:20" ht="28.9">
      <c r="A388" s="6" t="s">
        <v>25</v>
      </c>
      <c r="B388" s="6" t="s">
        <v>1026</v>
      </c>
      <c r="C388" s="6" t="s">
        <v>1064</v>
      </c>
      <c r="D388" s="3" t="s">
        <v>1087</v>
      </c>
      <c r="E388" s="6" t="s">
        <v>1085</v>
      </c>
      <c r="I388" s="7"/>
      <c r="K388" s="17" t="str">
        <f>Table3[[#This Row],[Main Table]] &amp;"."&amp; Table3[[#This Row],[Main Field Name]]</f>
        <v>.</v>
      </c>
      <c r="L388" s="17" t="e">
        <f>VLOOKUP(Table3[[#This Row],[Table and Field]],Table5[[Table and Field]:[Data Type]],3,FALSE)</f>
        <v>#N/A</v>
      </c>
      <c r="M388" s="32" t="s">
        <v>889</v>
      </c>
      <c r="T388" s="6" t="s">
        <v>1008</v>
      </c>
    </row>
    <row r="389" spans="1:20" ht="28.9">
      <c r="A389" s="6" t="s">
        <v>25</v>
      </c>
      <c r="B389" s="6" t="s">
        <v>1026</v>
      </c>
      <c r="C389" s="6" t="s">
        <v>1064</v>
      </c>
      <c r="D389" s="3" t="s">
        <v>1088</v>
      </c>
      <c r="E389" s="6" t="s">
        <v>1089</v>
      </c>
      <c r="I389" s="7"/>
      <c r="K389" s="17" t="str">
        <f>Table3[[#This Row],[Main Table]] &amp;"."&amp; Table3[[#This Row],[Main Field Name]]</f>
        <v>.</v>
      </c>
      <c r="L389" s="17" t="e">
        <f>VLOOKUP(Table3[[#This Row],[Table and Field]],Table5[[Table and Field]:[Data Type]],3,FALSE)</f>
        <v>#N/A</v>
      </c>
      <c r="M389" s="32" t="s">
        <v>889</v>
      </c>
      <c r="T389" s="6" t="s">
        <v>889</v>
      </c>
    </row>
    <row r="390" spans="1:20" ht="27.6">
      <c r="A390" s="6" t="s">
        <v>25</v>
      </c>
      <c r="B390" s="6" t="s">
        <v>1026</v>
      </c>
      <c r="C390" s="6" t="s">
        <v>1064</v>
      </c>
      <c r="D390" s="3" t="s">
        <v>1090</v>
      </c>
      <c r="E390" s="6" t="s">
        <v>1090</v>
      </c>
      <c r="I390" s="7" t="s">
        <v>1091</v>
      </c>
      <c r="K390" s="17" t="str">
        <f>Table3[[#This Row],[Main Table]] &amp;"."&amp; Table3[[#This Row],[Main Field Name]]</f>
        <v>calculated.</v>
      </c>
      <c r="L390" s="17" t="e">
        <f>VLOOKUP(Table3[[#This Row],[Table and Field]],Table5[[Table and Field]:[Data Type]],3,FALSE)</f>
        <v>#N/A</v>
      </c>
      <c r="M390" s="32" t="s">
        <v>889</v>
      </c>
      <c r="P390">
        <v>1</v>
      </c>
    </row>
    <row r="391" spans="1:20" ht="69">
      <c r="A391" s="6" t="s">
        <v>1092</v>
      </c>
      <c r="B391" s="6" t="s">
        <v>1093</v>
      </c>
      <c r="C391" s="6" t="s">
        <v>1094</v>
      </c>
      <c r="D391" s="3" t="s">
        <v>1095</v>
      </c>
      <c r="E391" s="6" t="s">
        <v>1096</v>
      </c>
      <c r="I391" s="7"/>
      <c r="K391" s="17" t="str">
        <f>Table3[[#This Row],[Main Table]] &amp;"."&amp; Table3[[#This Row],[Main Field Name]]</f>
        <v>.</v>
      </c>
      <c r="L391" s="17" t="e">
        <f>VLOOKUP(Table3[[#This Row],[Table and Field]],Table5[[Table and Field]:[Data Type]],3,FALSE)</f>
        <v>#N/A</v>
      </c>
    </row>
    <row r="392" spans="1:20">
      <c r="A392" s="6" t="s">
        <v>1092</v>
      </c>
      <c r="B392" s="6" t="s">
        <v>1093</v>
      </c>
      <c r="C392" s="6" t="s">
        <v>1094</v>
      </c>
      <c r="D392" s="3" t="s">
        <v>656</v>
      </c>
      <c r="E392" s="6" t="s">
        <v>1097</v>
      </c>
      <c r="I392" s="7"/>
      <c r="K392" s="17" t="str">
        <f>Table3[[#This Row],[Main Table]] &amp;"."&amp; Table3[[#This Row],[Main Field Name]]</f>
        <v>.</v>
      </c>
      <c r="L392" s="17" t="e">
        <f>VLOOKUP(Table3[[#This Row],[Table and Field]],Table5[[Table and Field]:[Data Type]],3,FALSE)</f>
        <v>#N/A</v>
      </c>
    </row>
    <row r="393" spans="1:20" ht="27.6">
      <c r="A393" s="6" t="s">
        <v>1092</v>
      </c>
      <c r="B393" s="6" t="s">
        <v>1093</v>
      </c>
      <c r="C393" s="6" t="s">
        <v>1094</v>
      </c>
      <c r="D393" s="3" t="s">
        <v>1098</v>
      </c>
      <c r="E393" s="6" t="s">
        <v>1099</v>
      </c>
      <c r="I393" s="7" t="s">
        <v>1094</v>
      </c>
      <c r="J393" t="s">
        <v>1098</v>
      </c>
      <c r="K393" s="17" t="str">
        <f>Table3[[#This Row],[Main Table]] &amp;"."&amp; Table3[[#This Row],[Main Field Name]]</f>
        <v>Asset.AssetType</v>
      </c>
      <c r="L393" s="17" t="e">
        <f>VLOOKUP(Table3[[#This Row],[Table and Field]],Table5[[Table and Field]:[Data Type]],3,FALSE)</f>
        <v>#N/A</v>
      </c>
    </row>
    <row r="394" spans="1:20" ht="27.6">
      <c r="A394" s="6" t="s">
        <v>1092</v>
      </c>
      <c r="B394" s="6" t="s">
        <v>1093</v>
      </c>
      <c r="C394" s="6" t="s">
        <v>1094</v>
      </c>
      <c r="D394" s="3" t="s">
        <v>1100</v>
      </c>
      <c r="E394" s="6" t="s">
        <v>1101</v>
      </c>
      <c r="I394" s="7"/>
      <c r="K394" s="17" t="str">
        <f>Table3[[#This Row],[Main Table]] &amp;"."&amp; Table3[[#This Row],[Main Field Name]]</f>
        <v>.</v>
      </c>
      <c r="L394" s="17" t="e">
        <f>VLOOKUP(Table3[[#This Row],[Table and Field]],Table5[[Table and Field]:[Data Type]],3,FALSE)</f>
        <v>#N/A</v>
      </c>
    </row>
    <row r="395" spans="1:20" ht="27.6">
      <c r="A395" s="6" t="s">
        <v>1092</v>
      </c>
      <c r="B395" s="6" t="s">
        <v>1093</v>
      </c>
      <c r="C395" s="6" t="s">
        <v>1102</v>
      </c>
      <c r="D395" s="3" t="s">
        <v>1103</v>
      </c>
      <c r="E395" s="6" t="s">
        <v>1104</v>
      </c>
      <c r="I395" s="7"/>
      <c r="K395" s="17" t="str">
        <f>Table3[[#This Row],[Main Table]] &amp;"."&amp; Table3[[#This Row],[Main Field Name]]</f>
        <v>.</v>
      </c>
      <c r="L395" s="17" t="e">
        <f>VLOOKUP(Table3[[#This Row],[Table and Field]],Table5[[Table and Field]:[Data Type]],3,FALSE)</f>
        <v>#N/A</v>
      </c>
    </row>
    <row r="396" spans="1:20">
      <c r="A396" s="6" t="s">
        <v>1092</v>
      </c>
      <c r="B396" s="6" t="s">
        <v>1093</v>
      </c>
      <c r="C396" s="6" t="s">
        <v>1102</v>
      </c>
      <c r="D396" s="3" t="s">
        <v>656</v>
      </c>
      <c r="E396" s="6" t="s">
        <v>1105</v>
      </c>
      <c r="I396" s="7"/>
      <c r="K396" s="17" t="str">
        <f>Table3[[#This Row],[Main Table]] &amp;"."&amp; Table3[[#This Row],[Main Field Name]]</f>
        <v>.</v>
      </c>
      <c r="L396" s="17" t="e">
        <f>VLOOKUP(Table3[[#This Row],[Table and Field]],Table5[[Table and Field]:[Data Type]],3,FALSE)</f>
        <v>#N/A</v>
      </c>
    </row>
    <row r="397" spans="1:20">
      <c r="A397" s="6" t="s">
        <v>1092</v>
      </c>
      <c r="B397" s="6" t="s">
        <v>1093</v>
      </c>
      <c r="C397" s="6" t="s">
        <v>1102</v>
      </c>
      <c r="D397" s="3" t="s">
        <v>1106</v>
      </c>
      <c r="I397" s="7" t="s">
        <v>1102</v>
      </c>
      <c r="J397" t="s">
        <v>1106</v>
      </c>
      <c r="K397" s="17" t="str">
        <f>Table3[[#This Row],[Main Table]] &amp;"."&amp; Table3[[#This Row],[Main Field Name]]</f>
        <v>AssetArea.direction</v>
      </c>
      <c r="L397" s="17" t="e">
        <f>VLOOKUP(Table3[[#This Row],[Table and Field]],Table5[[Table and Field]:[Data Type]],3,FALSE)</f>
        <v>#N/A</v>
      </c>
    </row>
  </sheetData>
  <hyperlinks>
    <hyperlink ref="N284" r:id="rId1" xr:uid="{8FB0DB61-A4BC-49EF-BF35-3E87326DD536}"/>
    <hyperlink ref="A1" r:id="rId2" display="SharePoint location: src Backend Tables" xr:uid="{88DB02A7-F916-4BE6-B4BD-F72C9F89A4B0}"/>
    <hyperlink ref="M49" location="'BIS ref_tables'!A1" display="'BIS ref_tables'!A1" xr:uid="{96131C53-3A4F-4F49-A12E-DB3C12AD085D}"/>
    <hyperlink ref="I29" location="'BIS ref_tables'!A1" display="rbs_ref_tables" xr:uid="{38C1A0CB-7849-440E-87B8-810283738030}"/>
  </hyperlinks>
  <pageMargins left="0.7" right="0.7" top="0.75" bottom="0.75" header="0.3" footer="0.3"/>
  <pageSetup paperSize="9" orientation="portrait" r:id="rId3"/>
  <customProperties>
    <customPr name="EpmWorksheetKeyString_GUID" r:id="rId4"/>
  </customProperties>
  <legacy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16BB3-AD5D-4FED-9F23-22DD3084EEE4}">
  <dimension ref="A1:C3"/>
  <sheetViews>
    <sheetView workbookViewId="0">
      <selection activeCell="B9" sqref="B9"/>
    </sheetView>
  </sheetViews>
  <sheetFormatPr defaultRowHeight="14.45"/>
  <cols>
    <col min="2" max="2" width="38" bestFit="1" customWidth="1"/>
    <col min="3" max="3" width="21.5703125" bestFit="1" customWidth="1"/>
  </cols>
  <sheetData>
    <row r="1" spans="1:3">
      <c r="A1" t="s">
        <v>1107</v>
      </c>
    </row>
    <row r="2" spans="1:3">
      <c r="B2" s="9" t="s">
        <v>1108</v>
      </c>
      <c r="C2" t="s">
        <v>1109</v>
      </c>
    </row>
    <row r="3" spans="1:3">
      <c r="B3" s="9" t="s">
        <v>1110</v>
      </c>
      <c r="C3" t="s">
        <v>1111</v>
      </c>
    </row>
  </sheetData>
  <hyperlinks>
    <hyperlink ref="B2" r:id="rId1" display="../../../../../../../../:p:/r/sites/RAISI734/Shared Documents/RAISI Phase 1/4. Analyse and Design/4.2 Explore/4.2.04 Data Management/4.2.04.09 Reference Documentation/BIS Bridge System/BIS Bridge System Features Summary.pptx?d=wc79d988cfaf24b14b446e512e27267f8&amp;csf=1&amp;web=1&amp;e=E5Or2C" xr:uid="{7C310B37-5AE1-40E8-B869-02160C254AE1}"/>
    <hyperlink ref="B3" location="'TACP ref_CwayCodes'!A1" display="[TACP ref_CwayCodes] tabsheet" xr:uid="{892343A8-B04C-4C27-8A05-6DDBD7BE720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4E0F4-E8E8-4A6D-9DCE-7B654C05AC42}">
  <dimension ref="A1:J4663"/>
  <sheetViews>
    <sheetView workbookViewId="0">
      <selection activeCell="A362" sqref="A362"/>
    </sheetView>
  </sheetViews>
  <sheetFormatPr defaultRowHeight="14.45"/>
  <cols>
    <col min="1" max="2" width="18.42578125" customWidth="1"/>
    <col min="3" max="3" width="39.7109375" customWidth="1"/>
    <col min="4" max="6" width="20" customWidth="1"/>
    <col min="8" max="8" width="27" bestFit="1" customWidth="1"/>
  </cols>
  <sheetData>
    <row r="1" spans="1:10">
      <c r="A1" t="s">
        <v>1112</v>
      </c>
      <c r="B1" t="s">
        <v>1113</v>
      </c>
      <c r="C1" t="s">
        <v>100</v>
      </c>
      <c r="D1" t="s">
        <v>1114</v>
      </c>
      <c r="E1" t="s">
        <v>1115</v>
      </c>
      <c r="F1" t="s">
        <v>1116</v>
      </c>
      <c r="G1" t="s">
        <v>1117</v>
      </c>
      <c r="H1" t="s">
        <v>1118</v>
      </c>
      <c r="I1" t="s">
        <v>1119</v>
      </c>
      <c r="J1" t="s">
        <v>1120</v>
      </c>
    </row>
    <row r="2" spans="1:10" hidden="1">
      <c r="A2" t="s">
        <v>1121</v>
      </c>
      <c r="B2">
        <v>1</v>
      </c>
      <c r="C2" t="s">
        <v>1122</v>
      </c>
      <c r="J2">
        <f>LEN(Table13[[#This Row],[REFERENCE_DESCR1]])</f>
        <v>7</v>
      </c>
    </row>
    <row r="3" spans="1:10" hidden="1">
      <c r="A3" t="s">
        <v>1121</v>
      </c>
      <c r="B3">
        <v>2</v>
      </c>
      <c r="C3" t="s">
        <v>1123</v>
      </c>
      <c r="J3">
        <f>LEN(Table13[[#This Row],[REFERENCE_DESCR1]])</f>
        <v>5</v>
      </c>
    </row>
    <row r="4" spans="1:10" hidden="1">
      <c r="A4" t="s">
        <v>1124</v>
      </c>
      <c r="B4">
        <v>1790</v>
      </c>
      <c r="C4" t="s">
        <v>1125</v>
      </c>
      <c r="D4" t="s">
        <v>1125</v>
      </c>
      <c r="E4" t="s">
        <v>1126</v>
      </c>
      <c r="J4">
        <f>LEN(Table13[[#This Row],[REFERENCE_DESCR1]])</f>
        <v>15</v>
      </c>
    </row>
    <row r="5" spans="1:10" hidden="1">
      <c r="A5" t="s">
        <v>1124</v>
      </c>
      <c r="B5">
        <v>1791</v>
      </c>
      <c r="C5" t="s">
        <v>1125</v>
      </c>
      <c r="D5" t="s">
        <v>1125</v>
      </c>
      <c r="E5" t="s">
        <v>1126</v>
      </c>
      <c r="J5">
        <f>LEN(Table13[[#This Row],[REFERENCE_DESCR1]])</f>
        <v>15</v>
      </c>
    </row>
    <row r="6" spans="1:10" hidden="1">
      <c r="A6" t="s">
        <v>1124</v>
      </c>
      <c r="B6">
        <v>1792</v>
      </c>
      <c r="C6" t="s">
        <v>1125</v>
      </c>
      <c r="D6" t="s">
        <v>1125</v>
      </c>
      <c r="E6" t="s">
        <v>1126</v>
      </c>
      <c r="J6">
        <f>LEN(Table13[[#This Row],[REFERENCE_DESCR1]])</f>
        <v>15</v>
      </c>
    </row>
    <row r="7" spans="1:10" hidden="1">
      <c r="A7" t="s">
        <v>1124</v>
      </c>
      <c r="B7">
        <v>1793</v>
      </c>
      <c r="C7" t="s">
        <v>1125</v>
      </c>
      <c r="D7" t="s">
        <v>1125</v>
      </c>
      <c r="E7" t="s">
        <v>1126</v>
      </c>
      <c r="J7">
        <f>LEN(Table13[[#This Row],[REFERENCE_DESCR1]])</f>
        <v>15</v>
      </c>
    </row>
    <row r="8" spans="1:10" hidden="1">
      <c r="A8" t="s">
        <v>1124</v>
      </c>
      <c r="B8">
        <v>1794</v>
      </c>
      <c r="C8" t="s">
        <v>1125</v>
      </c>
      <c r="D8" t="s">
        <v>1125</v>
      </c>
      <c r="E8" t="s">
        <v>1126</v>
      </c>
      <c r="J8">
        <f>LEN(Table13[[#This Row],[REFERENCE_DESCR1]])</f>
        <v>15</v>
      </c>
    </row>
    <row r="9" spans="1:10" hidden="1">
      <c r="A9" t="s">
        <v>1124</v>
      </c>
      <c r="B9">
        <v>1795</v>
      </c>
      <c r="C9" t="s">
        <v>1125</v>
      </c>
      <c r="D9" t="s">
        <v>1125</v>
      </c>
      <c r="E9" t="s">
        <v>1126</v>
      </c>
      <c r="J9">
        <f>LEN(Table13[[#This Row],[REFERENCE_DESCR1]])</f>
        <v>15</v>
      </c>
    </row>
    <row r="10" spans="1:10" hidden="1">
      <c r="A10" t="s">
        <v>1124</v>
      </c>
      <c r="B10">
        <v>1796</v>
      </c>
      <c r="C10" t="s">
        <v>1125</v>
      </c>
      <c r="D10" t="s">
        <v>1125</v>
      </c>
      <c r="E10" t="s">
        <v>1126</v>
      </c>
      <c r="J10">
        <f>LEN(Table13[[#This Row],[REFERENCE_DESCR1]])</f>
        <v>15</v>
      </c>
    </row>
    <row r="11" spans="1:10" hidden="1">
      <c r="A11" t="s">
        <v>1124</v>
      </c>
      <c r="B11">
        <v>1797</v>
      </c>
      <c r="C11" t="s">
        <v>1125</v>
      </c>
      <c r="D11" t="s">
        <v>1125</v>
      </c>
      <c r="E11" t="s">
        <v>1126</v>
      </c>
      <c r="J11">
        <f>LEN(Table13[[#This Row],[REFERENCE_DESCR1]])</f>
        <v>15</v>
      </c>
    </row>
    <row r="12" spans="1:10" hidden="1">
      <c r="A12" t="s">
        <v>1124</v>
      </c>
      <c r="B12">
        <v>1798</v>
      </c>
      <c r="C12" t="s">
        <v>1125</v>
      </c>
      <c r="D12" t="s">
        <v>1125</v>
      </c>
      <c r="E12" t="s">
        <v>1126</v>
      </c>
      <c r="J12">
        <f>LEN(Table13[[#This Row],[REFERENCE_DESCR1]])</f>
        <v>15</v>
      </c>
    </row>
    <row r="13" spans="1:10" hidden="1">
      <c r="A13" t="s">
        <v>1124</v>
      </c>
      <c r="B13">
        <v>1799</v>
      </c>
      <c r="C13" t="s">
        <v>1125</v>
      </c>
      <c r="D13" t="s">
        <v>1125</v>
      </c>
      <c r="E13" t="s">
        <v>1126</v>
      </c>
      <c r="J13">
        <f>LEN(Table13[[#This Row],[REFERENCE_DESCR1]])</f>
        <v>15</v>
      </c>
    </row>
    <row r="14" spans="1:10" hidden="1">
      <c r="A14" t="s">
        <v>1124</v>
      </c>
      <c r="B14">
        <v>1800</v>
      </c>
      <c r="C14" t="s">
        <v>1125</v>
      </c>
      <c r="D14" t="s">
        <v>1125</v>
      </c>
      <c r="E14" t="s">
        <v>1126</v>
      </c>
      <c r="J14">
        <f>LEN(Table13[[#This Row],[REFERENCE_DESCR1]])</f>
        <v>15</v>
      </c>
    </row>
    <row r="15" spans="1:10" hidden="1">
      <c r="A15" t="s">
        <v>1124</v>
      </c>
      <c r="B15">
        <v>1801</v>
      </c>
      <c r="C15" t="s">
        <v>1125</v>
      </c>
      <c r="D15" t="s">
        <v>1125</v>
      </c>
      <c r="E15" t="s">
        <v>1126</v>
      </c>
      <c r="J15">
        <f>LEN(Table13[[#This Row],[REFERENCE_DESCR1]])</f>
        <v>15</v>
      </c>
    </row>
    <row r="16" spans="1:10" hidden="1">
      <c r="A16" t="s">
        <v>1124</v>
      </c>
      <c r="B16">
        <v>1802</v>
      </c>
      <c r="C16" t="s">
        <v>1125</v>
      </c>
      <c r="D16" t="s">
        <v>1125</v>
      </c>
      <c r="E16" t="s">
        <v>1126</v>
      </c>
      <c r="J16">
        <f>LEN(Table13[[#This Row],[REFERENCE_DESCR1]])</f>
        <v>15</v>
      </c>
    </row>
    <row r="17" spans="1:10" hidden="1">
      <c r="A17" t="s">
        <v>1124</v>
      </c>
      <c r="B17">
        <v>1803</v>
      </c>
      <c r="C17" t="s">
        <v>1125</v>
      </c>
      <c r="D17" t="s">
        <v>1125</v>
      </c>
      <c r="E17" t="s">
        <v>1126</v>
      </c>
      <c r="J17">
        <f>LEN(Table13[[#This Row],[REFERENCE_DESCR1]])</f>
        <v>15</v>
      </c>
    </row>
    <row r="18" spans="1:10" hidden="1">
      <c r="A18" t="s">
        <v>1124</v>
      </c>
      <c r="B18">
        <v>1804</v>
      </c>
      <c r="C18" t="s">
        <v>1125</v>
      </c>
      <c r="D18" t="s">
        <v>1125</v>
      </c>
      <c r="E18" t="s">
        <v>1126</v>
      </c>
      <c r="J18">
        <f>LEN(Table13[[#This Row],[REFERENCE_DESCR1]])</f>
        <v>15</v>
      </c>
    </row>
    <row r="19" spans="1:10" hidden="1">
      <c r="A19" t="s">
        <v>1124</v>
      </c>
      <c r="B19">
        <v>1805</v>
      </c>
      <c r="C19" t="s">
        <v>1125</v>
      </c>
      <c r="D19" t="s">
        <v>1125</v>
      </c>
      <c r="E19" t="s">
        <v>1126</v>
      </c>
      <c r="J19">
        <f>LEN(Table13[[#This Row],[REFERENCE_DESCR1]])</f>
        <v>15</v>
      </c>
    </row>
    <row r="20" spans="1:10" hidden="1">
      <c r="A20" t="s">
        <v>1124</v>
      </c>
      <c r="B20">
        <v>1806</v>
      </c>
      <c r="C20" t="s">
        <v>1125</v>
      </c>
      <c r="D20" t="s">
        <v>1125</v>
      </c>
      <c r="E20" t="s">
        <v>1126</v>
      </c>
      <c r="J20">
        <f>LEN(Table13[[#This Row],[REFERENCE_DESCR1]])</f>
        <v>15</v>
      </c>
    </row>
    <row r="21" spans="1:10" hidden="1">
      <c r="A21" t="s">
        <v>1124</v>
      </c>
      <c r="B21">
        <v>1807</v>
      </c>
      <c r="C21" t="s">
        <v>1125</v>
      </c>
      <c r="D21" t="s">
        <v>1125</v>
      </c>
      <c r="E21" t="s">
        <v>1126</v>
      </c>
      <c r="J21">
        <f>LEN(Table13[[#This Row],[REFERENCE_DESCR1]])</f>
        <v>15</v>
      </c>
    </row>
    <row r="22" spans="1:10" hidden="1">
      <c r="A22" t="s">
        <v>1124</v>
      </c>
      <c r="B22">
        <v>1808</v>
      </c>
      <c r="C22" t="s">
        <v>1125</v>
      </c>
      <c r="D22" t="s">
        <v>1125</v>
      </c>
      <c r="E22" t="s">
        <v>1126</v>
      </c>
      <c r="J22">
        <f>LEN(Table13[[#This Row],[REFERENCE_DESCR1]])</f>
        <v>15</v>
      </c>
    </row>
    <row r="23" spans="1:10" hidden="1">
      <c r="A23" t="s">
        <v>1124</v>
      </c>
      <c r="B23">
        <v>1809</v>
      </c>
      <c r="C23" t="s">
        <v>1125</v>
      </c>
      <c r="D23" t="s">
        <v>1125</v>
      </c>
      <c r="E23" t="s">
        <v>1126</v>
      </c>
      <c r="J23">
        <f>LEN(Table13[[#This Row],[REFERENCE_DESCR1]])</f>
        <v>15</v>
      </c>
    </row>
    <row r="24" spans="1:10" hidden="1">
      <c r="A24" t="s">
        <v>1124</v>
      </c>
      <c r="B24">
        <v>1810</v>
      </c>
      <c r="C24" t="s">
        <v>1125</v>
      </c>
      <c r="D24" t="s">
        <v>1125</v>
      </c>
      <c r="E24" t="s">
        <v>1126</v>
      </c>
      <c r="J24">
        <f>LEN(Table13[[#This Row],[REFERENCE_DESCR1]])</f>
        <v>15</v>
      </c>
    </row>
    <row r="25" spans="1:10" hidden="1">
      <c r="A25" t="s">
        <v>1124</v>
      </c>
      <c r="B25">
        <v>1811</v>
      </c>
      <c r="C25" t="s">
        <v>1125</v>
      </c>
      <c r="D25" t="s">
        <v>1125</v>
      </c>
      <c r="E25" t="s">
        <v>1126</v>
      </c>
      <c r="J25">
        <f>LEN(Table13[[#This Row],[REFERENCE_DESCR1]])</f>
        <v>15</v>
      </c>
    </row>
    <row r="26" spans="1:10" hidden="1">
      <c r="A26" t="s">
        <v>1124</v>
      </c>
      <c r="B26">
        <v>1812</v>
      </c>
      <c r="C26" t="s">
        <v>1125</v>
      </c>
      <c r="D26" t="s">
        <v>1125</v>
      </c>
      <c r="E26" t="s">
        <v>1126</v>
      </c>
      <c r="J26">
        <f>LEN(Table13[[#This Row],[REFERENCE_DESCR1]])</f>
        <v>15</v>
      </c>
    </row>
    <row r="27" spans="1:10" hidden="1">
      <c r="A27" t="s">
        <v>1124</v>
      </c>
      <c r="B27">
        <v>1813</v>
      </c>
      <c r="C27" t="s">
        <v>1125</v>
      </c>
      <c r="D27" t="s">
        <v>1125</v>
      </c>
      <c r="E27" t="s">
        <v>1126</v>
      </c>
      <c r="J27">
        <f>LEN(Table13[[#This Row],[REFERENCE_DESCR1]])</f>
        <v>15</v>
      </c>
    </row>
    <row r="28" spans="1:10" hidden="1">
      <c r="A28" t="s">
        <v>1124</v>
      </c>
      <c r="B28">
        <v>1814</v>
      </c>
      <c r="C28" t="s">
        <v>1125</v>
      </c>
      <c r="D28" t="s">
        <v>1125</v>
      </c>
      <c r="E28" t="s">
        <v>1126</v>
      </c>
      <c r="J28">
        <f>LEN(Table13[[#This Row],[REFERENCE_DESCR1]])</f>
        <v>15</v>
      </c>
    </row>
    <row r="29" spans="1:10" hidden="1">
      <c r="A29" t="s">
        <v>1124</v>
      </c>
      <c r="B29">
        <v>1815</v>
      </c>
      <c r="C29" t="s">
        <v>1125</v>
      </c>
      <c r="D29" t="s">
        <v>1125</v>
      </c>
      <c r="E29" t="s">
        <v>1126</v>
      </c>
      <c r="J29">
        <f>LEN(Table13[[#This Row],[REFERENCE_DESCR1]])</f>
        <v>15</v>
      </c>
    </row>
    <row r="30" spans="1:10" hidden="1">
      <c r="A30" t="s">
        <v>1124</v>
      </c>
      <c r="B30">
        <v>1816</v>
      </c>
      <c r="C30" t="s">
        <v>1125</v>
      </c>
      <c r="D30" t="s">
        <v>1125</v>
      </c>
      <c r="E30" t="s">
        <v>1126</v>
      </c>
      <c r="J30">
        <f>LEN(Table13[[#This Row],[REFERENCE_DESCR1]])</f>
        <v>15</v>
      </c>
    </row>
    <row r="31" spans="1:10" hidden="1">
      <c r="A31" t="s">
        <v>1124</v>
      </c>
      <c r="B31">
        <v>1817</v>
      </c>
      <c r="C31" t="s">
        <v>1125</v>
      </c>
      <c r="D31" t="s">
        <v>1125</v>
      </c>
      <c r="E31" t="s">
        <v>1126</v>
      </c>
      <c r="J31">
        <f>LEN(Table13[[#This Row],[REFERENCE_DESCR1]])</f>
        <v>15</v>
      </c>
    </row>
    <row r="32" spans="1:10" hidden="1">
      <c r="A32" t="s">
        <v>1124</v>
      </c>
      <c r="B32">
        <v>1818</v>
      </c>
      <c r="C32" t="s">
        <v>1125</v>
      </c>
      <c r="D32" t="s">
        <v>1125</v>
      </c>
      <c r="E32" t="s">
        <v>1126</v>
      </c>
      <c r="J32">
        <f>LEN(Table13[[#This Row],[REFERENCE_DESCR1]])</f>
        <v>15</v>
      </c>
    </row>
    <row r="33" spans="1:10" hidden="1">
      <c r="A33" t="s">
        <v>1124</v>
      </c>
      <c r="B33">
        <v>1819</v>
      </c>
      <c r="C33" t="s">
        <v>1125</v>
      </c>
      <c r="D33" t="s">
        <v>1125</v>
      </c>
      <c r="E33" t="s">
        <v>1126</v>
      </c>
      <c r="J33">
        <f>LEN(Table13[[#This Row],[REFERENCE_DESCR1]])</f>
        <v>15</v>
      </c>
    </row>
    <row r="34" spans="1:10" hidden="1">
      <c r="A34" t="s">
        <v>1124</v>
      </c>
      <c r="B34">
        <v>1820</v>
      </c>
      <c r="C34" t="s">
        <v>1125</v>
      </c>
      <c r="D34" t="s">
        <v>1125</v>
      </c>
      <c r="E34" t="s">
        <v>1126</v>
      </c>
      <c r="J34">
        <f>LEN(Table13[[#This Row],[REFERENCE_DESCR1]])</f>
        <v>15</v>
      </c>
    </row>
    <row r="35" spans="1:10" hidden="1">
      <c r="A35" t="s">
        <v>1124</v>
      </c>
      <c r="B35">
        <v>1821</v>
      </c>
      <c r="C35" t="s">
        <v>1125</v>
      </c>
      <c r="D35" t="s">
        <v>1125</v>
      </c>
      <c r="E35" t="s">
        <v>1126</v>
      </c>
      <c r="J35">
        <f>LEN(Table13[[#This Row],[REFERENCE_DESCR1]])</f>
        <v>15</v>
      </c>
    </row>
    <row r="36" spans="1:10" hidden="1">
      <c r="A36" t="s">
        <v>1124</v>
      </c>
      <c r="B36">
        <v>1822</v>
      </c>
      <c r="C36" t="s">
        <v>1125</v>
      </c>
      <c r="D36" t="s">
        <v>1125</v>
      </c>
      <c r="E36" t="s">
        <v>1126</v>
      </c>
      <c r="J36">
        <f>LEN(Table13[[#This Row],[REFERENCE_DESCR1]])</f>
        <v>15</v>
      </c>
    </row>
    <row r="37" spans="1:10" hidden="1">
      <c r="A37" t="s">
        <v>1124</v>
      </c>
      <c r="B37">
        <v>1823</v>
      </c>
      <c r="C37" t="s">
        <v>1125</v>
      </c>
      <c r="D37" t="s">
        <v>1125</v>
      </c>
      <c r="E37" t="s">
        <v>1126</v>
      </c>
      <c r="J37">
        <f>LEN(Table13[[#This Row],[REFERENCE_DESCR1]])</f>
        <v>15</v>
      </c>
    </row>
    <row r="38" spans="1:10" hidden="1">
      <c r="A38" t="s">
        <v>1124</v>
      </c>
      <c r="B38">
        <v>1824</v>
      </c>
      <c r="C38" t="s">
        <v>1125</v>
      </c>
      <c r="D38" t="s">
        <v>1125</v>
      </c>
      <c r="E38" t="s">
        <v>1126</v>
      </c>
      <c r="J38">
        <f>LEN(Table13[[#This Row],[REFERENCE_DESCR1]])</f>
        <v>15</v>
      </c>
    </row>
    <row r="39" spans="1:10" hidden="1">
      <c r="A39" t="s">
        <v>1124</v>
      </c>
      <c r="B39">
        <v>1825</v>
      </c>
      <c r="C39" t="s">
        <v>1125</v>
      </c>
      <c r="D39" t="s">
        <v>1125</v>
      </c>
      <c r="E39" t="s">
        <v>1126</v>
      </c>
      <c r="J39">
        <f>LEN(Table13[[#This Row],[REFERENCE_DESCR1]])</f>
        <v>15</v>
      </c>
    </row>
    <row r="40" spans="1:10" hidden="1">
      <c r="A40" t="s">
        <v>1124</v>
      </c>
      <c r="B40">
        <v>1826</v>
      </c>
      <c r="C40" t="s">
        <v>1125</v>
      </c>
      <c r="D40" t="s">
        <v>1125</v>
      </c>
      <c r="E40" t="s">
        <v>1126</v>
      </c>
      <c r="J40">
        <f>LEN(Table13[[#This Row],[REFERENCE_DESCR1]])</f>
        <v>15</v>
      </c>
    </row>
    <row r="41" spans="1:10" hidden="1">
      <c r="A41" t="s">
        <v>1124</v>
      </c>
      <c r="B41">
        <v>1827</v>
      </c>
      <c r="C41" t="s">
        <v>1125</v>
      </c>
      <c r="D41" t="s">
        <v>1125</v>
      </c>
      <c r="E41" t="s">
        <v>1126</v>
      </c>
      <c r="J41">
        <f>LEN(Table13[[#This Row],[REFERENCE_DESCR1]])</f>
        <v>15</v>
      </c>
    </row>
    <row r="42" spans="1:10" hidden="1">
      <c r="A42" t="s">
        <v>1124</v>
      </c>
      <c r="B42">
        <v>1828</v>
      </c>
      <c r="C42" t="s">
        <v>1125</v>
      </c>
      <c r="D42" t="s">
        <v>1125</v>
      </c>
      <c r="E42" t="s">
        <v>1126</v>
      </c>
      <c r="J42">
        <f>LEN(Table13[[#This Row],[REFERENCE_DESCR1]])</f>
        <v>15</v>
      </c>
    </row>
    <row r="43" spans="1:10" hidden="1">
      <c r="A43" t="s">
        <v>1124</v>
      </c>
      <c r="B43">
        <v>1829</v>
      </c>
      <c r="C43" t="s">
        <v>1125</v>
      </c>
      <c r="D43" t="s">
        <v>1125</v>
      </c>
      <c r="E43" t="s">
        <v>1126</v>
      </c>
      <c r="J43">
        <f>LEN(Table13[[#This Row],[REFERENCE_DESCR1]])</f>
        <v>15</v>
      </c>
    </row>
    <row r="44" spans="1:10" hidden="1">
      <c r="A44" t="s">
        <v>1124</v>
      </c>
      <c r="B44">
        <v>1830</v>
      </c>
      <c r="C44" t="s">
        <v>1125</v>
      </c>
      <c r="D44" t="s">
        <v>1125</v>
      </c>
      <c r="E44" t="s">
        <v>1126</v>
      </c>
      <c r="J44">
        <f>LEN(Table13[[#This Row],[REFERENCE_DESCR1]])</f>
        <v>15</v>
      </c>
    </row>
    <row r="45" spans="1:10" hidden="1">
      <c r="A45" t="s">
        <v>1124</v>
      </c>
      <c r="B45">
        <v>1831</v>
      </c>
      <c r="C45" t="s">
        <v>1125</v>
      </c>
      <c r="D45" t="s">
        <v>1125</v>
      </c>
      <c r="E45" t="s">
        <v>1126</v>
      </c>
      <c r="J45">
        <f>LEN(Table13[[#This Row],[REFERENCE_DESCR1]])</f>
        <v>15</v>
      </c>
    </row>
    <row r="46" spans="1:10" hidden="1">
      <c r="A46" t="s">
        <v>1124</v>
      </c>
      <c r="B46">
        <v>1832</v>
      </c>
      <c r="C46" t="s">
        <v>1125</v>
      </c>
      <c r="D46" t="s">
        <v>1125</v>
      </c>
      <c r="E46" t="s">
        <v>1126</v>
      </c>
      <c r="J46">
        <f>LEN(Table13[[#This Row],[REFERENCE_DESCR1]])</f>
        <v>15</v>
      </c>
    </row>
    <row r="47" spans="1:10" hidden="1">
      <c r="A47" t="s">
        <v>1124</v>
      </c>
      <c r="B47">
        <v>1833</v>
      </c>
      <c r="C47" t="s">
        <v>1125</v>
      </c>
      <c r="D47" t="s">
        <v>1125</v>
      </c>
      <c r="E47" t="s">
        <v>1126</v>
      </c>
      <c r="J47">
        <f>LEN(Table13[[#This Row],[REFERENCE_DESCR1]])</f>
        <v>15</v>
      </c>
    </row>
    <row r="48" spans="1:10" hidden="1">
      <c r="A48" t="s">
        <v>1124</v>
      </c>
      <c r="B48">
        <v>1834</v>
      </c>
      <c r="C48" t="s">
        <v>1125</v>
      </c>
      <c r="D48" t="s">
        <v>1125</v>
      </c>
      <c r="E48" t="s">
        <v>1126</v>
      </c>
      <c r="J48">
        <f>LEN(Table13[[#This Row],[REFERENCE_DESCR1]])</f>
        <v>15</v>
      </c>
    </row>
    <row r="49" spans="1:10" hidden="1">
      <c r="A49" t="s">
        <v>1124</v>
      </c>
      <c r="B49">
        <v>1835</v>
      </c>
      <c r="C49" t="s">
        <v>1125</v>
      </c>
      <c r="D49" t="s">
        <v>1125</v>
      </c>
      <c r="E49" t="s">
        <v>1126</v>
      </c>
      <c r="J49">
        <f>LEN(Table13[[#This Row],[REFERENCE_DESCR1]])</f>
        <v>15</v>
      </c>
    </row>
    <row r="50" spans="1:10" hidden="1">
      <c r="A50" t="s">
        <v>1124</v>
      </c>
      <c r="B50">
        <v>1836</v>
      </c>
      <c r="C50" t="s">
        <v>1125</v>
      </c>
      <c r="D50" t="s">
        <v>1125</v>
      </c>
      <c r="E50" t="s">
        <v>1126</v>
      </c>
      <c r="J50">
        <f>LEN(Table13[[#This Row],[REFERENCE_DESCR1]])</f>
        <v>15</v>
      </c>
    </row>
    <row r="51" spans="1:10" hidden="1">
      <c r="A51" t="s">
        <v>1124</v>
      </c>
      <c r="B51">
        <v>1837</v>
      </c>
      <c r="C51" t="s">
        <v>1125</v>
      </c>
      <c r="D51" t="s">
        <v>1125</v>
      </c>
      <c r="E51" t="s">
        <v>1126</v>
      </c>
      <c r="J51">
        <f>LEN(Table13[[#This Row],[REFERENCE_DESCR1]])</f>
        <v>15</v>
      </c>
    </row>
    <row r="52" spans="1:10" hidden="1">
      <c r="A52" t="s">
        <v>1124</v>
      </c>
      <c r="B52">
        <v>1838</v>
      </c>
      <c r="C52" t="s">
        <v>1125</v>
      </c>
      <c r="D52" t="s">
        <v>1125</v>
      </c>
      <c r="E52" t="s">
        <v>1126</v>
      </c>
      <c r="J52">
        <f>LEN(Table13[[#This Row],[REFERENCE_DESCR1]])</f>
        <v>15</v>
      </c>
    </row>
    <row r="53" spans="1:10" hidden="1">
      <c r="A53" t="s">
        <v>1124</v>
      </c>
      <c r="B53">
        <v>1839</v>
      </c>
      <c r="C53" t="s">
        <v>1125</v>
      </c>
      <c r="D53" t="s">
        <v>1125</v>
      </c>
      <c r="E53" t="s">
        <v>1126</v>
      </c>
      <c r="J53">
        <f>LEN(Table13[[#This Row],[REFERENCE_DESCR1]])</f>
        <v>15</v>
      </c>
    </row>
    <row r="54" spans="1:10" hidden="1">
      <c r="A54" t="s">
        <v>1124</v>
      </c>
      <c r="B54">
        <v>1840</v>
      </c>
      <c r="C54" t="s">
        <v>1125</v>
      </c>
      <c r="D54" t="s">
        <v>1125</v>
      </c>
      <c r="E54" t="s">
        <v>1126</v>
      </c>
      <c r="J54">
        <f>LEN(Table13[[#This Row],[REFERENCE_DESCR1]])</f>
        <v>15</v>
      </c>
    </row>
    <row r="55" spans="1:10" hidden="1">
      <c r="A55" t="s">
        <v>1124</v>
      </c>
      <c r="B55">
        <v>1841</v>
      </c>
      <c r="C55" t="s">
        <v>1125</v>
      </c>
      <c r="D55" t="s">
        <v>1125</v>
      </c>
      <c r="E55" t="s">
        <v>1126</v>
      </c>
      <c r="J55">
        <f>LEN(Table13[[#This Row],[REFERENCE_DESCR1]])</f>
        <v>15</v>
      </c>
    </row>
    <row r="56" spans="1:10" hidden="1">
      <c r="A56" t="s">
        <v>1124</v>
      </c>
      <c r="B56">
        <v>1842</v>
      </c>
      <c r="C56" t="s">
        <v>1125</v>
      </c>
      <c r="D56" t="s">
        <v>1125</v>
      </c>
      <c r="E56" t="s">
        <v>1126</v>
      </c>
      <c r="J56">
        <f>LEN(Table13[[#This Row],[REFERENCE_DESCR1]])</f>
        <v>15</v>
      </c>
    </row>
    <row r="57" spans="1:10" hidden="1">
      <c r="A57" t="s">
        <v>1124</v>
      </c>
      <c r="B57">
        <v>1843</v>
      </c>
      <c r="C57" t="s">
        <v>1125</v>
      </c>
      <c r="D57" t="s">
        <v>1125</v>
      </c>
      <c r="E57" t="s">
        <v>1126</v>
      </c>
      <c r="J57">
        <f>LEN(Table13[[#This Row],[REFERENCE_DESCR1]])</f>
        <v>15</v>
      </c>
    </row>
    <row r="58" spans="1:10" hidden="1">
      <c r="A58" t="s">
        <v>1124</v>
      </c>
      <c r="B58">
        <v>1844</v>
      </c>
      <c r="C58" t="s">
        <v>1125</v>
      </c>
      <c r="D58" t="s">
        <v>1125</v>
      </c>
      <c r="E58" t="s">
        <v>1126</v>
      </c>
      <c r="J58">
        <f>LEN(Table13[[#This Row],[REFERENCE_DESCR1]])</f>
        <v>15</v>
      </c>
    </row>
    <row r="59" spans="1:10" hidden="1">
      <c r="A59" t="s">
        <v>1124</v>
      </c>
      <c r="B59">
        <v>1845</v>
      </c>
      <c r="C59" t="s">
        <v>1125</v>
      </c>
      <c r="D59" t="s">
        <v>1125</v>
      </c>
      <c r="E59" t="s">
        <v>1126</v>
      </c>
      <c r="J59">
        <f>LEN(Table13[[#This Row],[REFERENCE_DESCR1]])</f>
        <v>15</v>
      </c>
    </row>
    <row r="60" spans="1:10" hidden="1">
      <c r="A60" t="s">
        <v>1124</v>
      </c>
      <c r="B60">
        <v>1846</v>
      </c>
      <c r="C60" t="s">
        <v>1125</v>
      </c>
      <c r="D60" t="s">
        <v>1125</v>
      </c>
      <c r="E60" t="s">
        <v>1126</v>
      </c>
      <c r="J60">
        <f>LEN(Table13[[#This Row],[REFERENCE_DESCR1]])</f>
        <v>15</v>
      </c>
    </row>
    <row r="61" spans="1:10" hidden="1">
      <c r="A61" t="s">
        <v>1124</v>
      </c>
      <c r="B61">
        <v>1847</v>
      </c>
      <c r="C61" t="s">
        <v>1125</v>
      </c>
      <c r="D61" t="s">
        <v>1125</v>
      </c>
      <c r="E61" t="s">
        <v>1126</v>
      </c>
      <c r="J61">
        <f>LEN(Table13[[#This Row],[REFERENCE_DESCR1]])</f>
        <v>15</v>
      </c>
    </row>
    <row r="62" spans="1:10" hidden="1">
      <c r="A62" t="s">
        <v>1124</v>
      </c>
      <c r="B62">
        <v>1848</v>
      </c>
      <c r="C62" t="s">
        <v>1125</v>
      </c>
      <c r="D62" t="s">
        <v>1125</v>
      </c>
      <c r="E62" t="s">
        <v>1126</v>
      </c>
      <c r="J62">
        <f>LEN(Table13[[#This Row],[REFERENCE_DESCR1]])</f>
        <v>15</v>
      </c>
    </row>
    <row r="63" spans="1:10" hidden="1">
      <c r="A63" t="s">
        <v>1124</v>
      </c>
      <c r="B63">
        <v>1849</v>
      </c>
      <c r="C63" t="s">
        <v>1125</v>
      </c>
      <c r="D63" t="s">
        <v>1125</v>
      </c>
      <c r="E63" t="s">
        <v>1126</v>
      </c>
      <c r="J63">
        <f>LEN(Table13[[#This Row],[REFERENCE_DESCR1]])</f>
        <v>15</v>
      </c>
    </row>
    <row r="64" spans="1:10" hidden="1">
      <c r="A64" t="s">
        <v>1124</v>
      </c>
      <c r="B64">
        <v>1850</v>
      </c>
      <c r="C64" t="s">
        <v>1125</v>
      </c>
      <c r="D64" t="s">
        <v>1125</v>
      </c>
      <c r="E64" t="s">
        <v>1126</v>
      </c>
      <c r="J64">
        <f>LEN(Table13[[#This Row],[REFERENCE_DESCR1]])</f>
        <v>15</v>
      </c>
    </row>
    <row r="65" spans="1:10" hidden="1">
      <c r="A65" t="s">
        <v>1124</v>
      </c>
      <c r="B65">
        <v>1851</v>
      </c>
      <c r="C65" t="s">
        <v>1125</v>
      </c>
      <c r="D65" t="s">
        <v>1125</v>
      </c>
      <c r="E65" t="s">
        <v>1126</v>
      </c>
      <c r="J65">
        <f>LEN(Table13[[#This Row],[REFERENCE_DESCR1]])</f>
        <v>15</v>
      </c>
    </row>
    <row r="66" spans="1:10" hidden="1">
      <c r="A66" t="s">
        <v>1124</v>
      </c>
      <c r="B66">
        <v>1852</v>
      </c>
      <c r="C66" t="s">
        <v>1125</v>
      </c>
      <c r="D66" t="s">
        <v>1125</v>
      </c>
      <c r="E66" t="s">
        <v>1126</v>
      </c>
      <c r="J66">
        <f>LEN(Table13[[#This Row],[REFERENCE_DESCR1]])</f>
        <v>15</v>
      </c>
    </row>
    <row r="67" spans="1:10" hidden="1">
      <c r="A67" t="s">
        <v>1124</v>
      </c>
      <c r="B67">
        <v>1853</v>
      </c>
      <c r="C67" t="s">
        <v>1125</v>
      </c>
      <c r="D67" t="s">
        <v>1125</v>
      </c>
      <c r="E67" t="s">
        <v>1126</v>
      </c>
      <c r="J67">
        <f>LEN(Table13[[#This Row],[REFERENCE_DESCR1]])</f>
        <v>15</v>
      </c>
    </row>
    <row r="68" spans="1:10" hidden="1">
      <c r="A68" t="s">
        <v>1124</v>
      </c>
      <c r="B68">
        <v>1854</v>
      </c>
      <c r="C68" t="s">
        <v>1125</v>
      </c>
      <c r="D68" t="s">
        <v>1125</v>
      </c>
      <c r="E68" t="s">
        <v>1126</v>
      </c>
      <c r="J68">
        <f>LEN(Table13[[#This Row],[REFERENCE_DESCR1]])</f>
        <v>15</v>
      </c>
    </row>
    <row r="69" spans="1:10" hidden="1">
      <c r="A69" t="s">
        <v>1124</v>
      </c>
      <c r="B69">
        <v>1855</v>
      </c>
      <c r="C69" t="s">
        <v>1125</v>
      </c>
      <c r="D69" t="s">
        <v>1125</v>
      </c>
      <c r="E69" t="s">
        <v>1126</v>
      </c>
      <c r="J69">
        <f>LEN(Table13[[#This Row],[REFERENCE_DESCR1]])</f>
        <v>15</v>
      </c>
    </row>
    <row r="70" spans="1:10" hidden="1">
      <c r="A70" t="s">
        <v>1124</v>
      </c>
      <c r="B70">
        <v>1856</v>
      </c>
      <c r="C70" t="s">
        <v>1125</v>
      </c>
      <c r="D70" t="s">
        <v>1125</v>
      </c>
      <c r="E70" t="s">
        <v>1126</v>
      </c>
      <c r="J70">
        <f>LEN(Table13[[#This Row],[REFERENCE_DESCR1]])</f>
        <v>15</v>
      </c>
    </row>
    <row r="71" spans="1:10" hidden="1">
      <c r="A71" t="s">
        <v>1124</v>
      </c>
      <c r="B71">
        <v>1857</v>
      </c>
      <c r="C71" t="s">
        <v>1125</v>
      </c>
      <c r="D71" t="s">
        <v>1125</v>
      </c>
      <c r="E71" t="s">
        <v>1126</v>
      </c>
      <c r="J71">
        <f>LEN(Table13[[#This Row],[REFERENCE_DESCR1]])</f>
        <v>15</v>
      </c>
    </row>
    <row r="72" spans="1:10" hidden="1">
      <c r="A72" t="s">
        <v>1124</v>
      </c>
      <c r="B72">
        <v>1858</v>
      </c>
      <c r="C72" t="s">
        <v>1125</v>
      </c>
      <c r="D72" t="s">
        <v>1125</v>
      </c>
      <c r="E72" t="s">
        <v>1126</v>
      </c>
      <c r="J72">
        <f>LEN(Table13[[#This Row],[REFERENCE_DESCR1]])</f>
        <v>15</v>
      </c>
    </row>
    <row r="73" spans="1:10" hidden="1">
      <c r="A73" t="s">
        <v>1124</v>
      </c>
      <c r="B73">
        <v>1859</v>
      </c>
      <c r="C73" t="s">
        <v>1125</v>
      </c>
      <c r="D73" t="s">
        <v>1125</v>
      </c>
      <c r="E73" t="s">
        <v>1126</v>
      </c>
      <c r="J73">
        <f>LEN(Table13[[#This Row],[REFERENCE_DESCR1]])</f>
        <v>15</v>
      </c>
    </row>
    <row r="74" spans="1:10" hidden="1">
      <c r="A74" t="s">
        <v>1124</v>
      </c>
      <c r="B74">
        <v>1860</v>
      </c>
      <c r="C74" t="s">
        <v>1125</v>
      </c>
      <c r="D74" t="s">
        <v>1125</v>
      </c>
      <c r="E74" t="s">
        <v>1126</v>
      </c>
      <c r="J74">
        <f>LEN(Table13[[#This Row],[REFERENCE_DESCR1]])</f>
        <v>15</v>
      </c>
    </row>
    <row r="75" spans="1:10" hidden="1">
      <c r="A75" t="s">
        <v>1124</v>
      </c>
      <c r="B75">
        <v>1861</v>
      </c>
      <c r="C75" t="s">
        <v>1125</v>
      </c>
      <c r="D75" t="s">
        <v>1125</v>
      </c>
      <c r="E75" t="s">
        <v>1126</v>
      </c>
      <c r="J75">
        <f>LEN(Table13[[#This Row],[REFERENCE_DESCR1]])</f>
        <v>15</v>
      </c>
    </row>
    <row r="76" spans="1:10" hidden="1">
      <c r="A76" t="s">
        <v>1124</v>
      </c>
      <c r="B76">
        <v>1862</v>
      </c>
      <c r="C76" t="s">
        <v>1125</v>
      </c>
      <c r="D76" t="s">
        <v>1125</v>
      </c>
      <c r="E76" t="s">
        <v>1126</v>
      </c>
      <c r="J76">
        <f>LEN(Table13[[#This Row],[REFERENCE_DESCR1]])</f>
        <v>15</v>
      </c>
    </row>
    <row r="77" spans="1:10" hidden="1">
      <c r="A77" t="s">
        <v>1124</v>
      </c>
      <c r="B77">
        <v>1863</v>
      </c>
      <c r="C77" t="s">
        <v>1125</v>
      </c>
      <c r="D77" t="s">
        <v>1125</v>
      </c>
      <c r="E77" t="s">
        <v>1126</v>
      </c>
      <c r="J77">
        <f>LEN(Table13[[#This Row],[REFERENCE_DESCR1]])</f>
        <v>15</v>
      </c>
    </row>
    <row r="78" spans="1:10" hidden="1">
      <c r="A78" t="s">
        <v>1124</v>
      </c>
      <c r="B78">
        <v>1864</v>
      </c>
      <c r="C78" t="s">
        <v>1125</v>
      </c>
      <c r="D78" t="s">
        <v>1125</v>
      </c>
      <c r="E78" t="s">
        <v>1126</v>
      </c>
      <c r="J78">
        <f>LEN(Table13[[#This Row],[REFERENCE_DESCR1]])</f>
        <v>15</v>
      </c>
    </row>
    <row r="79" spans="1:10" hidden="1">
      <c r="A79" t="s">
        <v>1124</v>
      </c>
      <c r="B79">
        <v>1865</v>
      </c>
      <c r="C79" t="s">
        <v>1125</v>
      </c>
      <c r="D79" t="s">
        <v>1125</v>
      </c>
      <c r="E79" t="s">
        <v>1126</v>
      </c>
      <c r="J79">
        <f>LEN(Table13[[#This Row],[REFERENCE_DESCR1]])</f>
        <v>15</v>
      </c>
    </row>
    <row r="80" spans="1:10" hidden="1">
      <c r="A80" t="s">
        <v>1124</v>
      </c>
      <c r="B80">
        <v>1866</v>
      </c>
      <c r="C80" t="s">
        <v>1125</v>
      </c>
      <c r="D80" t="s">
        <v>1125</v>
      </c>
      <c r="E80" t="s">
        <v>1126</v>
      </c>
      <c r="J80">
        <f>LEN(Table13[[#This Row],[REFERENCE_DESCR1]])</f>
        <v>15</v>
      </c>
    </row>
    <row r="81" spans="1:10" hidden="1">
      <c r="A81" t="s">
        <v>1124</v>
      </c>
      <c r="B81">
        <v>1867</v>
      </c>
      <c r="C81" t="s">
        <v>1125</v>
      </c>
      <c r="D81" t="s">
        <v>1125</v>
      </c>
      <c r="E81" t="s">
        <v>1126</v>
      </c>
      <c r="J81">
        <f>LEN(Table13[[#This Row],[REFERENCE_DESCR1]])</f>
        <v>15</v>
      </c>
    </row>
    <row r="82" spans="1:10" hidden="1">
      <c r="A82" t="s">
        <v>1124</v>
      </c>
      <c r="B82">
        <v>1868</v>
      </c>
      <c r="C82" t="s">
        <v>1125</v>
      </c>
      <c r="D82" t="s">
        <v>1125</v>
      </c>
      <c r="E82" t="s">
        <v>1126</v>
      </c>
      <c r="J82">
        <f>LEN(Table13[[#This Row],[REFERENCE_DESCR1]])</f>
        <v>15</v>
      </c>
    </row>
    <row r="83" spans="1:10" hidden="1">
      <c r="A83" t="s">
        <v>1124</v>
      </c>
      <c r="B83">
        <v>1869</v>
      </c>
      <c r="C83" t="s">
        <v>1125</v>
      </c>
      <c r="D83" t="s">
        <v>1125</v>
      </c>
      <c r="E83" t="s">
        <v>1126</v>
      </c>
      <c r="J83">
        <f>LEN(Table13[[#This Row],[REFERENCE_DESCR1]])</f>
        <v>15</v>
      </c>
    </row>
    <row r="84" spans="1:10" hidden="1">
      <c r="A84" t="s">
        <v>1124</v>
      </c>
      <c r="B84">
        <v>1870</v>
      </c>
      <c r="C84" t="s">
        <v>1125</v>
      </c>
      <c r="D84" t="s">
        <v>1125</v>
      </c>
      <c r="E84" t="s">
        <v>1126</v>
      </c>
      <c r="J84">
        <f>LEN(Table13[[#This Row],[REFERENCE_DESCR1]])</f>
        <v>15</v>
      </c>
    </row>
    <row r="85" spans="1:10" hidden="1">
      <c r="A85" t="s">
        <v>1124</v>
      </c>
      <c r="B85">
        <v>1871</v>
      </c>
      <c r="C85" t="s">
        <v>1125</v>
      </c>
      <c r="D85" t="s">
        <v>1125</v>
      </c>
      <c r="E85" t="s">
        <v>1126</v>
      </c>
      <c r="J85">
        <f>LEN(Table13[[#This Row],[REFERENCE_DESCR1]])</f>
        <v>15</v>
      </c>
    </row>
    <row r="86" spans="1:10" hidden="1">
      <c r="A86" t="s">
        <v>1124</v>
      </c>
      <c r="B86">
        <v>1872</v>
      </c>
      <c r="C86" t="s">
        <v>1125</v>
      </c>
      <c r="D86" t="s">
        <v>1125</v>
      </c>
      <c r="E86" t="s">
        <v>1126</v>
      </c>
      <c r="J86">
        <f>LEN(Table13[[#This Row],[REFERENCE_DESCR1]])</f>
        <v>15</v>
      </c>
    </row>
    <row r="87" spans="1:10" hidden="1">
      <c r="A87" t="s">
        <v>1124</v>
      </c>
      <c r="B87">
        <v>1873</v>
      </c>
      <c r="C87" t="s">
        <v>1125</v>
      </c>
      <c r="D87" t="s">
        <v>1125</v>
      </c>
      <c r="E87" t="s">
        <v>1126</v>
      </c>
      <c r="J87">
        <f>LEN(Table13[[#This Row],[REFERENCE_DESCR1]])</f>
        <v>15</v>
      </c>
    </row>
    <row r="88" spans="1:10" hidden="1">
      <c r="A88" t="s">
        <v>1124</v>
      </c>
      <c r="B88">
        <v>1874</v>
      </c>
      <c r="C88" t="s">
        <v>1125</v>
      </c>
      <c r="D88" t="s">
        <v>1125</v>
      </c>
      <c r="E88" t="s">
        <v>1126</v>
      </c>
      <c r="J88">
        <f>LEN(Table13[[#This Row],[REFERENCE_DESCR1]])</f>
        <v>15</v>
      </c>
    </row>
    <row r="89" spans="1:10" hidden="1">
      <c r="A89" t="s">
        <v>1124</v>
      </c>
      <c r="B89">
        <v>1875</v>
      </c>
      <c r="C89" t="s">
        <v>1125</v>
      </c>
      <c r="D89" t="s">
        <v>1125</v>
      </c>
      <c r="E89" t="s">
        <v>1126</v>
      </c>
      <c r="J89">
        <f>LEN(Table13[[#This Row],[REFERENCE_DESCR1]])</f>
        <v>15</v>
      </c>
    </row>
    <row r="90" spans="1:10" hidden="1">
      <c r="A90" t="s">
        <v>1124</v>
      </c>
      <c r="B90">
        <v>1876</v>
      </c>
      <c r="C90" t="s">
        <v>1125</v>
      </c>
      <c r="D90" t="s">
        <v>1125</v>
      </c>
      <c r="E90" t="s">
        <v>1126</v>
      </c>
      <c r="J90">
        <f>LEN(Table13[[#This Row],[REFERENCE_DESCR1]])</f>
        <v>15</v>
      </c>
    </row>
    <row r="91" spans="1:10" hidden="1">
      <c r="A91" t="s">
        <v>1124</v>
      </c>
      <c r="B91">
        <v>1877</v>
      </c>
      <c r="C91" t="s">
        <v>1125</v>
      </c>
      <c r="D91" t="s">
        <v>1125</v>
      </c>
      <c r="E91" t="s">
        <v>1126</v>
      </c>
      <c r="J91">
        <f>LEN(Table13[[#This Row],[REFERENCE_DESCR1]])</f>
        <v>15</v>
      </c>
    </row>
    <row r="92" spans="1:10" hidden="1">
      <c r="A92" t="s">
        <v>1124</v>
      </c>
      <c r="B92">
        <v>1878</v>
      </c>
      <c r="C92" t="s">
        <v>1125</v>
      </c>
      <c r="D92" t="s">
        <v>1125</v>
      </c>
      <c r="E92" t="s">
        <v>1126</v>
      </c>
      <c r="J92">
        <f>LEN(Table13[[#This Row],[REFERENCE_DESCR1]])</f>
        <v>15</v>
      </c>
    </row>
    <row r="93" spans="1:10" hidden="1">
      <c r="A93" t="s">
        <v>1124</v>
      </c>
      <c r="B93">
        <v>1879</v>
      </c>
      <c r="C93" t="s">
        <v>1125</v>
      </c>
      <c r="D93" t="s">
        <v>1125</v>
      </c>
      <c r="E93" t="s">
        <v>1126</v>
      </c>
      <c r="J93">
        <f>LEN(Table13[[#This Row],[REFERENCE_DESCR1]])</f>
        <v>15</v>
      </c>
    </row>
    <row r="94" spans="1:10" hidden="1">
      <c r="A94" t="s">
        <v>1124</v>
      </c>
      <c r="B94">
        <v>1880</v>
      </c>
      <c r="C94" t="s">
        <v>1125</v>
      </c>
      <c r="D94" t="s">
        <v>1125</v>
      </c>
      <c r="E94" t="s">
        <v>1126</v>
      </c>
      <c r="J94">
        <f>LEN(Table13[[#This Row],[REFERENCE_DESCR1]])</f>
        <v>15</v>
      </c>
    </row>
    <row r="95" spans="1:10" hidden="1">
      <c r="A95" t="s">
        <v>1124</v>
      </c>
      <c r="B95">
        <v>1881</v>
      </c>
      <c r="C95" t="s">
        <v>1125</v>
      </c>
      <c r="D95" t="s">
        <v>1125</v>
      </c>
      <c r="E95" t="s">
        <v>1126</v>
      </c>
      <c r="J95">
        <f>LEN(Table13[[#This Row],[REFERENCE_DESCR1]])</f>
        <v>15</v>
      </c>
    </row>
    <row r="96" spans="1:10" hidden="1">
      <c r="A96" t="s">
        <v>1124</v>
      </c>
      <c r="B96">
        <v>1882</v>
      </c>
      <c r="C96" t="s">
        <v>1125</v>
      </c>
      <c r="D96" t="s">
        <v>1125</v>
      </c>
      <c r="E96" t="s">
        <v>1126</v>
      </c>
      <c r="J96">
        <f>LEN(Table13[[#This Row],[REFERENCE_DESCR1]])</f>
        <v>15</v>
      </c>
    </row>
    <row r="97" spans="1:10" hidden="1">
      <c r="A97" t="s">
        <v>1124</v>
      </c>
      <c r="B97">
        <v>1883</v>
      </c>
      <c r="C97" t="s">
        <v>1125</v>
      </c>
      <c r="D97" t="s">
        <v>1125</v>
      </c>
      <c r="E97" t="s">
        <v>1126</v>
      </c>
      <c r="J97">
        <f>LEN(Table13[[#This Row],[REFERENCE_DESCR1]])</f>
        <v>15</v>
      </c>
    </row>
    <row r="98" spans="1:10" hidden="1">
      <c r="A98" t="s">
        <v>1124</v>
      </c>
      <c r="B98">
        <v>1884</v>
      </c>
      <c r="C98" t="s">
        <v>1125</v>
      </c>
      <c r="D98" t="s">
        <v>1125</v>
      </c>
      <c r="E98" t="s">
        <v>1126</v>
      </c>
      <c r="J98">
        <f>LEN(Table13[[#This Row],[REFERENCE_DESCR1]])</f>
        <v>15</v>
      </c>
    </row>
    <row r="99" spans="1:10" hidden="1">
      <c r="A99" t="s">
        <v>1124</v>
      </c>
      <c r="B99">
        <v>1885</v>
      </c>
      <c r="C99" t="s">
        <v>1125</v>
      </c>
      <c r="D99" t="s">
        <v>1125</v>
      </c>
      <c r="E99" t="s">
        <v>1126</v>
      </c>
      <c r="J99">
        <f>LEN(Table13[[#This Row],[REFERENCE_DESCR1]])</f>
        <v>15</v>
      </c>
    </row>
    <row r="100" spans="1:10" hidden="1">
      <c r="A100" t="s">
        <v>1124</v>
      </c>
      <c r="B100">
        <v>1886</v>
      </c>
      <c r="C100" t="s">
        <v>1125</v>
      </c>
      <c r="D100" t="s">
        <v>1125</v>
      </c>
      <c r="E100" t="s">
        <v>1126</v>
      </c>
      <c r="J100">
        <f>LEN(Table13[[#This Row],[REFERENCE_DESCR1]])</f>
        <v>15</v>
      </c>
    </row>
    <row r="101" spans="1:10" hidden="1">
      <c r="A101" t="s">
        <v>1124</v>
      </c>
      <c r="B101">
        <v>1887</v>
      </c>
      <c r="C101" t="s">
        <v>1125</v>
      </c>
      <c r="D101" t="s">
        <v>1125</v>
      </c>
      <c r="E101" t="s">
        <v>1126</v>
      </c>
      <c r="J101">
        <f>LEN(Table13[[#This Row],[REFERENCE_DESCR1]])</f>
        <v>15</v>
      </c>
    </row>
    <row r="102" spans="1:10" hidden="1">
      <c r="A102" t="s">
        <v>1124</v>
      </c>
      <c r="B102">
        <v>1888</v>
      </c>
      <c r="C102" t="s">
        <v>1125</v>
      </c>
      <c r="D102" t="s">
        <v>1125</v>
      </c>
      <c r="E102" t="s">
        <v>1126</v>
      </c>
      <c r="J102">
        <f>LEN(Table13[[#This Row],[REFERENCE_DESCR1]])</f>
        <v>15</v>
      </c>
    </row>
    <row r="103" spans="1:10" hidden="1">
      <c r="A103" t="s">
        <v>1124</v>
      </c>
      <c r="B103">
        <v>1889</v>
      </c>
      <c r="C103" t="s">
        <v>1125</v>
      </c>
      <c r="D103" t="s">
        <v>1125</v>
      </c>
      <c r="E103" t="s">
        <v>1126</v>
      </c>
      <c r="J103">
        <f>LEN(Table13[[#This Row],[REFERENCE_DESCR1]])</f>
        <v>15</v>
      </c>
    </row>
    <row r="104" spans="1:10" hidden="1">
      <c r="A104" t="s">
        <v>1124</v>
      </c>
      <c r="B104">
        <v>1890</v>
      </c>
      <c r="C104" t="s">
        <v>1125</v>
      </c>
      <c r="D104" t="s">
        <v>1125</v>
      </c>
      <c r="E104" t="s">
        <v>1126</v>
      </c>
      <c r="J104">
        <f>LEN(Table13[[#This Row],[REFERENCE_DESCR1]])</f>
        <v>15</v>
      </c>
    </row>
    <row r="105" spans="1:10" hidden="1">
      <c r="A105" t="s">
        <v>1124</v>
      </c>
      <c r="B105">
        <v>1891</v>
      </c>
      <c r="C105" t="s">
        <v>1125</v>
      </c>
      <c r="D105" t="s">
        <v>1125</v>
      </c>
      <c r="E105" t="s">
        <v>1126</v>
      </c>
      <c r="J105">
        <f>LEN(Table13[[#This Row],[REFERENCE_DESCR1]])</f>
        <v>15</v>
      </c>
    </row>
    <row r="106" spans="1:10" hidden="1">
      <c r="A106" t="s">
        <v>1124</v>
      </c>
      <c r="B106">
        <v>1892</v>
      </c>
      <c r="C106" t="s">
        <v>1125</v>
      </c>
      <c r="D106" t="s">
        <v>1125</v>
      </c>
      <c r="E106" t="s">
        <v>1126</v>
      </c>
      <c r="J106">
        <f>LEN(Table13[[#This Row],[REFERENCE_DESCR1]])</f>
        <v>15</v>
      </c>
    </row>
    <row r="107" spans="1:10" hidden="1">
      <c r="A107" t="s">
        <v>1124</v>
      </c>
      <c r="B107">
        <v>1893</v>
      </c>
      <c r="C107" t="s">
        <v>1125</v>
      </c>
      <c r="D107" t="s">
        <v>1125</v>
      </c>
      <c r="E107" t="s">
        <v>1126</v>
      </c>
      <c r="J107">
        <f>LEN(Table13[[#This Row],[REFERENCE_DESCR1]])</f>
        <v>15</v>
      </c>
    </row>
    <row r="108" spans="1:10" hidden="1">
      <c r="A108" t="s">
        <v>1124</v>
      </c>
      <c r="B108">
        <v>1894</v>
      </c>
      <c r="C108" t="s">
        <v>1125</v>
      </c>
      <c r="D108" t="s">
        <v>1125</v>
      </c>
      <c r="E108" t="s">
        <v>1126</v>
      </c>
      <c r="J108">
        <f>LEN(Table13[[#This Row],[REFERENCE_DESCR1]])</f>
        <v>15</v>
      </c>
    </row>
    <row r="109" spans="1:10" hidden="1">
      <c r="A109" t="s">
        <v>1124</v>
      </c>
      <c r="B109">
        <v>1895</v>
      </c>
      <c r="C109" t="s">
        <v>1125</v>
      </c>
      <c r="D109" t="s">
        <v>1125</v>
      </c>
      <c r="E109" t="s">
        <v>1126</v>
      </c>
      <c r="J109">
        <f>LEN(Table13[[#This Row],[REFERENCE_DESCR1]])</f>
        <v>15</v>
      </c>
    </row>
    <row r="110" spans="1:10" hidden="1">
      <c r="A110" t="s">
        <v>1124</v>
      </c>
      <c r="B110">
        <v>1896</v>
      </c>
      <c r="C110" t="s">
        <v>1125</v>
      </c>
      <c r="D110" t="s">
        <v>1125</v>
      </c>
      <c r="E110" t="s">
        <v>1126</v>
      </c>
      <c r="J110">
        <f>LEN(Table13[[#This Row],[REFERENCE_DESCR1]])</f>
        <v>15</v>
      </c>
    </row>
    <row r="111" spans="1:10" hidden="1">
      <c r="A111" t="s">
        <v>1124</v>
      </c>
      <c r="B111">
        <v>1897</v>
      </c>
      <c r="C111" t="s">
        <v>1125</v>
      </c>
      <c r="D111" t="s">
        <v>1125</v>
      </c>
      <c r="E111" t="s">
        <v>1126</v>
      </c>
      <c r="J111">
        <f>LEN(Table13[[#This Row],[REFERENCE_DESCR1]])</f>
        <v>15</v>
      </c>
    </row>
    <row r="112" spans="1:10" hidden="1">
      <c r="A112" t="s">
        <v>1124</v>
      </c>
      <c r="B112">
        <v>1898</v>
      </c>
      <c r="C112" t="s">
        <v>1125</v>
      </c>
      <c r="D112" t="s">
        <v>1125</v>
      </c>
      <c r="E112" t="s">
        <v>1126</v>
      </c>
      <c r="J112">
        <f>LEN(Table13[[#This Row],[REFERENCE_DESCR1]])</f>
        <v>15</v>
      </c>
    </row>
    <row r="113" spans="1:10" hidden="1">
      <c r="A113" t="s">
        <v>1124</v>
      </c>
      <c r="B113">
        <v>1899</v>
      </c>
      <c r="C113" t="s">
        <v>1125</v>
      </c>
      <c r="D113" t="s">
        <v>1125</v>
      </c>
      <c r="E113" t="s">
        <v>1126</v>
      </c>
      <c r="J113">
        <f>LEN(Table13[[#This Row],[REFERENCE_DESCR1]])</f>
        <v>15</v>
      </c>
    </row>
    <row r="114" spans="1:10" hidden="1">
      <c r="A114" t="s">
        <v>1124</v>
      </c>
      <c r="B114">
        <v>1900</v>
      </c>
      <c r="C114" t="s">
        <v>1125</v>
      </c>
      <c r="D114" t="s">
        <v>1125</v>
      </c>
      <c r="E114" t="s">
        <v>1126</v>
      </c>
      <c r="J114">
        <f>LEN(Table13[[#This Row],[REFERENCE_DESCR1]])</f>
        <v>15</v>
      </c>
    </row>
    <row r="115" spans="1:10" hidden="1">
      <c r="A115" t="s">
        <v>1124</v>
      </c>
      <c r="B115">
        <v>1901</v>
      </c>
      <c r="C115" t="s">
        <v>1125</v>
      </c>
      <c r="D115" t="s">
        <v>1125</v>
      </c>
      <c r="E115" t="s">
        <v>1127</v>
      </c>
      <c r="J115">
        <f>LEN(Table13[[#This Row],[REFERENCE_DESCR1]])</f>
        <v>15</v>
      </c>
    </row>
    <row r="116" spans="1:10" hidden="1">
      <c r="A116" t="s">
        <v>1124</v>
      </c>
      <c r="B116">
        <v>1902</v>
      </c>
      <c r="C116" t="s">
        <v>1125</v>
      </c>
      <c r="D116" t="s">
        <v>1125</v>
      </c>
      <c r="E116" t="s">
        <v>1127</v>
      </c>
      <c r="J116">
        <f>LEN(Table13[[#This Row],[REFERENCE_DESCR1]])</f>
        <v>15</v>
      </c>
    </row>
    <row r="117" spans="1:10" hidden="1">
      <c r="A117" t="s">
        <v>1124</v>
      </c>
      <c r="B117">
        <v>1903</v>
      </c>
      <c r="C117" t="s">
        <v>1125</v>
      </c>
      <c r="D117" t="s">
        <v>1125</v>
      </c>
      <c r="E117" t="s">
        <v>1127</v>
      </c>
      <c r="J117">
        <f>LEN(Table13[[#This Row],[REFERENCE_DESCR1]])</f>
        <v>15</v>
      </c>
    </row>
    <row r="118" spans="1:10" hidden="1">
      <c r="A118" t="s">
        <v>1124</v>
      </c>
      <c r="B118">
        <v>1904</v>
      </c>
      <c r="C118" t="s">
        <v>1125</v>
      </c>
      <c r="D118" t="s">
        <v>1125</v>
      </c>
      <c r="E118" t="s">
        <v>1127</v>
      </c>
      <c r="J118">
        <f>LEN(Table13[[#This Row],[REFERENCE_DESCR1]])</f>
        <v>15</v>
      </c>
    </row>
    <row r="119" spans="1:10" hidden="1">
      <c r="A119" t="s">
        <v>1124</v>
      </c>
      <c r="B119">
        <v>1905</v>
      </c>
      <c r="C119" t="s">
        <v>1125</v>
      </c>
      <c r="D119" t="s">
        <v>1125</v>
      </c>
      <c r="E119" t="s">
        <v>1127</v>
      </c>
      <c r="J119">
        <f>LEN(Table13[[#This Row],[REFERENCE_DESCR1]])</f>
        <v>15</v>
      </c>
    </row>
    <row r="120" spans="1:10" hidden="1">
      <c r="A120" t="s">
        <v>1124</v>
      </c>
      <c r="B120">
        <v>1906</v>
      </c>
      <c r="C120" t="s">
        <v>1125</v>
      </c>
      <c r="D120" t="s">
        <v>1125</v>
      </c>
      <c r="E120" t="s">
        <v>1127</v>
      </c>
      <c r="J120">
        <f>LEN(Table13[[#This Row],[REFERENCE_DESCR1]])</f>
        <v>15</v>
      </c>
    </row>
    <row r="121" spans="1:10" hidden="1">
      <c r="A121" t="s">
        <v>1124</v>
      </c>
      <c r="B121">
        <v>1907</v>
      </c>
      <c r="C121" t="s">
        <v>1125</v>
      </c>
      <c r="D121" t="s">
        <v>1125</v>
      </c>
      <c r="E121" t="s">
        <v>1127</v>
      </c>
      <c r="J121">
        <f>LEN(Table13[[#This Row],[REFERENCE_DESCR1]])</f>
        <v>15</v>
      </c>
    </row>
    <row r="122" spans="1:10" hidden="1">
      <c r="A122" t="s">
        <v>1124</v>
      </c>
      <c r="B122">
        <v>1908</v>
      </c>
      <c r="C122" t="s">
        <v>1125</v>
      </c>
      <c r="D122" t="s">
        <v>1125</v>
      </c>
      <c r="E122" t="s">
        <v>1127</v>
      </c>
      <c r="J122">
        <f>LEN(Table13[[#This Row],[REFERENCE_DESCR1]])</f>
        <v>15</v>
      </c>
    </row>
    <row r="123" spans="1:10" hidden="1">
      <c r="A123" t="s">
        <v>1124</v>
      </c>
      <c r="B123">
        <v>1909</v>
      </c>
      <c r="C123" t="s">
        <v>1125</v>
      </c>
      <c r="D123" t="s">
        <v>1125</v>
      </c>
      <c r="E123" t="s">
        <v>1127</v>
      </c>
      <c r="J123">
        <f>LEN(Table13[[#This Row],[REFERENCE_DESCR1]])</f>
        <v>15</v>
      </c>
    </row>
    <row r="124" spans="1:10" hidden="1">
      <c r="A124" t="s">
        <v>1124</v>
      </c>
      <c r="B124">
        <v>1910</v>
      </c>
      <c r="C124" t="s">
        <v>1125</v>
      </c>
      <c r="D124" t="s">
        <v>1125</v>
      </c>
      <c r="E124" t="s">
        <v>1127</v>
      </c>
      <c r="J124">
        <f>LEN(Table13[[#This Row],[REFERENCE_DESCR1]])</f>
        <v>15</v>
      </c>
    </row>
    <row r="125" spans="1:10" hidden="1">
      <c r="A125" t="s">
        <v>1124</v>
      </c>
      <c r="B125">
        <v>1911</v>
      </c>
      <c r="C125" t="s">
        <v>1125</v>
      </c>
      <c r="D125" t="s">
        <v>1125</v>
      </c>
      <c r="E125" t="s">
        <v>1128</v>
      </c>
      <c r="J125">
        <f>LEN(Table13[[#This Row],[REFERENCE_DESCR1]])</f>
        <v>15</v>
      </c>
    </row>
    <row r="126" spans="1:10" hidden="1">
      <c r="A126" t="s">
        <v>1124</v>
      </c>
      <c r="B126">
        <v>1912</v>
      </c>
      <c r="C126" t="s">
        <v>1125</v>
      </c>
      <c r="D126" t="s">
        <v>1125</v>
      </c>
      <c r="E126" t="s">
        <v>1128</v>
      </c>
      <c r="J126">
        <f>LEN(Table13[[#This Row],[REFERENCE_DESCR1]])</f>
        <v>15</v>
      </c>
    </row>
    <row r="127" spans="1:10" hidden="1">
      <c r="A127" t="s">
        <v>1124</v>
      </c>
      <c r="B127">
        <v>1913</v>
      </c>
      <c r="C127" t="s">
        <v>1125</v>
      </c>
      <c r="D127" t="s">
        <v>1125</v>
      </c>
      <c r="E127" t="s">
        <v>1128</v>
      </c>
      <c r="J127">
        <f>LEN(Table13[[#This Row],[REFERENCE_DESCR1]])</f>
        <v>15</v>
      </c>
    </row>
    <row r="128" spans="1:10" hidden="1">
      <c r="A128" t="s">
        <v>1124</v>
      </c>
      <c r="B128">
        <v>1914</v>
      </c>
      <c r="C128" t="s">
        <v>1125</v>
      </c>
      <c r="D128" t="s">
        <v>1125</v>
      </c>
      <c r="E128" t="s">
        <v>1128</v>
      </c>
      <c r="J128">
        <f>LEN(Table13[[#This Row],[REFERENCE_DESCR1]])</f>
        <v>15</v>
      </c>
    </row>
    <row r="129" spans="1:10" hidden="1">
      <c r="A129" t="s">
        <v>1124</v>
      </c>
      <c r="B129">
        <v>1915</v>
      </c>
      <c r="C129" t="s">
        <v>1125</v>
      </c>
      <c r="D129" t="s">
        <v>1125</v>
      </c>
      <c r="E129" t="s">
        <v>1128</v>
      </c>
      <c r="J129">
        <f>LEN(Table13[[#This Row],[REFERENCE_DESCR1]])</f>
        <v>15</v>
      </c>
    </row>
    <row r="130" spans="1:10" hidden="1">
      <c r="A130" t="s">
        <v>1124</v>
      </c>
      <c r="B130">
        <v>1916</v>
      </c>
      <c r="C130" t="s">
        <v>1125</v>
      </c>
      <c r="D130" t="s">
        <v>1125</v>
      </c>
      <c r="E130" t="s">
        <v>1128</v>
      </c>
      <c r="J130">
        <f>LEN(Table13[[#This Row],[REFERENCE_DESCR1]])</f>
        <v>15</v>
      </c>
    </row>
    <row r="131" spans="1:10" hidden="1">
      <c r="A131" t="s">
        <v>1124</v>
      </c>
      <c r="B131">
        <v>1917</v>
      </c>
      <c r="C131" t="s">
        <v>1125</v>
      </c>
      <c r="D131" t="s">
        <v>1125</v>
      </c>
      <c r="E131" t="s">
        <v>1128</v>
      </c>
      <c r="J131">
        <f>LEN(Table13[[#This Row],[REFERENCE_DESCR1]])</f>
        <v>15</v>
      </c>
    </row>
    <row r="132" spans="1:10" hidden="1">
      <c r="A132" t="s">
        <v>1124</v>
      </c>
      <c r="B132">
        <v>1918</v>
      </c>
      <c r="C132" t="s">
        <v>1125</v>
      </c>
      <c r="D132" t="s">
        <v>1125</v>
      </c>
      <c r="E132" t="s">
        <v>1128</v>
      </c>
      <c r="J132">
        <f>LEN(Table13[[#This Row],[REFERENCE_DESCR1]])</f>
        <v>15</v>
      </c>
    </row>
    <row r="133" spans="1:10" hidden="1">
      <c r="A133" t="s">
        <v>1124</v>
      </c>
      <c r="B133">
        <v>1919</v>
      </c>
      <c r="C133" t="s">
        <v>1125</v>
      </c>
      <c r="D133" t="s">
        <v>1125</v>
      </c>
      <c r="E133" t="s">
        <v>1128</v>
      </c>
      <c r="J133">
        <f>LEN(Table13[[#This Row],[REFERENCE_DESCR1]])</f>
        <v>15</v>
      </c>
    </row>
    <row r="134" spans="1:10" hidden="1">
      <c r="A134" t="s">
        <v>1124</v>
      </c>
      <c r="B134">
        <v>1920</v>
      </c>
      <c r="C134" t="s">
        <v>1125</v>
      </c>
      <c r="D134" t="s">
        <v>1125</v>
      </c>
      <c r="E134" t="s">
        <v>1128</v>
      </c>
      <c r="J134">
        <f>LEN(Table13[[#This Row],[REFERENCE_DESCR1]])</f>
        <v>15</v>
      </c>
    </row>
    <row r="135" spans="1:10" hidden="1">
      <c r="A135" t="s">
        <v>1124</v>
      </c>
      <c r="B135">
        <v>1921</v>
      </c>
      <c r="C135" t="s">
        <v>1125</v>
      </c>
      <c r="D135" t="s">
        <v>1125</v>
      </c>
      <c r="E135" t="s">
        <v>1129</v>
      </c>
      <c r="J135">
        <f>LEN(Table13[[#This Row],[REFERENCE_DESCR1]])</f>
        <v>15</v>
      </c>
    </row>
    <row r="136" spans="1:10" hidden="1">
      <c r="A136" t="s">
        <v>1124</v>
      </c>
      <c r="B136">
        <v>1922</v>
      </c>
      <c r="C136" t="s">
        <v>1125</v>
      </c>
      <c r="D136" t="s">
        <v>1125</v>
      </c>
      <c r="E136" t="s">
        <v>1129</v>
      </c>
      <c r="J136">
        <f>LEN(Table13[[#This Row],[REFERENCE_DESCR1]])</f>
        <v>15</v>
      </c>
    </row>
    <row r="137" spans="1:10" hidden="1">
      <c r="A137" t="s">
        <v>1124</v>
      </c>
      <c r="B137">
        <v>1923</v>
      </c>
      <c r="C137" t="s">
        <v>1125</v>
      </c>
      <c r="D137" t="s">
        <v>1125</v>
      </c>
      <c r="E137" t="s">
        <v>1129</v>
      </c>
      <c r="J137">
        <f>LEN(Table13[[#This Row],[REFERENCE_DESCR1]])</f>
        <v>15</v>
      </c>
    </row>
    <row r="138" spans="1:10" hidden="1">
      <c r="A138" t="s">
        <v>1124</v>
      </c>
      <c r="B138">
        <v>1924</v>
      </c>
      <c r="C138" t="s">
        <v>1125</v>
      </c>
      <c r="D138" t="s">
        <v>1125</v>
      </c>
      <c r="E138" t="s">
        <v>1129</v>
      </c>
      <c r="J138">
        <f>LEN(Table13[[#This Row],[REFERENCE_DESCR1]])</f>
        <v>15</v>
      </c>
    </row>
    <row r="139" spans="1:10" hidden="1">
      <c r="A139" t="s">
        <v>1124</v>
      </c>
      <c r="B139">
        <v>1925</v>
      </c>
      <c r="C139" t="s">
        <v>1125</v>
      </c>
      <c r="D139" t="s">
        <v>1125</v>
      </c>
      <c r="E139" t="s">
        <v>1129</v>
      </c>
      <c r="J139">
        <f>LEN(Table13[[#This Row],[REFERENCE_DESCR1]])</f>
        <v>15</v>
      </c>
    </row>
    <row r="140" spans="1:10" hidden="1">
      <c r="A140" t="s">
        <v>1124</v>
      </c>
      <c r="B140">
        <v>1926</v>
      </c>
      <c r="C140" t="s">
        <v>1125</v>
      </c>
      <c r="D140" t="s">
        <v>1125</v>
      </c>
      <c r="E140" t="s">
        <v>1129</v>
      </c>
      <c r="J140">
        <f>LEN(Table13[[#This Row],[REFERENCE_DESCR1]])</f>
        <v>15</v>
      </c>
    </row>
    <row r="141" spans="1:10" hidden="1">
      <c r="A141" t="s">
        <v>1124</v>
      </c>
      <c r="B141">
        <v>1927</v>
      </c>
      <c r="C141" t="s">
        <v>1125</v>
      </c>
      <c r="D141" t="s">
        <v>1125</v>
      </c>
      <c r="E141" t="s">
        <v>1129</v>
      </c>
      <c r="J141">
        <f>LEN(Table13[[#This Row],[REFERENCE_DESCR1]])</f>
        <v>15</v>
      </c>
    </row>
    <row r="142" spans="1:10" hidden="1">
      <c r="A142" t="s">
        <v>1124</v>
      </c>
      <c r="B142">
        <v>1928</v>
      </c>
      <c r="C142" t="s">
        <v>1125</v>
      </c>
      <c r="D142" t="s">
        <v>1125</v>
      </c>
      <c r="E142" t="s">
        <v>1129</v>
      </c>
      <c r="J142">
        <f>LEN(Table13[[#This Row],[REFERENCE_DESCR1]])</f>
        <v>15</v>
      </c>
    </row>
    <row r="143" spans="1:10" hidden="1">
      <c r="A143" t="s">
        <v>1124</v>
      </c>
      <c r="B143">
        <v>1929</v>
      </c>
      <c r="C143" t="s">
        <v>1125</v>
      </c>
      <c r="D143" t="s">
        <v>1125</v>
      </c>
      <c r="E143" t="s">
        <v>1129</v>
      </c>
      <c r="J143">
        <f>LEN(Table13[[#This Row],[REFERENCE_DESCR1]])</f>
        <v>15</v>
      </c>
    </row>
    <row r="144" spans="1:10" hidden="1">
      <c r="A144" t="s">
        <v>1124</v>
      </c>
      <c r="B144">
        <v>1930</v>
      </c>
      <c r="C144" t="s">
        <v>1125</v>
      </c>
      <c r="D144" t="s">
        <v>1125</v>
      </c>
      <c r="E144" t="s">
        <v>1129</v>
      </c>
      <c r="J144">
        <f>LEN(Table13[[#This Row],[REFERENCE_DESCR1]])</f>
        <v>15</v>
      </c>
    </row>
    <row r="145" spans="1:10" hidden="1">
      <c r="A145" t="s">
        <v>1124</v>
      </c>
      <c r="B145">
        <v>1931</v>
      </c>
      <c r="C145" t="s">
        <v>1125</v>
      </c>
      <c r="D145" t="s">
        <v>1125</v>
      </c>
      <c r="E145" t="s">
        <v>1130</v>
      </c>
      <c r="J145">
        <f>LEN(Table13[[#This Row],[REFERENCE_DESCR1]])</f>
        <v>15</v>
      </c>
    </row>
    <row r="146" spans="1:10" hidden="1">
      <c r="A146" t="s">
        <v>1124</v>
      </c>
      <c r="B146">
        <v>1932</v>
      </c>
      <c r="C146" t="s">
        <v>1125</v>
      </c>
      <c r="D146" t="s">
        <v>1125</v>
      </c>
      <c r="E146" t="s">
        <v>1130</v>
      </c>
      <c r="J146">
        <f>LEN(Table13[[#This Row],[REFERENCE_DESCR1]])</f>
        <v>15</v>
      </c>
    </row>
    <row r="147" spans="1:10" hidden="1">
      <c r="A147" t="s">
        <v>1124</v>
      </c>
      <c r="B147">
        <v>1933</v>
      </c>
      <c r="C147" t="s">
        <v>1125</v>
      </c>
      <c r="D147" t="s">
        <v>1125</v>
      </c>
      <c r="E147" t="s">
        <v>1130</v>
      </c>
      <c r="J147">
        <f>LEN(Table13[[#This Row],[REFERENCE_DESCR1]])</f>
        <v>15</v>
      </c>
    </row>
    <row r="148" spans="1:10" hidden="1">
      <c r="A148" t="s">
        <v>1124</v>
      </c>
      <c r="B148">
        <v>1934</v>
      </c>
      <c r="C148" t="s">
        <v>1125</v>
      </c>
      <c r="D148" t="s">
        <v>1125</v>
      </c>
      <c r="E148" t="s">
        <v>1130</v>
      </c>
      <c r="J148">
        <f>LEN(Table13[[#This Row],[REFERENCE_DESCR1]])</f>
        <v>15</v>
      </c>
    </row>
    <row r="149" spans="1:10" hidden="1">
      <c r="A149" t="s">
        <v>1124</v>
      </c>
      <c r="B149">
        <v>1935</v>
      </c>
      <c r="C149" t="s">
        <v>1125</v>
      </c>
      <c r="D149" t="s">
        <v>1125</v>
      </c>
      <c r="E149" t="s">
        <v>1130</v>
      </c>
      <c r="J149">
        <f>LEN(Table13[[#This Row],[REFERENCE_DESCR1]])</f>
        <v>15</v>
      </c>
    </row>
    <row r="150" spans="1:10" hidden="1">
      <c r="A150" t="s">
        <v>1124</v>
      </c>
      <c r="B150">
        <v>1936</v>
      </c>
      <c r="C150" t="s">
        <v>1125</v>
      </c>
      <c r="D150" t="s">
        <v>1125</v>
      </c>
      <c r="E150" t="s">
        <v>1130</v>
      </c>
      <c r="J150">
        <f>LEN(Table13[[#This Row],[REFERENCE_DESCR1]])</f>
        <v>15</v>
      </c>
    </row>
    <row r="151" spans="1:10" hidden="1">
      <c r="A151" t="s">
        <v>1124</v>
      </c>
      <c r="B151">
        <v>1937</v>
      </c>
      <c r="C151" t="s">
        <v>1125</v>
      </c>
      <c r="D151" t="s">
        <v>1125</v>
      </c>
      <c r="E151" t="s">
        <v>1130</v>
      </c>
      <c r="J151">
        <f>LEN(Table13[[#This Row],[REFERENCE_DESCR1]])</f>
        <v>15</v>
      </c>
    </row>
    <row r="152" spans="1:10" hidden="1">
      <c r="A152" t="s">
        <v>1124</v>
      </c>
      <c r="B152">
        <v>1938</v>
      </c>
      <c r="C152" t="s">
        <v>1125</v>
      </c>
      <c r="D152" t="s">
        <v>1125</v>
      </c>
      <c r="E152" t="s">
        <v>1130</v>
      </c>
      <c r="J152">
        <f>LEN(Table13[[#This Row],[REFERENCE_DESCR1]])</f>
        <v>15</v>
      </c>
    </row>
    <row r="153" spans="1:10" hidden="1">
      <c r="A153" t="s">
        <v>1124</v>
      </c>
      <c r="B153">
        <v>1939</v>
      </c>
      <c r="C153" t="s">
        <v>1125</v>
      </c>
      <c r="D153" t="s">
        <v>1125</v>
      </c>
      <c r="E153" t="s">
        <v>1130</v>
      </c>
      <c r="J153">
        <f>LEN(Table13[[#This Row],[REFERENCE_DESCR1]])</f>
        <v>15</v>
      </c>
    </row>
    <row r="154" spans="1:10" hidden="1">
      <c r="A154" t="s">
        <v>1124</v>
      </c>
      <c r="B154">
        <v>1940</v>
      </c>
      <c r="C154" t="s">
        <v>1125</v>
      </c>
      <c r="D154" t="s">
        <v>1125</v>
      </c>
      <c r="E154" t="s">
        <v>1130</v>
      </c>
      <c r="J154">
        <f>LEN(Table13[[#This Row],[REFERENCE_DESCR1]])</f>
        <v>15</v>
      </c>
    </row>
    <row r="155" spans="1:10" hidden="1">
      <c r="A155" t="s">
        <v>1124</v>
      </c>
      <c r="B155">
        <v>1941</v>
      </c>
      <c r="C155" t="s">
        <v>1125</v>
      </c>
      <c r="D155" t="s">
        <v>1125</v>
      </c>
      <c r="E155" t="s">
        <v>1131</v>
      </c>
      <c r="J155">
        <f>LEN(Table13[[#This Row],[REFERENCE_DESCR1]])</f>
        <v>15</v>
      </c>
    </row>
    <row r="156" spans="1:10" hidden="1">
      <c r="A156" t="s">
        <v>1124</v>
      </c>
      <c r="B156">
        <v>1942</v>
      </c>
      <c r="C156" t="s">
        <v>1125</v>
      </c>
      <c r="D156" t="s">
        <v>1125</v>
      </c>
      <c r="E156" t="s">
        <v>1131</v>
      </c>
      <c r="J156">
        <f>LEN(Table13[[#This Row],[REFERENCE_DESCR1]])</f>
        <v>15</v>
      </c>
    </row>
    <row r="157" spans="1:10" hidden="1">
      <c r="A157" t="s">
        <v>1124</v>
      </c>
      <c r="B157">
        <v>1943</v>
      </c>
      <c r="C157" t="s">
        <v>1125</v>
      </c>
      <c r="D157" t="s">
        <v>1125</v>
      </c>
      <c r="E157" t="s">
        <v>1131</v>
      </c>
      <c r="J157">
        <f>LEN(Table13[[#This Row],[REFERENCE_DESCR1]])</f>
        <v>15</v>
      </c>
    </row>
    <row r="158" spans="1:10" hidden="1">
      <c r="A158" t="s">
        <v>1124</v>
      </c>
      <c r="B158">
        <v>1944</v>
      </c>
      <c r="C158" t="s">
        <v>1125</v>
      </c>
      <c r="D158" t="s">
        <v>1125</v>
      </c>
      <c r="E158" t="s">
        <v>1131</v>
      </c>
      <c r="J158">
        <f>LEN(Table13[[#This Row],[REFERENCE_DESCR1]])</f>
        <v>15</v>
      </c>
    </row>
    <row r="159" spans="1:10" hidden="1">
      <c r="A159" t="s">
        <v>1124</v>
      </c>
      <c r="B159">
        <v>1945</v>
      </c>
      <c r="C159" t="s">
        <v>1125</v>
      </c>
      <c r="D159" t="s">
        <v>1125</v>
      </c>
      <c r="E159" t="s">
        <v>1131</v>
      </c>
      <c r="J159">
        <f>LEN(Table13[[#This Row],[REFERENCE_DESCR1]])</f>
        <v>15</v>
      </c>
    </row>
    <row r="160" spans="1:10" hidden="1">
      <c r="A160" t="s">
        <v>1124</v>
      </c>
      <c r="B160">
        <v>1946</v>
      </c>
      <c r="C160" t="s">
        <v>1125</v>
      </c>
      <c r="D160" t="s">
        <v>1125</v>
      </c>
      <c r="E160" t="s">
        <v>1131</v>
      </c>
      <c r="J160">
        <f>LEN(Table13[[#This Row],[REFERENCE_DESCR1]])</f>
        <v>15</v>
      </c>
    </row>
    <row r="161" spans="1:10" hidden="1">
      <c r="A161" t="s">
        <v>1124</v>
      </c>
      <c r="B161">
        <v>1947</v>
      </c>
      <c r="C161" t="s">
        <v>1125</v>
      </c>
      <c r="D161" t="s">
        <v>1125</v>
      </c>
      <c r="E161" t="s">
        <v>1131</v>
      </c>
      <c r="J161">
        <f>LEN(Table13[[#This Row],[REFERENCE_DESCR1]])</f>
        <v>15</v>
      </c>
    </row>
    <row r="162" spans="1:10" hidden="1">
      <c r="A162" t="s">
        <v>1124</v>
      </c>
      <c r="B162">
        <v>1948</v>
      </c>
      <c r="C162" t="s">
        <v>1132</v>
      </c>
      <c r="D162" t="s">
        <v>1132</v>
      </c>
      <c r="E162" t="s">
        <v>1131</v>
      </c>
      <c r="J162">
        <f>LEN(Table13[[#This Row],[REFERENCE_DESCR1]])</f>
        <v>9</v>
      </c>
    </row>
    <row r="163" spans="1:10" hidden="1">
      <c r="A163" t="s">
        <v>1124</v>
      </c>
      <c r="B163">
        <v>1949</v>
      </c>
      <c r="C163" t="s">
        <v>1132</v>
      </c>
      <c r="D163" t="s">
        <v>1132</v>
      </c>
      <c r="E163" t="s">
        <v>1131</v>
      </c>
      <c r="J163">
        <f>LEN(Table13[[#This Row],[REFERENCE_DESCR1]])</f>
        <v>9</v>
      </c>
    </row>
    <row r="164" spans="1:10" hidden="1">
      <c r="A164" t="s">
        <v>1124</v>
      </c>
      <c r="B164">
        <v>1950</v>
      </c>
      <c r="C164" t="s">
        <v>1132</v>
      </c>
      <c r="D164" t="s">
        <v>1132</v>
      </c>
      <c r="E164" t="s">
        <v>1131</v>
      </c>
      <c r="J164">
        <f>LEN(Table13[[#This Row],[REFERENCE_DESCR1]])</f>
        <v>9</v>
      </c>
    </row>
    <row r="165" spans="1:10" hidden="1">
      <c r="A165" t="s">
        <v>1124</v>
      </c>
      <c r="B165">
        <v>1951</v>
      </c>
      <c r="C165" t="s">
        <v>1132</v>
      </c>
      <c r="D165" t="s">
        <v>1132</v>
      </c>
      <c r="E165" t="s">
        <v>1133</v>
      </c>
      <c r="J165">
        <f>LEN(Table13[[#This Row],[REFERENCE_DESCR1]])</f>
        <v>9</v>
      </c>
    </row>
    <row r="166" spans="1:10" hidden="1">
      <c r="A166" t="s">
        <v>1124</v>
      </c>
      <c r="B166">
        <v>1952</v>
      </c>
      <c r="C166" t="s">
        <v>1132</v>
      </c>
      <c r="D166" t="s">
        <v>1132</v>
      </c>
      <c r="E166" t="s">
        <v>1133</v>
      </c>
      <c r="J166">
        <f>LEN(Table13[[#This Row],[REFERENCE_DESCR1]])</f>
        <v>9</v>
      </c>
    </row>
    <row r="167" spans="1:10" hidden="1">
      <c r="A167" t="s">
        <v>1124</v>
      </c>
      <c r="B167">
        <v>1953</v>
      </c>
      <c r="C167" t="s">
        <v>1132</v>
      </c>
      <c r="D167" t="s">
        <v>1132</v>
      </c>
      <c r="E167" t="s">
        <v>1133</v>
      </c>
      <c r="J167">
        <f>LEN(Table13[[#This Row],[REFERENCE_DESCR1]])</f>
        <v>9</v>
      </c>
    </row>
    <row r="168" spans="1:10" hidden="1">
      <c r="A168" t="s">
        <v>1124</v>
      </c>
      <c r="B168">
        <v>1954</v>
      </c>
      <c r="C168" t="s">
        <v>1132</v>
      </c>
      <c r="D168" t="s">
        <v>1132</v>
      </c>
      <c r="E168" t="s">
        <v>1133</v>
      </c>
      <c r="J168">
        <f>LEN(Table13[[#This Row],[REFERENCE_DESCR1]])</f>
        <v>9</v>
      </c>
    </row>
    <row r="169" spans="1:10" hidden="1">
      <c r="A169" t="s">
        <v>1124</v>
      </c>
      <c r="B169">
        <v>1955</v>
      </c>
      <c r="C169" t="s">
        <v>1132</v>
      </c>
      <c r="D169" t="s">
        <v>1132</v>
      </c>
      <c r="E169" t="s">
        <v>1133</v>
      </c>
      <c r="J169">
        <f>LEN(Table13[[#This Row],[REFERENCE_DESCR1]])</f>
        <v>9</v>
      </c>
    </row>
    <row r="170" spans="1:10" hidden="1">
      <c r="A170" t="s">
        <v>1124</v>
      </c>
      <c r="B170">
        <v>1956</v>
      </c>
      <c r="C170" t="s">
        <v>1132</v>
      </c>
      <c r="D170" t="s">
        <v>1132</v>
      </c>
      <c r="E170" t="s">
        <v>1133</v>
      </c>
      <c r="J170">
        <f>LEN(Table13[[#This Row],[REFERENCE_DESCR1]])</f>
        <v>9</v>
      </c>
    </row>
    <row r="171" spans="1:10" hidden="1">
      <c r="A171" t="s">
        <v>1124</v>
      </c>
      <c r="B171">
        <v>1957</v>
      </c>
      <c r="C171" t="s">
        <v>1132</v>
      </c>
      <c r="D171" t="s">
        <v>1132</v>
      </c>
      <c r="E171" t="s">
        <v>1133</v>
      </c>
      <c r="J171">
        <f>LEN(Table13[[#This Row],[REFERENCE_DESCR1]])</f>
        <v>9</v>
      </c>
    </row>
    <row r="172" spans="1:10" hidden="1">
      <c r="A172" t="s">
        <v>1124</v>
      </c>
      <c r="B172">
        <v>1958</v>
      </c>
      <c r="C172" t="s">
        <v>1132</v>
      </c>
      <c r="D172" t="s">
        <v>1132</v>
      </c>
      <c r="E172" t="s">
        <v>1133</v>
      </c>
      <c r="J172">
        <f>LEN(Table13[[#This Row],[REFERENCE_DESCR1]])</f>
        <v>9</v>
      </c>
    </row>
    <row r="173" spans="1:10" hidden="1">
      <c r="A173" t="s">
        <v>1124</v>
      </c>
      <c r="B173">
        <v>1959</v>
      </c>
      <c r="C173" t="s">
        <v>1132</v>
      </c>
      <c r="D173" t="s">
        <v>1132</v>
      </c>
      <c r="E173" t="s">
        <v>1133</v>
      </c>
      <c r="J173">
        <f>LEN(Table13[[#This Row],[REFERENCE_DESCR1]])</f>
        <v>9</v>
      </c>
    </row>
    <row r="174" spans="1:10" hidden="1">
      <c r="A174" t="s">
        <v>1124</v>
      </c>
      <c r="B174">
        <v>1960</v>
      </c>
      <c r="C174" t="s">
        <v>1132</v>
      </c>
      <c r="D174" t="s">
        <v>1132</v>
      </c>
      <c r="E174" t="s">
        <v>1133</v>
      </c>
      <c r="J174">
        <f>LEN(Table13[[#This Row],[REFERENCE_DESCR1]])</f>
        <v>9</v>
      </c>
    </row>
    <row r="175" spans="1:10" hidden="1">
      <c r="A175" t="s">
        <v>1124</v>
      </c>
      <c r="B175">
        <v>1961</v>
      </c>
      <c r="C175" t="s">
        <v>1132</v>
      </c>
      <c r="D175" t="s">
        <v>1132</v>
      </c>
      <c r="E175" t="s">
        <v>1134</v>
      </c>
      <c r="J175">
        <f>LEN(Table13[[#This Row],[REFERENCE_DESCR1]])</f>
        <v>9</v>
      </c>
    </row>
    <row r="176" spans="1:10" hidden="1">
      <c r="A176" t="s">
        <v>1124</v>
      </c>
      <c r="B176">
        <v>1962</v>
      </c>
      <c r="C176" t="s">
        <v>1132</v>
      </c>
      <c r="D176" t="s">
        <v>1132</v>
      </c>
      <c r="E176" t="s">
        <v>1134</v>
      </c>
      <c r="J176">
        <f>LEN(Table13[[#This Row],[REFERENCE_DESCR1]])</f>
        <v>9</v>
      </c>
    </row>
    <row r="177" spans="1:10" hidden="1">
      <c r="A177" t="s">
        <v>1124</v>
      </c>
      <c r="B177">
        <v>1963</v>
      </c>
      <c r="C177" t="s">
        <v>1132</v>
      </c>
      <c r="D177" t="s">
        <v>1132</v>
      </c>
      <c r="E177" t="s">
        <v>1134</v>
      </c>
      <c r="J177">
        <f>LEN(Table13[[#This Row],[REFERENCE_DESCR1]])</f>
        <v>9</v>
      </c>
    </row>
    <row r="178" spans="1:10" hidden="1">
      <c r="A178" t="s">
        <v>1124</v>
      </c>
      <c r="B178">
        <v>1964</v>
      </c>
      <c r="C178" t="s">
        <v>1132</v>
      </c>
      <c r="D178" t="s">
        <v>1132</v>
      </c>
      <c r="E178" t="s">
        <v>1134</v>
      </c>
      <c r="J178">
        <f>LEN(Table13[[#This Row],[REFERENCE_DESCR1]])</f>
        <v>9</v>
      </c>
    </row>
    <row r="179" spans="1:10" hidden="1">
      <c r="A179" t="s">
        <v>1124</v>
      </c>
      <c r="B179">
        <v>1965</v>
      </c>
      <c r="C179" t="s">
        <v>1132</v>
      </c>
      <c r="D179" t="s">
        <v>1132</v>
      </c>
      <c r="E179" t="s">
        <v>1134</v>
      </c>
      <c r="J179">
        <f>LEN(Table13[[#This Row],[REFERENCE_DESCR1]])</f>
        <v>9</v>
      </c>
    </row>
    <row r="180" spans="1:10" hidden="1">
      <c r="A180" t="s">
        <v>1124</v>
      </c>
      <c r="B180">
        <v>1966</v>
      </c>
      <c r="C180" t="s">
        <v>1132</v>
      </c>
      <c r="D180" t="s">
        <v>1132</v>
      </c>
      <c r="E180" t="s">
        <v>1134</v>
      </c>
      <c r="J180">
        <f>LEN(Table13[[#This Row],[REFERENCE_DESCR1]])</f>
        <v>9</v>
      </c>
    </row>
    <row r="181" spans="1:10" hidden="1">
      <c r="A181" t="s">
        <v>1124</v>
      </c>
      <c r="B181">
        <v>1967</v>
      </c>
      <c r="C181" t="s">
        <v>1132</v>
      </c>
      <c r="D181" t="s">
        <v>1132</v>
      </c>
      <c r="E181" t="s">
        <v>1134</v>
      </c>
      <c r="J181">
        <f>LEN(Table13[[#This Row],[REFERENCE_DESCR1]])</f>
        <v>9</v>
      </c>
    </row>
    <row r="182" spans="1:10" hidden="1">
      <c r="A182" t="s">
        <v>1124</v>
      </c>
      <c r="B182">
        <v>1968</v>
      </c>
      <c r="C182" t="s">
        <v>1132</v>
      </c>
      <c r="D182" t="s">
        <v>1132</v>
      </c>
      <c r="E182" t="s">
        <v>1134</v>
      </c>
      <c r="J182">
        <f>LEN(Table13[[#This Row],[REFERENCE_DESCR1]])</f>
        <v>9</v>
      </c>
    </row>
    <row r="183" spans="1:10" hidden="1">
      <c r="A183" t="s">
        <v>1124</v>
      </c>
      <c r="B183">
        <v>1969</v>
      </c>
      <c r="C183" t="s">
        <v>1132</v>
      </c>
      <c r="D183" t="s">
        <v>1132</v>
      </c>
      <c r="E183" t="s">
        <v>1134</v>
      </c>
      <c r="J183">
        <f>LEN(Table13[[#This Row],[REFERENCE_DESCR1]])</f>
        <v>9</v>
      </c>
    </row>
    <row r="184" spans="1:10" hidden="1">
      <c r="A184" t="s">
        <v>1124</v>
      </c>
      <c r="B184">
        <v>1970</v>
      </c>
      <c r="C184" t="s">
        <v>1132</v>
      </c>
      <c r="D184" t="s">
        <v>1132</v>
      </c>
      <c r="E184" t="s">
        <v>1134</v>
      </c>
      <c r="J184">
        <f>LEN(Table13[[#This Row],[REFERENCE_DESCR1]])</f>
        <v>9</v>
      </c>
    </row>
    <row r="185" spans="1:10" hidden="1">
      <c r="A185" t="s">
        <v>1124</v>
      </c>
      <c r="B185">
        <v>1971</v>
      </c>
      <c r="C185" t="s">
        <v>1132</v>
      </c>
      <c r="D185" t="s">
        <v>1132</v>
      </c>
      <c r="E185" t="s">
        <v>1135</v>
      </c>
      <c r="J185">
        <f>LEN(Table13[[#This Row],[REFERENCE_DESCR1]])</f>
        <v>9</v>
      </c>
    </row>
    <row r="186" spans="1:10" hidden="1">
      <c r="A186" t="s">
        <v>1124</v>
      </c>
      <c r="B186">
        <v>1972</v>
      </c>
      <c r="C186" t="s">
        <v>1132</v>
      </c>
      <c r="D186" t="s">
        <v>1132</v>
      </c>
      <c r="E186" t="s">
        <v>1135</v>
      </c>
      <c r="J186">
        <f>LEN(Table13[[#This Row],[REFERENCE_DESCR1]])</f>
        <v>9</v>
      </c>
    </row>
    <row r="187" spans="1:10" hidden="1">
      <c r="A187" t="s">
        <v>1124</v>
      </c>
      <c r="B187">
        <v>1973</v>
      </c>
      <c r="C187" t="s">
        <v>1132</v>
      </c>
      <c r="D187" t="s">
        <v>1132</v>
      </c>
      <c r="E187" t="s">
        <v>1135</v>
      </c>
      <c r="J187">
        <f>LEN(Table13[[#This Row],[REFERENCE_DESCR1]])</f>
        <v>9</v>
      </c>
    </row>
    <row r="188" spans="1:10" hidden="1">
      <c r="A188" t="s">
        <v>1124</v>
      </c>
      <c r="B188">
        <v>1974</v>
      </c>
      <c r="C188" t="s">
        <v>1132</v>
      </c>
      <c r="D188" t="s">
        <v>1132</v>
      </c>
      <c r="E188" t="s">
        <v>1135</v>
      </c>
      <c r="J188">
        <f>LEN(Table13[[#This Row],[REFERENCE_DESCR1]])</f>
        <v>9</v>
      </c>
    </row>
    <row r="189" spans="1:10" hidden="1">
      <c r="A189" t="s">
        <v>1124</v>
      </c>
      <c r="B189">
        <v>1975</v>
      </c>
      <c r="C189" t="s">
        <v>1132</v>
      </c>
      <c r="D189" t="s">
        <v>1132</v>
      </c>
      <c r="E189" t="s">
        <v>1135</v>
      </c>
      <c r="J189">
        <f>LEN(Table13[[#This Row],[REFERENCE_DESCR1]])</f>
        <v>9</v>
      </c>
    </row>
    <row r="190" spans="1:10" hidden="1">
      <c r="A190" t="s">
        <v>1124</v>
      </c>
      <c r="B190">
        <v>1976</v>
      </c>
      <c r="C190" t="s">
        <v>1132</v>
      </c>
      <c r="D190" t="s">
        <v>1132</v>
      </c>
      <c r="E190" t="s">
        <v>1135</v>
      </c>
      <c r="J190">
        <f>LEN(Table13[[#This Row],[REFERENCE_DESCR1]])</f>
        <v>9</v>
      </c>
    </row>
    <row r="191" spans="1:10" hidden="1">
      <c r="A191" t="s">
        <v>1124</v>
      </c>
      <c r="B191">
        <v>1977</v>
      </c>
      <c r="C191" t="s">
        <v>1136</v>
      </c>
      <c r="D191" t="s">
        <v>1137</v>
      </c>
      <c r="E191" t="s">
        <v>1135</v>
      </c>
      <c r="J191">
        <f>LEN(Table13[[#This Row],[REFERENCE_DESCR1]])</f>
        <v>9</v>
      </c>
    </row>
    <row r="192" spans="1:10" hidden="1">
      <c r="A192" t="s">
        <v>1124</v>
      </c>
      <c r="B192">
        <v>1978</v>
      </c>
      <c r="C192" t="s">
        <v>1136</v>
      </c>
      <c r="D192" t="s">
        <v>1137</v>
      </c>
      <c r="E192" t="s">
        <v>1135</v>
      </c>
      <c r="J192">
        <f>LEN(Table13[[#This Row],[REFERENCE_DESCR1]])</f>
        <v>9</v>
      </c>
    </row>
    <row r="193" spans="1:10" hidden="1">
      <c r="A193" t="s">
        <v>1124</v>
      </c>
      <c r="B193">
        <v>1979</v>
      </c>
      <c r="C193" t="s">
        <v>1136</v>
      </c>
      <c r="D193" t="s">
        <v>1137</v>
      </c>
      <c r="E193" t="s">
        <v>1135</v>
      </c>
      <c r="J193">
        <f>LEN(Table13[[#This Row],[REFERENCE_DESCR1]])</f>
        <v>9</v>
      </c>
    </row>
    <row r="194" spans="1:10" hidden="1">
      <c r="A194" t="s">
        <v>1124</v>
      </c>
      <c r="B194">
        <v>1980</v>
      </c>
      <c r="C194" t="s">
        <v>1136</v>
      </c>
      <c r="D194" t="s">
        <v>1137</v>
      </c>
      <c r="E194" t="s">
        <v>1135</v>
      </c>
      <c r="J194">
        <f>LEN(Table13[[#This Row],[REFERENCE_DESCR1]])</f>
        <v>9</v>
      </c>
    </row>
    <row r="195" spans="1:10" hidden="1">
      <c r="A195" t="s">
        <v>1124</v>
      </c>
      <c r="B195">
        <v>1981</v>
      </c>
      <c r="C195" t="s">
        <v>1136</v>
      </c>
      <c r="D195" t="s">
        <v>1137</v>
      </c>
      <c r="E195" t="s">
        <v>1138</v>
      </c>
      <c r="J195">
        <f>LEN(Table13[[#This Row],[REFERENCE_DESCR1]])</f>
        <v>9</v>
      </c>
    </row>
    <row r="196" spans="1:10" hidden="1">
      <c r="A196" t="s">
        <v>1124</v>
      </c>
      <c r="B196">
        <v>1982</v>
      </c>
      <c r="C196" t="s">
        <v>1136</v>
      </c>
      <c r="D196" t="s">
        <v>1137</v>
      </c>
      <c r="E196" t="s">
        <v>1138</v>
      </c>
      <c r="J196">
        <f>LEN(Table13[[#This Row],[REFERENCE_DESCR1]])</f>
        <v>9</v>
      </c>
    </row>
    <row r="197" spans="1:10" hidden="1">
      <c r="A197" t="s">
        <v>1124</v>
      </c>
      <c r="B197">
        <v>1983</v>
      </c>
      <c r="C197" t="s">
        <v>1136</v>
      </c>
      <c r="D197" t="s">
        <v>1137</v>
      </c>
      <c r="E197" t="s">
        <v>1138</v>
      </c>
      <c r="J197">
        <f>LEN(Table13[[#This Row],[REFERENCE_DESCR1]])</f>
        <v>9</v>
      </c>
    </row>
    <row r="198" spans="1:10" hidden="1">
      <c r="A198" t="s">
        <v>1124</v>
      </c>
      <c r="B198">
        <v>1984</v>
      </c>
      <c r="C198" t="s">
        <v>1136</v>
      </c>
      <c r="D198" t="s">
        <v>1137</v>
      </c>
      <c r="E198" t="s">
        <v>1138</v>
      </c>
      <c r="J198">
        <f>LEN(Table13[[#This Row],[REFERENCE_DESCR1]])</f>
        <v>9</v>
      </c>
    </row>
    <row r="199" spans="1:10" hidden="1">
      <c r="A199" t="s">
        <v>1124</v>
      </c>
      <c r="B199">
        <v>1985</v>
      </c>
      <c r="C199" t="s">
        <v>1136</v>
      </c>
      <c r="D199" t="s">
        <v>1137</v>
      </c>
      <c r="E199" t="s">
        <v>1138</v>
      </c>
      <c r="J199">
        <f>LEN(Table13[[#This Row],[REFERENCE_DESCR1]])</f>
        <v>9</v>
      </c>
    </row>
    <row r="200" spans="1:10" hidden="1">
      <c r="A200" t="s">
        <v>1124</v>
      </c>
      <c r="B200">
        <v>1986</v>
      </c>
      <c r="C200" t="s">
        <v>1136</v>
      </c>
      <c r="D200" t="s">
        <v>1137</v>
      </c>
      <c r="E200" t="s">
        <v>1138</v>
      </c>
      <c r="J200">
        <f>LEN(Table13[[#This Row],[REFERENCE_DESCR1]])</f>
        <v>9</v>
      </c>
    </row>
    <row r="201" spans="1:10" hidden="1">
      <c r="A201" t="s">
        <v>1124</v>
      </c>
      <c r="B201">
        <v>1987</v>
      </c>
      <c r="C201" t="s">
        <v>1136</v>
      </c>
      <c r="D201" t="s">
        <v>1137</v>
      </c>
      <c r="E201" t="s">
        <v>1138</v>
      </c>
      <c r="J201">
        <f>LEN(Table13[[#This Row],[REFERENCE_DESCR1]])</f>
        <v>9</v>
      </c>
    </row>
    <row r="202" spans="1:10" hidden="1">
      <c r="A202" t="s">
        <v>1124</v>
      </c>
      <c r="B202">
        <v>1988</v>
      </c>
      <c r="C202" t="s">
        <v>1136</v>
      </c>
      <c r="D202" t="s">
        <v>1137</v>
      </c>
      <c r="E202" t="s">
        <v>1138</v>
      </c>
      <c r="J202">
        <f>LEN(Table13[[#This Row],[REFERENCE_DESCR1]])</f>
        <v>9</v>
      </c>
    </row>
    <row r="203" spans="1:10" hidden="1">
      <c r="A203" t="s">
        <v>1124</v>
      </c>
      <c r="B203">
        <v>1989</v>
      </c>
      <c r="C203" t="s">
        <v>1136</v>
      </c>
      <c r="D203" t="s">
        <v>1137</v>
      </c>
      <c r="E203" t="s">
        <v>1138</v>
      </c>
      <c r="J203">
        <f>LEN(Table13[[#This Row],[REFERENCE_DESCR1]])</f>
        <v>9</v>
      </c>
    </row>
    <row r="204" spans="1:10" hidden="1">
      <c r="A204" t="s">
        <v>1124</v>
      </c>
      <c r="B204">
        <v>1990</v>
      </c>
      <c r="C204" t="s">
        <v>1136</v>
      </c>
      <c r="D204" t="s">
        <v>1137</v>
      </c>
      <c r="E204" t="s">
        <v>1138</v>
      </c>
      <c r="J204">
        <f>LEN(Table13[[#This Row],[REFERENCE_DESCR1]])</f>
        <v>9</v>
      </c>
    </row>
    <row r="205" spans="1:10" hidden="1">
      <c r="A205" t="s">
        <v>1124</v>
      </c>
      <c r="B205">
        <v>1991</v>
      </c>
      <c r="C205" t="s">
        <v>1136</v>
      </c>
      <c r="D205" t="s">
        <v>1137</v>
      </c>
      <c r="E205" t="s">
        <v>1139</v>
      </c>
      <c r="J205">
        <f>LEN(Table13[[#This Row],[REFERENCE_DESCR1]])</f>
        <v>9</v>
      </c>
    </row>
    <row r="206" spans="1:10" hidden="1">
      <c r="A206" t="s">
        <v>1124</v>
      </c>
      <c r="B206">
        <v>1992</v>
      </c>
      <c r="C206" t="s">
        <v>1136</v>
      </c>
      <c r="D206" t="s">
        <v>1137</v>
      </c>
      <c r="E206" t="s">
        <v>1139</v>
      </c>
      <c r="J206">
        <f>LEN(Table13[[#This Row],[REFERENCE_DESCR1]])</f>
        <v>9</v>
      </c>
    </row>
    <row r="207" spans="1:10" hidden="1">
      <c r="A207" t="s">
        <v>1124</v>
      </c>
      <c r="B207">
        <v>1993</v>
      </c>
      <c r="C207" t="s">
        <v>1140</v>
      </c>
      <c r="D207" t="s">
        <v>1137</v>
      </c>
      <c r="E207" t="s">
        <v>1139</v>
      </c>
      <c r="J207">
        <f>LEN(Table13[[#This Row],[REFERENCE_DESCR1]])</f>
        <v>9</v>
      </c>
    </row>
    <row r="208" spans="1:10" hidden="1">
      <c r="A208" t="s">
        <v>1124</v>
      </c>
      <c r="B208">
        <v>1994</v>
      </c>
      <c r="C208" t="s">
        <v>1140</v>
      </c>
      <c r="D208" t="s">
        <v>1137</v>
      </c>
      <c r="E208" t="s">
        <v>1139</v>
      </c>
      <c r="J208">
        <f>LEN(Table13[[#This Row],[REFERENCE_DESCR1]])</f>
        <v>9</v>
      </c>
    </row>
    <row r="209" spans="1:10" hidden="1">
      <c r="A209" t="s">
        <v>1124</v>
      </c>
      <c r="B209">
        <v>1995</v>
      </c>
      <c r="C209" t="s">
        <v>1140</v>
      </c>
      <c r="D209" t="s">
        <v>1137</v>
      </c>
      <c r="E209" t="s">
        <v>1139</v>
      </c>
      <c r="J209">
        <f>LEN(Table13[[#This Row],[REFERENCE_DESCR1]])</f>
        <v>9</v>
      </c>
    </row>
    <row r="210" spans="1:10" hidden="1">
      <c r="A210" t="s">
        <v>1124</v>
      </c>
      <c r="B210">
        <v>1996</v>
      </c>
      <c r="C210" t="s">
        <v>1140</v>
      </c>
      <c r="D210" t="s">
        <v>1137</v>
      </c>
      <c r="E210" t="s">
        <v>1139</v>
      </c>
      <c r="J210">
        <f>LEN(Table13[[#This Row],[REFERENCE_DESCR1]])</f>
        <v>9</v>
      </c>
    </row>
    <row r="211" spans="1:10" hidden="1">
      <c r="A211" t="s">
        <v>1124</v>
      </c>
      <c r="B211">
        <v>1997</v>
      </c>
      <c r="C211" t="s">
        <v>1140</v>
      </c>
      <c r="D211" t="s">
        <v>1137</v>
      </c>
      <c r="E211" t="s">
        <v>1139</v>
      </c>
      <c r="J211">
        <f>LEN(Table13[[#This Row],[REFERENCE_DESCR1]])</f>
        <v>9</v>
      </c>
    </row>
    <row r="212" spans="1:10" hidden="1">
      <c r="A212" t="s">
        <v>1124</v>
      </c>
      <c r="B212">
        <v>1998</v>
      </c>
      <c r="C212" t="s">
        <v>1140</v>
      </c>
      <c r="D212" t="s">
        <v>1137</v>
      </c>
      <c r="E212" t="s">
        <v>1139</v>
      </c>
      <c r="J212">
        <f>LEN(Table13[[#This Row],[REFERENCE_DESCR1]])</f>
        <v>9</v>
      </c>
    </row>
    <row r="213" spans="1:10" hidden="1">
      <c r="A213" t="s">
        <v>1124</v>
      </c>
      <c r="B213">
        <v>1999</v>
      </c>
      <c r="C213" t="s">
        <v>1140</v>
      </c>
      <c r="D213" t="s">
        <v>1137</v>
      </c>
      <c r="E213" t="s">
        <v>1139</v>
      </c>
      <c r="J213">
        <f>LEN(Table13[[#This Row],[REFERENCE_DESCR1]])</f>
        <v>9</v>
      </c>
    </row>
    <row r="214" spans="1:10" hidden="1">
      <c r="A214" t="s">
        <v>1124</v>
      </c>
      <c r="B214">
        <v>2000</v>
      </c>
      <c r="C214" t="s">
        <v>1140</v>
      </c>
      <c r="D214" t="s">
        <v>1137</v>
      </c>
      <c r="E214" t="s">
        <v>1139</v>
      </c>
      <c r="J214">
        <f>LEN(Table13[[#This Row],[REFERENCE_DESCR1]])</f>
        <v>9</v>
      </c>
    </row>
    <row r="215" spans="1:10" hidden="1">
      <c r="A215" t="s">
        <v>1124</v>
      </c>
      <c r="B215">
        <v>2001</v>
      </c>
      <c r="C215" t="s">
        <v>1140</v>
      </c>
      <c r="D215" t="s">
        <v>1137</v>
      </c>
      <c r="E215" t="s">
        <v>1141</v>
      </c>
      <c r="J215">
        <f>LEN(Table13[[#This Row],[REFERENCE_DESCR1]])</f>
        <v>9</v>
      </c>
    </row>
    <row r="216" spans="1:10" hidden="1">
      <c r="A216" t="s">
        <v>1124</v>
      </c>
      <c r="B216">
        <v>2002</v>
      </c>
      <c r="C216" t="s">
        <v>1140</v>
      </c>
      <c r="D216" t="s">
        <v>1137</v>
      </c>
      <c r="E216" t="s">
        <v>1141</v>
      </c>
      <c r="J216">
        <f>LEN(Table13[[#This Row],[REFERENCE_DESCR1]])</f>
        <v>9</v>
      </c>
    </row>
    <row r="217" spans="1:10" hidden="1">
      <c r="A217" t="s">
        <v>1124</v>
      </c>
      <c r="B217">
        <v>2003</v>
      </c>
      <c r="C217" t="s">
        <v>1140</v>
      </c>
      <c r="D217" t="s">
        <v>1137</v>
      </c>
      <c r="E217" t="s">
        <v>1141</v>
      </c>
      <c r="J217">
        <f>LEN(Table13[[#This Row],[REFERENCE_DESCR1]])</f>
        <v>9</v>
      </c>
    </row>
    <row r="218" spans="1:10" hidden="1">
      <c r="A218" t="s">
        <v>1124</v>
      </c>
      <c r="B218">
        <v>2004</v>
      </c>
      <c r="C218" t="s">
        <v>1140</v>
      </c>
      <c r="D218" t="s">
        <v>1137</v>
      </c>
      <c r="E218" t="s">
        <v>1141</v>
      </c>
      <c r="J218">
        <f>LEN(Table13[[#This Row],[REFERENCE_DESCR1]])</f>
        <v>9</v>
      </c>
    </row>
    <row r="219" spans="1:10" hidden="1">
      <c r="A219" t="s">
        <v>1124</v>
      </c>
      <c r="B219">
        <v>2005</v>
      </c>
      <c r="C219" t="s">
        <v>1142</v>
      </c>
      <c r="D219" t="s">
        <v>1137</v>
      </c>
      <c r="E219" t="s">
        <v>1141</v>
      </c>
      <c r="J219">
        <f>LEN(Table13[[#This Row],[REFERENCE_DESCR1]])</f>
        <v>14</v>
      </c>
    </row>
    <row r="220" spans="1:10" hidden="1">
      <c r="A220" t="s">
        <v>1124</v>
      </c>
      <c r="B220">
        <v>2006</v>
      </c>
      <c r="C220" t="s">
        <v>1142</v>
      </c>
      <c r="D220" t="s">
        <v>1137</v>
      </c>
      <c r="E220" t="s">
        <v>1141</v>
      </c>
      <c r="J220">
        <f>LEN(Table13[[#This Row],[REFERENCE_DESCR1]])</f>
        <v>14</v>
      </c>
    </row>
    <row r="221" spans="1:10" hidden="1">
      <c r="A221" t="s">
        <v>1124</v>
      </c>
      <c r="B221">
        <v>2007</v>
      </c>
      <c r="C221" t="s">
        <v>1142</v>
      </c>
      <c r="D221" t="s">
        <v>1137</v>
      </c>
      <c r="E221" t="s">
        <v>1141</v>
      </c>
      <c r="J221">
        <f>LEN(Table13[[#This Row],[REFERENCE_DESCR1]])</f>
        <v>14</v>
      </c>
    </row>
    <row r="222" spans="1:10" hidden="1">
      <c r="A222" t="s">
        <v>1124</v>
      </c>
      <c r="B222">
        <v>2008</v>
      </c>
      <c r="C222" t="s">
        <v>1142</v>
      </c>
      <c r="D222" t="s">
        <v>1137</v>
      </c>
      <c r="E222" t="s">
        <v>1141</v>
      </c>
      <c r="J222">
        <f>LEN(Table13[[#This Row],[REFERENCE_DESCR1]])</f>
        <v>14</v>
      </c>
    </row>
    <row r="223" spans="1:10" hidden="1">
      <c r="A223" t="s">
        <v>1124</v>
      </c>
      <c r="B223">
        <v>2009</v>
      </c>
      <c r="C223" t="s">
        <v>1142</v>
      </c>
      <c r="D223" t="s">
        <v>1137</v>
      </c>
      <c r="E223" t="s">
        <v>1141</v>
      </c>
      <c r="J223">
        <f>LEN(Table13[[#This Row],[REFERENCE_DESCR1]])</f>
        <v>14</v>
      </c>
    </row>
    <row r="224" spans="1:10" hidden="1">
      <c r="A224" t="s">
        <v>1124</v>
      </c>
      <c r="B224">
        <v>2010</v>
      </c>
      <c r="C224" t="s">
        <v>1142</v>
      </c>
      <c r="D224" t="s">
        <v>1137</v>
      </c>
      <c r="E224" t="s">
        <v>1141</v>
      </c>
      <c r="J224">
        <f>LEN(Table13[[#This Row],[REFERENCE_DESCR1]])</f>
        <v>14</v>
      </c>
    </row>
    <row r="225" spans="1:10" hidden="1">
      <c r="A225" t="s">
        <v>1124</v>
      </c>
      <c r="B225">
        <v>2011</v>
      </c>
      <c r="C225" t="s">
        <v>1142</v>
      </c>
      <c r="D225" t="s">
        <v>1137</v>
      </c>
      <c r="E225" t="s">
        <v>1143</v>
      </c>
      <c r="J225">
        <f>LEN(Table13[[#This Row],[REFERENCE_DESCR1]])</f>
        <v>14</v>
      </c>
    </row>
    <row r="226" spans="1:10" hidden="1">
      <c r="A226" t="s">
        <v>1124</v>
      </c>
      <c r="B226">
        <v>2012</v>
      </c>
      <c r="C226" t="s">
        <v>1142</v>
      </c>
      <c r="D226" t="s">
        <v>1137</v>
      </c>
      <c r="E226" t="s">
        <v>1143</v>
      </c>
      <c r="J226">
        <f>LEN(Table13[[#This Row],[REFERENCE_DESCR1]])</f>
        <v>14</v>
      </c>
    </row>
    <row r="227" spans="1:10" hidden="1">
      <c r="A227" t="s">
        <v>1124</v>
      </c>
      <c r="B227">
        <v>2013</v>
      </c>
      <c r="C227" t="s">
        <v>1142</v>
      </c>
      <c r="D227" t="s">
        <v>1137</v>
      </c>
      <c r="E227" t="s">
        <v>1143</v>
      </c>
      <c r="J227">
        <f>LEN(Table13[[#This Row],[REFERENCE_DESCR1]])</f>
        <v>14</v>
      </c>
    </row>
    <row r="228" spans="1:10" hidden="1">
      <c r="A228" t="s">
        <v>1124</v>
      </c>
      <c r="B228">
        <v>2014</v>
      </c>
      <c r="C228" t="s">
        <v>1142</v>
      </c>
      <c r="D228" t="s">
        <v>1137</v>
      </c>
      <c r="E228" t="s">
        <v>1143</v>
      </c>
      <c r="J228">
        <f>LEN(Table13[[#This Row],[REFERENCE_DESCR1]])</f>
        <v>14</v>
      </c>
    </row>
    <row r="229" spans="1:10" hidden="1">
      <c r="A229" t="s">
        <v>1124</v>
      </c>
      <c r="B229">
        <v>2015</v>
      </c>
      <c r="C229" t="s">
        <v>1142</v>
      </c>
      <c r="D229" t="s">
        <v>1137</v>
      </c>
      <c r="E229" t="s">
        <v>1143</v>
      </c>
      <c r="J229">
        <f>LEN(Table13[[#This Row],[REFERENCE_DESCR1]])</f>
        <v>14</v>
      </c>
    </row>
    <row r="230" spans="1:10" hidden="1">
      <c r="A230" t="s">
        <v>1124</v>
      </c>
      <c r="B230">
        <v>2016</v>
      </c>
      <c r="C230" t="s">
        <v>1142</v>
      </c>
      <c r="D230" t="s">
        <v>1137</v>
      </c>
      <c r="E230" t="s">
        <v>1143</v>
      </c>
      <c r="J230">
        <f>LEN(Table13[[#This Row],[REFERENCE_DESCR1]])</f>
        <v>14</v>
      </c>
    </row>
    <row r="231" spans="1:10" hidden="1">
      <c r="A231" t="s">
        <v>1124</v>
      </c>
      <c r="B231">
        <v>2017</v>
      </c>
      <c r="C231" t="s">
        <v>1142</v>
      </c>
      <c r="D231" t="s">
        <v>1137</v>
      </c>
      <c r="E231" t="s">
        <v>1143</v>
      </c>
      <c r="J231">
        <f>LEN(Table13[[#This Row],[REFERENCE_DESCR1]])</f>
        <v>14</v>
      </c>
    </row>
    <row r="232" spans="1:10" hidden="1">
      <c r="A232" t="s">
        <v>1124</v>
      </c>
      <c r="B232">
        <v>2018</v>
      </c>
      <c r="C232" t="s">
        <v>1142</v>
      </c>
      <c r="D232" t="s">
        <v>1137</v>
      </c>
      <c r="E232" t="s">
        <v>1143</v>
      </c>
      <c r="J232">
        <f>LEN(Table13[[#This Row],[REFERENCE_DESCR1]])</f>
        <v>14</v>
      </c>
    </row>
    <row r="233" spans="1:10" hidden="1">
      <c r="A233" t="s">
        <v>1124</v>
      </c>
      <c r="B233">
        <v>2019</v>
      </c>
      <c r="C233" t="s">
        <v>1142</v>
      </c>
      <c r="D233" t="s">
        <v>1137</v>
      </c>
      <c r="E233" t="s">
        <v>1143</v>
      </c>
      <c r="J233">
        <f>LEN(Table13[[#This Row],[REFERENCE_DESCR1]])</f>
        <v>14</v>
      </c>
    </row>
    <row r="234" spans="1:10" hidden="1">
      <c r="A234" t="s">
        <v>1124</v>
      </c>
      <c r="B234">
        <v>2020</v>
      </c>
      <c r="C234" t="s">
        <v>1142</v>
      </c>
      <c r="D234" t="s">
        <v>1137</v>
      </c>
      <c r="E234" t="s">
        <v>1143</v>
      </c>
      <c r="J234">
        <f>LEN(Table13[[#This Row],[REFERENCE_DESCR1]])</f>
        <v>14</v>
      </c>
    </row>
    <row r="235" spans="1:10" hidden="1">
      <c r="A235" t="s">
        <v>1124</v>
      </c>
      <c r="B235">
        <v>2021</v>
      </c>
      <c r="C235" t="s">
        <v>1142</v>
      </c>
      <c r="D235" t="s">
        <v>1137</v>
      </c>
      <c r="E235" t="s">
        <v>1144</v>
      </c>
      <c r="J235">
        <f>LEN(Table13[[#This Row],[REFERENCE_DESCR1]])</f>
        <v>14</v>
      </c>
    </row>
    <row r="236" spans="1:10" hidden="1">
      <c r="A236" t="s">
        <v>1124</v>
      </c>
      <c r="B236">
        <v>2022</v>
      </c>
      <c r="C236" t="s">
        <v>1142</v>
      </c>
      <c r="D236" t="s">
        <v>1137</v>
      </c>
      <c r="E236" t="s">
        <v>1144</v>
      </c>
      <c r="J236">
        <f>LEN(Table13[[#This Row],[REFERENCE_DESCR1]])</f>
        <v>14</v>
      </c>
    </row>
    <row r="237" spans="1:10" hidden="1">
      <c r="A237" t="s">
        <v>1124</v>
      </c>
      <c r="B237">
        <v>2023</v>
      </c>
      <c r="C237" t="s">
        <v>1142</v>
      </c>
      <c r="D237" t="s">
        <v>1137</v>
      </c>
      <c r="E237" t="s">
        <v>1144</v>
      </c>
      <c r="J237">
        <f>LEN(Table13[[#This Row],[REFERENCE_DESCR1]])</f>
        <v>14</v>
      </c>
    </row>
    <row r="238" spans="1:10" hidden="1">
      <c r="A238" t="s">
        <v>1124</v>
      </c>
      <c r="B238">
        <v>2024</v>
      </c>
      <c r="C238" t="s">
        <v>1142</v>
      </c>
      <c r="D238" t="s">
        <v>1137</v>
      </c>
      <c r="E238" t="s">
        <v>1144</v>
      </c>
      <c r="J238">
        <f>LEN(Table13[[#This Row],[REFERENCE_DESCR1]])</f>
        <v>14</v>
      </c>
    </row>
    <row r="239" spans="1:10" hidden="1">
      <c r="A239" t="s">
        <v>1124</v>
      </c>
      <c r="B239">
        <v>2025</v>
      </c>
      <c r="C239" t="s">
        <v>1142</v>
      </c>
      <c r="D239" t="s">
        <v>1137</v>
      </c>
      <c r="E239" t="s">
        <v>1144</v>
      </c>
      <c r="J239">
        <f>LEN(Table13[[#This Row],[REFERENCE_DESCR1]])</f>
        <v>14</v>
      </c>
    </row>
    <row r="240" spans="1:10" hidden="1">
      <c r="A240" t="s">
        <v>1124</v>
      </c>
      <c r="B240">
        <v>9999</v>
      </c>
      <c r="C240" t="s">
        <v>1125</v>
      </c>
      <c r="D240" t="s">
        <v>1125</v>
      </c>
      <c r="E240" t="s">
        <v>1133</v>
      </c>
      <c r="J240">
        <f>LEN(Table13[[#This Row],[REFERENCE_DESCR1]])</f>
        <v>15</v>
      </c>
    </row>
    <row r="241" spans="1:10" hidden="1">
      <c r="A241" t="s">
        <v>1145</v>
      </c>
      <c r="B241" t="s">
        <v>1146</v>
      </c>
      <c r="C241" t="s">
        <v>1147</v>
      </c>
      <c r="J241">
        <f>LEN(Table13[[#This Row],[REFERENCE_DESCR1]])</f>
        <v>9</v>
      </c>
    </row>
    <row r="242" spans="1:10" hidden="1">
      <c r="A242" t="s">
        <v>1145</v>
      </c>
      <c r="B242" t="s">
        <v>1148</v>
      </c>
      <c r="C242" t="s">
        <v>1149</v>
      </c>
      <c r="J242">
        <f>LEN(Table13[[#This Row],[REFERENCE_DESCR1]])</f>
        <v>5</v>
      </c>
    </row>
    <row r="243" spans="1:10" hidden="1">
      <c r="A243" t="s">
        <v>1145</v>
      </c>
      <c r="B243" t="s">
        <v>1150</v>
      </c>
      <c r="C243" t="s">
        <v>1151</v>
      </c>
      <c r="J243">
        <f>LEN(Table13[[#This Row],[REFERENCE_DESCR1]])</f>
        <v>19</v>
      </c>
    </row>
    <row r="244" spans="1:10" hidden="1">
      <c r="A244" t="s">
        <v>1145</v>
      </c>
      <c r="B244" t="s">
        <v>1152</v>
      </c>
      <c r="C244" t="s">
        <v>1153</v>
      </c>
      <c r="J244">
        <f>LEN(Table13[[#This Row],[REFERENCE_DESCR1]])</f>
        <v>7</v>
      </c>
    </row>
    <row r="245" spans="1:10" hidden="1">
      <c r="A245" t="s">
        <v>1145</v>
      </c>
      <c r="B245" t="s">
        <v>1154</v>
      </c>
      <c r="C245" t="s">
        <v>1155</v>
      </c>
      <c r="J245">
        <f>LEN(Table13[[#This Row],[REFERENCE_DESCR1]])</f>
        <v>6</v>
      </c>
    </row>
    <row r="246" spans="1:10" hidden="1">
      <c r="A246" t="s">
        <v>1145</v>
      </c>
      <c r="B246" t="s">
        <v>1156</v>
      </c>
      <c r="C246" t="s">
        <v>1157</v>
      </c>
      <c r="J246">
        <f>LEN(Table13[[#This Row],[REFERENCE_DESCR1]])</f>
        <v>6</v>
      </c>
    </row>
    <row r="247" spans="1:10" hidden="1">
      <c r="A247" t="s">
        <v>1158</v>
      </c>
      <c r="B247" t="s">
        <v>1159</v>
      </c>
      <c r="C247" t="s">
        <v>1160</v>
      </c>
      <c r="J247">
        <f>LEN(Table13[[#This Row],[REFERENCE_DESCR1]])</f>
        <v>40</v>
      </c>
    </row>
    <row r="248" spans="1:10" hidden="1">
      <c r="A248" t="s">
        <v>1158</v>
      </c>
      <c r="B248" t="s">
        <v>1161</v>
      </c>
      <c r="C248" t="s">
        <v>1162</v>
      </c>
      <c r="J248">
        <f>LEN(Table13[[#This Row],[REFERENCE_DESCR1]])</f>
        <v>40</v>
      </c>
    </row>
    <row r="249" spans="1:10" hidden="1">
      <c r="A249" t="s">
        <v>1158</v>
      </c>
      <c r="B249" t="s">
        <v>1163</v>
      </c>
      <c r="C249" t="s">
        <v>1164</v>
      </c>
      <c r="J249">
        <f>LEN(Table13[[#This Row],[REFERENCE_DESCR1]])</f>
        <v>32</v>
      </c>
    </row>
    <row r="250" spans="1:10" hidden="1">
      <c r="A250" t="s">
        <v>1158</v>
      </c>
      <c r="B250" t="s">
        <v>1165</v>
      </c>
      <c r="C250" t="s">
        <v>1166</v>
      </c>
      <c r="J250">
        <f>LEN(Table13[[#This Row],[REFERENCE_DESCR1]])</f>
        <v>35</v>
      </c>
    </row>
    <row r="251" spans="1:10" hidden="1">
      <c r="A251" t="s">
        <v>1158</v>
      </c>
      <c r="B251" t="s">
        <v>1167</v>
      </c>
      <c r="C251" t="s">
        <v>1168</v>
      </c>
      <c r="J251">
        <f>LEN(Table13[[#This Row],[REFERENCE_DESCR1]])</f>
        <v>24</v>
      </c>
    </row>
    <row r="252" spans="1:10" hidden="1">
      <c r="A252" t="s">
        <v>1158</v>
      </c>
      <c r="B252" t="s">
        <v>1169</v>
      </c>
      <c r="C252" t="s">
        <v>1170</v>
      </c>
      <c r="J252">
        <f>LEN(Table13[[#This Row],[REFERENCE_DESCR1]])</f>
        <v>10</v>
      </c>
    </row>
    <row r="253" spans="1:10" hidden="1">
      <c r="A253" t="s">
        <v>1158</v>
      </c>
      <c r="B253" t="s">
        <v>1171</v>
      </c>
      <c r="C253" t="s">
        <v>1172</v>
      </c>
      <c r="J253">
        <f>LEN(Table13[[#This Row],[REFERENCE_DESCR1]])</f>
        <v>23</v>
      </c>
    </row>
    <row r="254" spans="1:10" hidden="1">
      <c r="A254" t="s">
        <v>1158</v>
      </c>
      <c r="B254" t="s">
        <v>1173</v>
      </c>
      <c r="C254" t="s">
        <v>1174</v>
      </c>
      <c r="J254">
        <f>LEN(Table13[[#This Row],[REFERENCE_DESCR1]])</f>
        <v>39</v>
      </c>
    </row>
    <row r="255" spans="1:10" hidden="1">
      <c r="A255" t="s">
        <v>1158</v>
      </c>
      <c r="B255" t="s">
        <v>1175</v>
      </c>
      <c r="C255" t="s">
        <v>1176</v>
      </c>
      <c r="J255">
        <f>LEN(Table13[[#This Row],[REFERENCE_DESCR1]])</f>
        <v>11</v>
      </c>
    </row>
    <row r="256" spans="1:10" hidden="1">
      <c r="A256" t="s">
        <v>1158</v>
      </c>
      <c r="B256" t="s">
        <v>1177</v>
      </c>
      <c r="C256" t="s">
        <v>1178</v>
      </c>
      <c r="J256">
        <f>LEN(Table13[[#This Row],[REFERENCE_DESCR1]])</f>
        <v>25</v>
      </c>
    </row>
    <row r="257" spans="1:10" hidden="1">
      <c r="A257" t="s">
        <v>1158</v>
      </c>
      <c r="B257" t="s">
        <v>1179</v>
      </c>
      <c r="C257" t="s">
        <v>1180</v>
      </c>
      <c r="J257">
        <f>LEN(Table13[[#This Row],[REFERENCE_DESCR1]])</f>
        <v>13</v>
      </c>
    </row>
    <row r="258" spans="1:10" hidden="1">
      <c r="A258" t="s">
        <v>1158</v>
      </c>
      <c r="B258" t="s">
        <v>1181</v>
      </c>
      <c r="C258" t="s">
        <v>1182</v>
      </c>
      <c r="J258">
        <f>LEN(Table13[[#This Row],[REFERENCE_DESCR1]])</f>
        <v>27</v>
      </c>
    </row>
    <row r="259" spans="1:10" hidden="1">
      <c r="A259" t="s">
        <v>1158</v>
      </c>
      <c r="B259" t="s">
        <v>1183</v>
      </c>
      <c r="C259" t="s">
        <v>1184</v>
      </c>
      <c r="J259">
        <f>LEN(Table13[[#This Row],[REFERENCE_DESCR1]])</f>
        <v>33</v>
      </c>
    </row>
    <row r="260" spans="1:10" hidden="1">
      <c r="A260" t="s">
        <v>1158</v>
      </c>
      <c r="B260" t="s">
        <v>1185</v>
      </c>
      <c r="C260" t="s">
        <v>1186</v>
      </c>
      <c r="J260">
        <f>LEN(Table13[[#This Row],[REFERENCE_DESCR1]])</f>
        <v>24</v>
      </c>
    </row>
    <row r="261" spans="1:10" hidden="1">
      <c r="A261" t="s">
        <v>1158</v>
      </c>
      <c r="B261" t="s">
        <v>1187</v>
      </c>
      <c r="C261" t="s">
        <v>1188</v>
      </c>
      <c r="J261">
        <f>LEN(Table13[[#This Row],[REFERENCE_DESCR1]])</f>
        <v>10</v>
      </c>
    </row>
    <row r="262" spans="1:10" hidden="1">
      <c r="A262" t="s">
        <v>1158</v>
      </c>
      <c r="B262" t="s">
        <v>1189</v>
      </c>
      <c r="C262" t="s">
        <v>1190</v>
      </c>
      <c r="J262">
        <f>LEN(Table13[[#This Row],[REFERENCE_DESCR1]])</f>
        <v>27</v>
      </c>
    </row>
    <row r="263" spans="1:10" hidden="1">
      <c r="A263" t="s">
        <v>1158</v>
      </c>
      <c r="B263" t="s">
        <v>1191</v>
      </c>
      <c r="C263" t="s">
        <v>1192</v>
      </c>
      <c r="J263">
        <f>LEN(Table13[[#This Row],[REFERENCE_DESCR1]])</f>
        <v>19</v>
      </c>
    </row>
    <row r="264" spans="1:10" hidden="1">
      <c r="A264" t="s">
        <v>1158</v>
      </c>
      <c r="B264" t="s">
        <v>1193</v>
      </c>
      <c r="C264" t="s">
        <v>1194</v>
      </c>
      <c r="J264">
        <f>LEN(Table13[[#This Row],[REFERENCE_DESCR1]])</f>
        <v>30</v>
      </c>
    </row>
    <row r="265" spans="1:10" hidden="1">
      <c r="A265" t="s">
        <v>1158</v>
      </c>
      <c r="B265" t="s">
        <v>1195</v>
      </c>
      <c r="C265" t="s">
        <v>1196</v>
      </c>
      <c r="J265">
        <f>LEN(Table13[[#This Row],[REFERENCE_DESCR1]])</f>
        <v>34</v>
      </c>
    </row>
    <row r="266" spans="1:10" hidden="1">
      <c r="A266" t="s">
        <v>1158</v>
      </c>
      <c r="B266" t="s">
        <v>1197</v>
      </c>
      <c r="C266" t="s">
        <v>1198</v>
      </c>
      <c r="J266">
        <f>LEN(Table13[[#This Row],[REFERENCE_DESCR1]])</f>
        <v>34</v>
      </c>
    </row>
    <row r="267" spans="1:10" hidden="1">
      <c r="A267" t="s">
        <v>1158</v>
      </c>
      <c r="B267" t="s">
        <v>1199</v>
      </c>
      <c r="C267" t="s">
        <v>1200</v>
      </c>
      <c r="J267">
        <f>LEN(Table13[[#This Row],[REFERENCE_DESCR1]])</f>
        <v>40</v>
      </c>
    </row>
    <row r="268" spans="1:10" hidden="1">
      <c r="A268" t="s">
        <v>1158</v>
      </c>
      <c r="B268" t="s">
        <v>1201</v>
      </c>
      <c r="C268" t="s">
        <v>1202</v>
      </c>
      <c r="J268">
        <f>LEN(Table13[[#This Row],[REFERENCE_DESCR1]])</f>
        <v>17</v>
      </c>
    </row>
    <row r="269" spans="1:10" hidden="1">
      <c r="A269" t="s">
        <v>1203</v>
      </c>
      <c r="B269" t="s">
        <v>1204</v>
      </c>
      <c r="C269" t="s">
        <v>1205</v>
      </c>
      <c r="H269" t="s">
        <v>1204</v>
      </c>
      <c r="J269">
        <f>LEN(Table13[[#This Row],[REFERENCE_DESCR1]])</f>
        <v>23</v>
      </c>
    </row>
    <row r="270" spans="1:10" hidden="1">
      <c r="A270" t="s">
        <v>1203</v>
      </c>
      <c r="B270" t="s">
        <v>1206</v>
      </c>
      <c r="C270" t="s">
        <v>1207</v>
      </c>
      <c r="H270" t="s">
        <v>1204</v>
      </c>
      <c r="J270">
        <f>LEN(Table13[[#This Row],[REFERENCE_DESCR1]])</f>
        <v>25</v>
      </c>
    </row>
    <row r="271" spans="1:10" hidden="1">
      <c r="A271" t="s">
        <v>1203</v>
      </c>
      <c r="B271" t="s">
        <v>1208</v>
      </c>
      <c r="C271" t="s">
        <v>1209</v>
      </c>
      <c r="H271" t="s">
        <v>1210</v>
      </c>
      <c r="I271" t="s">
        <v>1211</v>
      </c>
      <c r="J271">
        <f>LEN(Table13[[#This Row],[REFERENCE_DESCR1]])</f>
        <v>29</v>
      </c>
    </row>
    <row r="272" spans="1:10" hidden="1">
      <c r="A272" t="s">
        <v>1203</v>
      </c>
      <c r="B272" t="s">
        <v>1212</v>
      </c>
      <c r="C272" t="s">
        <v>1213</v>
      </c>
      <c r="J272">
        <f>LEN(Table13[[#This Row],[REFERENCE_DESCR1]])</f>
        <v>20</v>
      </c>
    </row>
    <row r="273" spans="1:10" hidden="1">
      <c r="A273" t="s">
        <v>1203</v>
      </c>
      <c r="B273" t="s">
        <v>1175</v>
      </c>
      <c r="C273" t="s">
        <v>1176</v>
      </c>
      <c r="J273">
        <f>LEN(Table13[[#This Row],[REFERENCE_DESCR1]])</f>
        <v>11</v>
      </c>
    </row>
    <row r="274" spans="1:10" hidden="1">
      <c r="A274" t="s">
        <v>1203</v>
      </c>
      <c r="B274" t="s">
        <v>1214</v>
      </c>
      <c r="C274" t="s">
        <v>1215</v>
      </c>
      <c r="H274" t="s">
        <v>1216</v>
      </c>
      <c r="J274">
        <f>LEN(Table13[[#This Row],[REFERENCE_DESCR1]])</f>
        <v>16</v>
      </c>
    </row>
    <row r="275" spans="1:10" hidden="1">
      <c r="A275" t="s">
        <v>1203</v>
      </c>
      <c r="B275" t="s">
        <v>1217</v>
      </c>
      <c r="C275" t="s">
        <v>1218</v>
      </c>
      <c r="H275" t="s">
        <v>1219</v>
      </c>
      <c r="J275">
        <f>LEN(Table13[[#This Row],[REFERENCE_DESCR1]])</f>
        <v>22</v>
      </c>
    </row>
    <row r="276" spans="1:10" hidden="1">
      <c r="A276" t="s">
        <v>1220</v>
      </c>
      <c r="B276">
        <v>1</v>
      </c>
      <c r="C276" t="s">
        <v>1221</v>
      </c>
      <c r="J276">
        <f>LEN(Table13[[#This Row],[REFERENCE_DESCR1]])</f>
        <v>10</v>
      </c>
    </row>
    <row r="277" spans="1:10" hidden="1">
      <c r="A277" t="s">
        <v>1220</v>
      </c>
      <c r="B277">
        <v>2</v>
      </c>
      <c r="C277" t="s">
        <v>1222</v>
      </c>
      <c r="J277">
        <f>LEN(Table13[[#This Row],[REFERENCE_DESCR1]])</f>
        <v>10</v>
      </c>
    </row>
    <row r="278" spans="1:10" hidden="1">
      <c r="A278" t="s">
        <v>1220</v>
      </c>
      <c r="B278">
        <v>3</v>
      </c>
      <c r="C278" t="s">
        <v>1223</v>
      </c>
      <c r="J278">
        <f>LEN(Table13[[#This Row],[REFERENCE_DESCR1]])</f>
        <v>10</v>
      </c>
    </row>
    <row r="279" spans="1:10" hidden="1">
      <c r="A279" t="s">
        <v>1220</v>
      </c>
      <c r="B279">
        <v>4</v>
      </c>
      <c r="C279" t="s">
        <v>1224</v>
      </c>
      <c r="J279">
        <f>LEN(Table13[[#This Row],[REFERENCE_DESCR1]])</f>
        <v>10</v>
      </c>
    </row>
    <row r="280" spans="1:10" hidden="1">
      <c r="A280" t="s">
        <v>1220</v>
      </c>
      <c r="B280">
        <v>5</v>
      </c>
      <c r="C280" t="s">
        <v>1225</v>
      </c>
      <c r="J280">
        <f>LEN(Table13[[#This Row],[REFERENCE_DESCR1]])</f>
        <v>10</v>
      </c>
    </row>
    <row r="281" spans="1:10" hidden="1">
      <c r="A281" t="s">
        <v>1220</v>
      </c>
      <c r="B281">
        <v>6</v>
      </c>
      <c r="C281" t="s">
        <v>1226</v>
      </c>
      <c r="J281">
        <f>LEN(Table13[[#This Row],[REFERENCE_DESCR1]])</f>
        <v>10</v>
      </c>
    </row>
    <row r="282" spans="1:10" hidden="1">
      <c r="A282" t="s">
        <v>1220</v>
      </c>
      <c r="B282">
        <v>7</v>
      </c>
      <c r="C282" t="s">
        <v>1227</v>
      </c>
      <c r="J282">
        <f>LEN(Table13[[#This Row],[REFERENCE_DESCR1]])</f>
        <v>10</v>
      </c>
    </row>
    <row r="283" spans="1:10" hidden="1">
      <c r="A283" t="s">
        <v>1228</v>
      </c>
      <c r="B283" t="s">
        <v>1229</v>
      </c>
      <c r="C283" t="s">
        <v>1230</v>
      </c>
      <c r="D283">
        <v>100</v>
      </c>
      <c r="E283">
        <v>1889</v>
      </c>
      <c r="J283">
        <f>LEN(Table13[[#This Row],[REFERENCE_DESCR1]])</f>
        <v>14</v>
      </c>
    </row>
    <row r="284" spans="1:10" hidden="1">
      <c r="A284" t="s">
        <v>1228</v>
      </c>
      <c r="B284" t="s">
        <v>1231</v>
      </c>
      <c r="C284" t="s">
        <v>1232</v>
      </c>
      <c r="D284">
        <v>50</v>
      </c>
      <c r="E284">
        <v>1928</v>
      </c>
      <c r="J284">
        <f>LEN(Table13[[#This Row],[REFERENCE_DESCR1]])</f>
        <v>7</v>
      </c>
    </row>
    <row r="285" spans="1:10" hidden="1">
      <c r="A285" t="s">
        <v>1228</v>
      </c>
      <c r="B285" t="s">
        <v>1233</v>
      </c>
      <c r="C285" t="s">
        <v>1157</v>
      </c>
      <c r="D285">
        <v>50</v>
      </c>
      <c r="E285">
        <v>1898</v>
      </c>
      <c r="J285">
        <f>LEN(Table13[[#This Row],[REFERENCE_DESCR1]])</f>
        <v>6</v>
      </c>
    </row>
    <row r="286" spans="1:10" hidden="1">
      <c r="A286" t="s">
        <v>1234</v>
      </c>
      <c r="B286" t="s">
        <v>1235</v>
      </c>
      <c r="C286" t="s">
        <v>1236</v>
      </c>
      <c r="J286">
        <f>LEN(Table13[[#This Row],[REFERENCE_DESCR1]])</f>
        <v>9</v>
      </c>
    </row>
    <row r="287" spans="1:10" hidden="1">
      <c r="A287" t="s">
        <v>1234</v>
      </c>
      <c r="B287" t="s">
        <v>1237</v>
      </c>
      <c r="C287" t="s">
        <v>1236</v>
      </c>
      <c r="J287">
        <f>LEN(Table13[[#This Row],[REFERENCE_DESCR1]])</f>
        <v>9</v>
      </c>
    </row>
    <row r="288" spans="1:10" hidden="1">
      <c r="A288" t="s">
        <v>1234</v>
      </c>
      <c r="B288" t="s">
        <v>1152</v>
      </c>
      <c r="C288" t="s">
        <v>1238</v>
      </c>
      <c r="J288">
        <f>LEN(Table13[[#This Row],[REFERENCE_DESCR1]])</f>
        <v>6</v>
      </c>
    </row>
    <row r="289" spans="1:10" hidden="1">
      <c r="A289" t="s">
        <v>1234</v>
      </c>
      <c r="B289" t="s">
        <v>1239</v>
      </c>
      <c r="C289" t="s">
        <v>1240</v>
      </c>
      <c r="J289">
        <f>LEN(Table13[[#This Row],[REFERENCE_DESCR1]])</f>
        <v>10</v>
      </c>
    </row>
    <row r="290" spans="1:10" hidden="1">
      <c r="A290" t="s">
        <v>1241</v>
      </c>
      <c r="B290" t="s">
        <v>1242</v>
      </c>
      <c r="C290" t="s">
        <v>1243</v>
      </c>
      <c r="D290">
        <v>1</v>
      </c>
      <c r="J290">
        <f>LEN(Table13[[#This Row],[REFERENCE_DESCR1]])</f>
        <v>10</v>
      </c>
    </row>
    <row r="291" spans="1:10" hidden="1">
      <c r="A291" t="s">
        <v>1241</v>
      </c>
      <c r="B291" t="s">
        <v>1244</v>
      </c>
      <c r="C291" t="s">
        <v>1245</v>
      </c>
      <c r="D291">
        <v>2</v>
      </c>
      <c r="J291">
        <f>LEN(Table13[[#This Row],[REFERENCE_DESCR1]])</f>
        <v>19</v>
      </c>
    </row>
    <row r="292" spans="1:10" hidden="1">
      <c r="A292" t="s">
        <v>1241</v>
      </c>
      <c r="B292" t="s">
        <v>1246</v>
      </c>
      <c r="C292" t="s">
        <v>1247</v>
      </c>
      <c r="D292">
        <v>3</v>
      </c>
      <c r="J292">
        <f>LEN(Table13[[#This Row],[REFERENCE_DESCR1]])</f>
        <v>13</v>
      </c>
    </row>
    <row r="293" spans="1:10" hidden="1">
      <c r="A293" t="s">
        <v>1241</v>
      </c>
      <c r="B293" t="s">
        <v>1248</v>
      </c>
      <c r="C293" t="s">
        <v>1249</v>
      </c>
      <c r="D293">
        <v>4</v>
      </c>
      <c r="J293">
        <f>LEN(Table13[[#This Row],[REFERENCE_DESCR1]])</f>
        <v>13</v>
      </c>
    </row>
    <row r="294" spans="1:10" hidden="1">
      <c r="A294" t="s">
        <v>1241</v>
      </c>
      <c r="B294" t="s">
        <v>1250</v>
      </c>
      <c r="C294" t="s">
        <v>1251</v>
      </c>
      <c r="D294">
        <v>5</v>
      </c>
      <c r="J294">
        <f>LEN(Table13[[#This Row],[REFERENCE_DESCR1]])</f>
        <v>12</v>
      </c>
    </row>
    <row r="295" spans="1:10" hidden="1">
      <c r="A295" t="s">
        <v>1241</v>
      </c>
      <c r="B295" t="s">
        <v>1252</v>
      </c>
      <c r="C295" t="s">
        <v>1252</v>
      </c>
      <c r="D295">
        <v>6</v>
      </c>
      <c r="J295">
        <f>LEN(Table13[[#This Row],[REFERENCE_DESCR1]])</f>
        <v>5</v>
      </c>
    </row>
    <row r="296" spans="1:10" hidden="1">
      <c r="A296" t="s">
        <v>1241</v>
      </c>
      <c r="B296" t="s">
        <v>1253</v>
      </c>
      <c r="C296" t="s">
        <v>1254</v>
      </c>
      <c r="D296">
        <v>7</v>
      </c>
      <c r="J296">
        <f>LEN(Table13[[#This Row],[REFERENCE_DESCR1]])</f>
        <v>25</v>
      </c>
    </row>
    <row r="297" spans="1:10" hidden="1">
      <c r="A297" t="s">
        <v>1241</v>
      </c>
      <c r="B297" t="s">
        <v>1255</v>
      </c>
      <c r="C297" t="s">
        <v>1256</v>
      </c>
      <c r="D297">
        <v>8</v>
      </c>
      <c r="J297">
        <f>LEN(Table13[[#This Row],[REFERENCE_DESCR1]])</f>
        <v>31</v>
      </c>
    </row>
    <row r="298" spans="1:10" hidden="1">
      <c r="A298" t="s">
        <v>1241</v>
      </c>
      <c r="B298" t="s">
        <v>1257</v>
      </c>
      <c r="C298" t="s">
        <v>1258</v>
      </c>
      <c r="D298">
        <v>9</v>
      </c>
      <c r="J298">
        <f>LEN(Table13[[#This Row],[REFERENCE_DESCR1]])</f>
        <v>22</v>
      </c>
    </row>
    <row r="299" spans="1:10" hidden="1">
      <c r="A299" t="s">
        <v>1241</v>
      </c>
      <c r="B299" t="s">
        <v>1259</v>
      </c>
      <c r="C299" t="s">
        <v>1260</v>
      </c>
      <c r="D299">
        <v>10</v>
      </c>
      <c r="J299">
        <f>LEN(Table13[[#This Row],[REFERENCE_DESCR1]])</f>
        <v>13</v>
      </c>
    </row>
    <row r="300" spans="1:10" hidden="1">
      <c r="A300" t="s">
        <v>1241</v>
      </c>
      <c r="B300" t="s">
        <v>1261</v>
      </c>
      <c r="C300" t="s">
        <v>1262</v>
      </c>
      <c r="D300">
        <v>11</v>
      </c>
      <c r="J300">
        <f>LEN(Table13[[#This Row],[REFERENCE_DESCR1]])</f>
        <v>24</v>
      </c>
    </row>
    <row r="301" spans="1:10" hidden="1">
      <c r="A301" t="s">
        <v>1241</v>
      </c>
      <c r="B301" t="s">
        <v>1263</v>
      </c>
      <c r="C301" t="s">
        <v>1264</v>
      </c>
      <c r="D301">
        <v>12</v>
      </c>
      <c r="J301">
        <f>LEN(Table13[[#This Row],[REFERENCE_DESCR1]])</f>
        <v>32</v>
      </c>
    </row>
    <row r="302" spans="1:10" hidden="1">
      <c r="A302" t="s">
        <v>1241</v>
      </c>
      <c r="B302" t="s">
        <v>1265</v>
      </c>
      <c r="C302" t="s">
        <v>1266</v>
      </c>
      <c r="D302">
        <v>13</v>
      </c>
      <c r="J302">
        <f>LEN(Table13[[#This Row],[REFERENCE_DESCR1]])</f>
        <v>19</v>
      </c>
    </row>
    <row r="303" spans="1:10" hidden="1">
      <c r="A303" t="s">
        <v>1241</v>
      </c>
      <c r="B303" t="s">
        <v>1267</v>
      </c>
      <c r="C303" t="s">
        <v>1268</v>
      </c>
      <c r="D303">
        <v>14</v>
      </c>
      <c r="J303">
        <f>LEN(Table13[[#This Row],[REFERENCE_DESCR1]])</f>
        <v>19</v>
      </c>
    </row>
    <row r="304" spans="1:10" hidden="1">
      <c r="A304" t="s">
        <v>1241</v>
      </c>
      <c r="B304" t="s">
        <v>1269</v>
      </c>
      <c r="C304" t="s">
        <v>1270</v>
      </c>
      <c r="D304">
        <v>15</v>
      </c>
      <c r="J304">
        <f>LEN(Table13[[#This Row],[REFERENCE_DESCR1]])</f>
        <v>19</v>
      </c>
    </row>
    <row r="305" spans="1:10" hidden="1">
      <c r="A305" t="s">
        <v>1241</v>
      </c>
      <c r="B305" t="s">
        <v>1271</v>
      </c>
      <c r="C305" t="s">
        <v>1272</v>
      </c>
      <c r="D305">
        <v>16</v>
      </c>
      <c r="J305">
        <f>LEN(Table13[[#This Row],[REFERENCE_DESCR1]])</f>
        <v>19</v>
      </c>
    </row>
    <row r="306" spans="1:10" hidden="1">
      <c r="A306" t="s">
        <v>1241</v>
      </c>
      <c r="B306" t="s">
        <v>1273</v>
      </c>
      <c r="C306" t="s">
        <v>1274</v>
      </c>
      <c r="D306">
        <v>17</v>
      </c>
      <c r="J306">
        <f>LEN(Table13[[#This Row],[REFERENCE_DESCR1]])</f>
        <v>19</v>
      </c>
    </row>
    <row r="307" spans="1:10" hidden="1">
      <c r="A307" t="s">
        <v>1241</v>
      </c>
      <c r="B307" t="s">
        <v>1275</v>
      </c>
      <c r="C307" t="s">
        <v>1276</v>
      </c>
      <c r="D307">
        <v>18</v>
      </c>
      <c r="J307">
        <f>LEN(Table13[[#This Row],[REFERENCE_DESCR1]])</f>
        <v>19</v>
      </c>
    </row>
    <row r="308" spans="1:10" hidden="1">
      <c r="A308" t="s">
        <v>1241</v>
      </c>
      <c r="B308" t="s">
        <v>1277</v>
      </c>
      <c r="C308" t="s">
        <v>1278</v>
      </c>
      <c r="D308">
        <v>19</v>
      </c>
      <c r="J308">
        <f>LEN(Table13[[#This Row],[REFERENCE_DESCR1]])</f>
        <v>19</v>
      </c>
    </row>
    <row r="309" spans="1:10" hidden="1">
      <c r="A309" t="s">
        <v>1241</v>
      </c>
      <c r="B309" t="s">
        <v>1279</v>
      </c>
      <c r="C309" t="s">
        <v>1280</v>
      </c>
      <c r="J309">
        <f>LEN(Table13[[#This Row],[REFERENCE_DESCR1]])</f>
        <v>22</v>
      </c>
    </row>
    <row r="310" spans="1:10" hidden="1">
      <c r="A310" t="s">
        <v>1241</v>
      </c>
      <c r="B310" t="s">
        <v>1281</v>
      </c>
      <c r="C310" t="s">
        <v>1282</v>
      </c>
      <c r="D310">
        <v>20</v>
      </c>
      <c r="J310">
        <f>LEN(Table13[[#This Row],[REFERENCE_DESCR1]])</f>
        <v>12</v>
      </c>
    </row>
    <row r="311" spans="1:10" hidden="1">
      <c r="A311" t="s">
        <v>1241</v>
      </c>
      <c r="B311" t="s">
        <v>1283</v>
      </c>
      <c r="C311" t="s">
        <v>1284</v>
      </c>
      <c r="J311">
        <f>LEN(Table13[[#This Row],[REFERENCE_DESCR1]])</f>
        <v>23</v>
      </c>
    </row>
    <row r="312" spans="1:10" hidden="1">
      <c r="A312" t="s">
        <v>1241</v>
      </c>
      <c r="B312" t="s">
        <v>1285</v>
      </c>
      <c r="C312" t="s">
        <v>1286</v>
      </c>
      <c r="D312">
        <v>21</v>
      </c>
      <c r="J312">
        <f>LEN(Table13[[#This Row],[REFERENCE_DESCR1]])</f>
        <v>8</v>
      </c>
    </row>
    <row r="313" spans="1:10" hidden="1">
      <c r="A313" t="s">
        <v>1241</v>
      </c>
      <c r="B313" t="s">
        <v>1287</v>
      </c>
      <c r="C313" t="s">
        <v>1288</v>
      </c>
      <c r="D313">
        <v>52</v>
      </c>
      <c r="J313">
        <f>LEN(Table13[[#This Row],[REFERENCE_DESCR1]])</f>
        <v>23</v>
      </c>
    </row>
    <row r="314" spans="1:10" hidden="1">
      <c r="A314" t="s">
        <v>1241</v>
      </c>
      <c r="B314" t="s">
        <v>1289</v>
      </c>
      <c r="C314" t="s">
        <v>1290</v>
      </c>
      <c r="D314">
        <v>22</v>
      </c>
      <c r="J314">
        <f>LEN(Table13[[#This Row],[REFERENCE_DESCR1]])</f>
        <v>14</v>
      </c>
    </row>
    <row r="315" spans="1:10" hidden="1">
      <c r="A315" t="s">
        <v>1241</v>
      </c>
      <c r="B315" t="s">
        <v>1291</v>
      </c>
      <c r="C315" t="s">
        <v>1292</v>
      </c>
      <c r="J315">
        <f>LEN(Table13[[#This Row],[REFERENCE_DESCR1]])</f>
        <v>19</v>
      </c>
    </row>
    <row r="316" spans="1:10" hidden="1">
      <c r="A316" t="s">
        <v>1241</v>
      </c>
      <c r="B316" t="s">
        <v>1293</v>
      </c>
      <c r="C316" t="s">
        <v>1293</v>
      </c>
      <c r="D316">
        <v>23</v>
      </c>
      <c r="J316">
        <f>LEN(Table13[[#This Row],[REFERENCE_DESCR1]])</f>
        <v>5</v>
      </c>
    </row>
    <row r="317" spans="1:10" hidden="1">
      <c r="A317" t="s">
        <v>1241</v>
      </c>
      <c r="B317" t="s">
        <v>1294</v>
      </c>
      <c r="C317" t="s">
        <v>1295</v>
      </c>
      <c r="J317">
        <f>LEN(Table13[[#This Row],[REFERENCE_DESCR1]])</f>
        <v>28</v>
      </c>
    </row>
    <row r="318" spans="1:10" hidden="1">
      <c r="A318" t="s">
        <v>1241</v>
      </c>
      <c r="B318" t="s">
        <v>1296</v>
      </c>
      <c r="C318" t="s">
        <v>1297</v>
      </c>
      <c r="D318">
        <v>24</v>
      </c>
      <c r="J318">
        <f>LEN(Table13[[#This Row],[REFERENCE_DESCR1]])</f>
        <v>21</v>
      </c>
    </row>
    <row r="319" spans="1:10" hidden="1">
      <c r="A319" t="s">
        <v>1241</v>
      </c>
      <c r="B319" t="s">
        <v>1298</v>
      </c>
      <c r="C319" t="s">
        <v>1299</v>
      </c>
      <c r="D319">
        <v>25</v>
      </c>
      <c r="J319">
        <f>LEN(Table13[[#This Row],[REFERENCE_DESCR1]])</f>
        <v>10</v>
      </c>
    </row>
    <row r="320" spans="1:10" hidden="1">
      <c r="A320" t="s">
        <v>1241</v>
      </c>
      <c r="B320" t="s">
        <v>1300</v>
      </c>
      <c r="C320" t="s">
        <v>1301</v>
      </c>
      <c r="D320">
        <v>53</v>
      </c>
      <c r="J320">
        <f>LEN(Table13[[#This Row],[REFERENCE_DESCR1]])</f>
        <v>37</v>
      </c>
    </row>
    <row r="321" spans="1:10" hidden="1">
      <c r="A321" t="s">
        <v>1241</v>
      </c>
      <c r="B321" t="s">
        <v>1302</v>
      </c>
      <c r="C321" t="s">
        <v>1303</v>
      </c>
      <c r="D321">
        <v>26</v>
      </c>
      <c r="J321">
        <f>LEN(Table13[[#This Row],[REFERENCE_DESCR1]])</f>
        <v>17</v>
      </c>
    </row>
    <row r="322" spans="1:10" hidden="1">
      <c r="A322" t="s">
        <v>1241</v>
      </c>
      <c r="B322" t="s">
        <v>1304</v>
      </c>
      <c r="C322" t="s">
        <v>1305</v>
      </c>
      <c r="D322">
        <v>27</v>
      </c>
      <c r="J322">
        <f>LEN(Table13[[#This Row],[REFERENCE_DESCR1]])</f>
        <v>9</v>
      </c>
    </row>
    <row r="323" spans="1:10" hidden="1">
      <c r="A323" t="s">
        <v>1241</v>
      </c>
      <c r="B323" t="s">
        <v>1306</v>
      </c>
      <c r="C323" t="s">
        <v>1307</v>
      </c>
      <c r="J323">
        <f>LEN(Table13[[#This Row],[REFERENCE_DESCR1]])</f>
        <v>32</v>
      </c>
    </row>
    <row r="324" spans="1:10" hidden="1">
      <c r="A324" t="s">
        <v>1241</v>
      </c>
      <c r="B324" t="s">
        <v>1308</v>
      </c>
      <c r="C324" t="s">
        <v>1309</v>
      </c>
      <c r="D324">
        <v>28</v>
      </c>
      <c r="J324">
        <f>LEN(Table13[[#This Row],[REFERENCE_DESCR1]])</f>
        <v>8</v>
      </c>
    </row>
    <row r="325" spans="1:10" hidden="1">
      <c r="A325" t="s">
        <v>1241</v>
      </c>
      <c r="B325" t="s">
        <v>1310</v>
      </c>
      <c r="C325" t="s">
        <v>1311</v>
      </c>
      <c r="D325">
        <v>29</v>
      </c>
      <c r="J325">
        <f>LEN(Table13[[#This Row],[REFERENCE_DESCR1]])</f>
        <v>20</v>
      </c>
    </row>
    <row r="326" spans="1:10" hidden="1">
      <c r="A326" t="s">
        <v>1241</v>
      </c>
      <c r="B326" t="s">
        <v>1312</v>
      </c>
      <c r="C326" t="s">
        <v>1313</v>
      </c>
      <c r="D326">
        <v>30</v>
      </c>
      <c r="J326">
        <f>LEN(Table13[[#This Row],[REFERENCE_DESCR1]])</f>
        <v>17</v>
      </c>
    </row>
    <row r="327" spans="1:10" hidden="1">
      <c r="A327" t="s">
        <v>1241</v>
      </c>
      <c r="B327" t="s">
        <v>1314</v>
      </c>
      <c r="C327" t="s">
        <v>1315</v>
      </c>
      <c r="D327">
        <v>31</v>
      </c>
      <c r="J327">
        <f>LEN(Table13[[#This Row],[REFERENCE_DESCR1]])</f>
        <v>8</v>
      </c>
    </row>
    <row r="328" spans="1:10" hidden="1">
      <c r="A328" t="s">
        <v>1241</v>
      </c>
      <c r="B328" t="s">
        <v>1316</v>
      </c>
      <c r="C328" t="s">
        <v>1317</v>
      </c>
      <c r="D328">
        <v>32</v>
      </c>
      <c r="J328">
        <f>LEN(Table13[[#This Row],[REFERENCE_DESCR1]])</f>
        <v>15</v>
      </c>
    </row>
    <row r="329" spans="1:10" hidden="1">
      <c r="A329" t="s">
        <v>1241</v>
      </c>
      <c r="B329" t="s">
        <v>1318</v>
      </c>
      <c r="C329" t="s">
        <v>1319</v>
      </c>
      <c r="D329">
        <v>33</v>
      </c>
      <c r="J329">
        <f>LEN(Table13[[#This Row],[REFERENCE_DESCR1]])</f>
        <v>10</v>
      </c>
    </row>
    <row r="330" spans="1:10" hidden="1">
      <c r="A330" t="s">
        <v>1241</v>
      </c>
      <c r="B330" t="s">
        <v>1320</v>
      </c>
      <c r="C330" t="s">
        <v>1321</v>
      </c>
      <c r="D330">
        <v>34</v>
      </c>
      <c r="J330">
        <f>LEN(Table13[[#This Row],[REFERENCE_DESCR1]])</f>
        <v>10</v>
      </c>
    </row>
    <row r="331" spans="1:10" hidden="1">
      <c r="A331" t="s">
        <v>1241</v>
      </c>
      <c r="B331" t="s">
        <v>1322</v>
      </c>
      <c r="C331" t="s">
        <v>1323</v>
      </c>
      <c r="D331">
        <v>35</v>
      </c>
      <c r="J331">
        <f>LEN(Table13[[#This Row],[REFERENCE_DESCR1]])</f>
        <v>16</v>
      </c>
    </row>
    <row r="332" spans="1:10" hidden="1">
      <c r="A332" t="s">
        <v>1241</v>
      </c>
      <c r="B332" t="s">
        <v>1324</v>
      </c>
      <c r="C332" t="s">
        <v>1325</v>
      </c>
      <c r="J332">
        <f>LEN(Table13[[#This Row],[REFERENCE_DESCR1]])</f>
        <v>11</v>
      </c>
    </row>
    <row r="333" spans="1:10" hidden="1">
      <c r="A333" t="s">
        <v>1241</v>
      </c>
      <c r="B333" t="s">
        <v>1326</v>
      </c>
      <c r="C333" t="s">
        <v>1327</v>
      </c>
      <c r="D333">
        <v>36</v>
      </c>
      <c r="J333">
        <f>LEN(Table13[[#This Row],[REFERENCE_DESCR1]])</f>
        <v>13</v>
      </c>
    </row>
    <row r="334" spans="1:10" hidden="1">
      <c r="A334" t="s">
        <v>1241</v>
      </c>
      <c r="B334" t="s">
        <v>1328</v>
      </c>
      <c r="C334" t="s">
        <v>1329</v>
      </c>
      <c r="D334">
        <v>37</v>
      </c>
      <c r="J334">
        <f>LEN(Table13[[#This Row],[REFERENCE_DESCR1]])</f>
        <v>12</v>
      </c>
    </row>
    <row r="335" spans="1:10" hidden="1">
      <c r="A335" t="s">
        <v>1241</v>
      </c>
      <c r="B335" t="s">
        <v>1330</v>
      </c>
      <c r="C335" t="s">
        <v>1331</v>
      </c>
      <c r="D335">
        <v>38</v>
      </c>
      <c r="J335">
        <f>LEN(Table13[[#This Row],[REFERENCE_DESCR1]])</f>
        <v>19</v>
      </c>
    </row>
    <row r="336" spans="1:10" hidden="1">
      <c r="A336" t="s">
        <v>1241</v>
      </c>
      <c r="B336" t="s">
        <v>1332</v>
      </c>
      <c r="C336" t="s">
        <v>1333</v>
      </c>
      <c r="D336">
        <v>39</v>
      </c>
      <c r="J336">
        <f>LEN(Table13[[#This Row],[REFERENCE_DESCR1]])</f>
        <v>10</v>
      </c>
    </row>
    <row r="337" spans="1:10" hidden="1">
      <c r="A337" t="s">
        <v>1241</v>
      </c>
      <c r="B337" t="s">
        <v>1334</v>
      </c>
      <c r="C337" t="s">
        <v>1335</v>
      </c>
      <c r="D337">
        <v>40</v>
      </c>
      <c r="J337">
        <f>LEN(Table13[[#This Row],[REFERENCE_DESCR1]])</f>
        <v>19</v>
      </c>
    </row>
    <row r="338" spans="1:10" hidden="1">
      <c r="A338" t="s">
        <v>1241</v>
      </c>
      <c r="B338" t="s">
        <v>1336</v>
      </c>
      <c r="C338" t="s">
        <v>1337</v>
      </c>
      <c r="D338">
        <v>41</v>
      </c>
      <c r="J338">
        <f>LEN(Table13[[#This Row],[REFERENCE_DESCR1]])</f>
        <v>11</v>
      </c>
    </row>
    <row r="339" spans="1:10" hidden="1">
      <c r="A339" t="s">
        <v>1241</v>
      </c>
      <c r="B339" t="s">
        <v>1338</v>
      </c>
      <c r="C339" t="s">
        <v>1339</v>
      </c>
      <c r="D339">
        <v>42</v>
      </c>
      <c r="J339">
        <f>LEN(Table13[[#This Row],[REFERENCE_DESCR1]])</f>
        <v>11</v>
      </c>
    </row>
    <row r="340" spans="1:10" hidden="1">
      <c r="A340" t="s">
        <v>1241</v>
      </c>
      <c r="B340" t="s">
        <v>1340</v>
      </c>
      <c r="C340" t="s">
        <v>1341</v>
      </c>
      <c r="D340">
        <v>43</v>
      </c>
      <c r="J340">
        <f>LEN(Table13[[#This Row],[REFERENCE_DESCR1]])</f>
        <v>25</v>
      </c>
    </row>
    <row r="341" spans="1:10" hidden="1">
      <c r="A341" t="s">
        <v>1241</v>
      </c>
      <c r="B341" t="s">
        <v>1342</v>
      </c>
      <c r="C341" t="s">
        <v>1343</v>
      </c>
      <c r="D341">
        <v>44</v>
      </c>
      <c r="J341">
        <f>LEN(Table13[[#This Row],[REFERENCE_DESCR1]])</f>
        <v>20</v>
      </c>
    </row>
    <row r="342" spans="1:10" hidden="1">
      <c r="A342" t="s">
        <v>1241</v>
      </c>
      <c r="B342" t="s">
        <v>1344</v>
      </c>
      <c r="C342" t="s">
        <v>1345</v>
      </c>
      <c r="D342">
        <v>45</v>
      </c>
      <c r="J342">
        <f>LEN(Table13[[#This Row],[REFERENCE_DESCR1]])</f>
        <v>26</v>
      </c>
    </row>
    <row r="343" spans="1:10" hidden="1">
      <c r="A343" t="s">
        <v>1241</v>
      </c>
      <c r="B343" t="s">
        <v>1346</v>
      </c>
      <c r="C343" t="s">
        <v>1347</v>
      </c>
      <c r="D343">
        <v>46</v>
      </c>
      <c r="J343">
        <f>LEN(Table13[[#This Row],[REFERENCE_DESCR1]])</f>
        <v>28</v>
      </c>
    </row>
    <row r="344" spans="1:10" hidden="1">
      <c r="A344" t="s">
        <v>1241</v>
      </c>
      <c r="B344" t="s">
        <v>1348</v>
      </c>
      <c r="C344" t="s">
        <v>1349</v>
      </c>
      <c r="D344">
        <v>47</v>
      </c>
      <c r="J344">
        <f>LEN(Table13[[#This Row],[REFERENCE_DESCR1]])</f>
        <v>12</v>
      </c>
    </row>
    <row r="345" spans="1:10" hidden="1">
      <c r="A345" t="s">
        <v>1241</v>
      </c>
      <c r="B345" t="s">
        <v>1350</v>
      </c>
      <c r="C345" t="s">
        <v>1351</v>
      </c>
      <c r="D345">
        <v>48</v>
      </c>
      <c r="J345">
        <f>LEN(Table13[[#This Row],[REFERENCE_DESCR1]])</f>
        <v>16</v>
      </c>
    </row>
    <row r="346" spans="1:10" hidden="1">
      <c r="A346" t="s">
        <v>1241</v>
      </c>
      <c r="B346" t="s">
        <v>1352</v>
      </c>
      <c r="C346" t="s">
        <v>1353</v>
      </c>
      <c r="D346">
        <v>49</v>
      </c>
      <c r="J346">
        <f>LEN(Table13[[#This Row],[REFERENCE_DESCR1]])</f>
        <v>30</v>
      </c>
    </row>
    <row r="347" spans="1:10" hidden="1">
      <c r="A347" t="s">
        <v>1241</v>
      </c>
      <c r="B347" t="s">
        <v>1354</v>
      </c>
      <c r="C347" t="s">
        <v>1355</v>
      </c>
      <c r="D347">
        <v>50</v>
      </c>
      <c r="J347">
        <f>LEN(Table13[[#This Row],[REFERENCE_DESCR1]])</f>
        <v>36</v>
      </c>
    </row>
    <row r="348" spans="1:10" hidden="1">
      <c r="A348" t="s">
        <v>1241</v>
      </c>
      <c r="B348" t="s">
        <v>1356</v>
      </c>
      <c r="C348" t="s">
        <v>1357</v>
      </c>
      <c r="D348">
        <v>51</v>
      </c>
      <c r="J348">
        <f>LEN(Table13[[#This Row],[REFERENCE_DESCR1]])</f>
        <v>39</v>
      </c>
    </row>
    <row r="349" spans="1:10" hidden="1">
      <c r="A349" t="s">
        <v>1358</v>
      </c>
      <c r="B349" t="s">
        <v>1359</v>
      </c>
      <c r="C349" t="s">
        <v>1360</v>
      </c>
      <c r="J349">
        <f>LEN(Table13[[#This Row],[REFERENCE_DESCR1]])</f>
        <v>10</v>
      </c>
    </row>
    <row r="350" spans="1:10" hidden="1">
      <c r="A350" t="s">
        <v>1358</v>
      </c>
      <c r="B350" t="s">
        <v>1361</v>
      </c>
      <c r="C350" t="s">
        <v>1362</v>
      </c>
      <c r="J350">
        <f>LEN(Table13[[#This Row],[REFERENCE_DESCR1]])</f>
        <v>10</v>
      </c>
    </row>
    <row r="351" spans="1:10" hidden="1">
      <c r="A351" t="s">
        <v>1358</v>
      </c>
      <c r="B351" t="s">
        <v>1363</v>
      </c>
      <c r="C351" t="s">
        <v>1212</v>
      </c>
      <c r="J351">
        <f>LEN(Table13[[#This Row],[REFERENCE_DESCR1]])</f>
        <v>4</v>
      </c>
    </row>
    <row r="352" spans="1:10" hidden="1">
      <c r="A352" t="s">
        <v>1364</v>
      </c>
      <c r="B352" t="s">
        <v>1148</v>
      </c>
      <c r="C352" t="s">
        <v>1365</v>
      </c>
      <c r="J352">
        <f>LEN(Table13[[#This Row],[REFERENCE_DESCR1]])</f>
        <v>24</v>
      </c>
    </row>
    <row r="353" spans="1:10" hidden="1">
      <c r="A353" t="s">
        <v>1364</v>
      </c>
      <c r="B353" t="s">
        <v>1150</v>
      </c>
      <c r="C353" t="s">
        <v>1366</v>
      </c>
      <c r="J353">
        <f>LEN(Table13[[#This Row],[REFERENCE_DESCR1]])</f>
        <v>35</v>
      </c>
    </row>
    <row r="354" spans="1:10" hidden="1">
      <c r="A354" t="s">
        <v>1364</v>
      </c>
      <c r="B354" t="s">
        <v>1367</v>
      </c>
      <c r="C354" t="s">
        <v>1368</v>
      </c>
      <c r="J354">
        <f>LEN(Table13[[#This Row],[REFERENCE_DESCR1]])</f>
        <v>13</v>
      </c>
    </row>
    <row r="355" spans="1:10" hidden="1">
      <c r="A355" t="s">
        <v>1364</v>
      </c>
      <c r="B355" t="s">
        <v>1369</v>
      </c>
      <c r="C355" t="s">
        <v>1370</v>
      </c>
      <c r="J355">
        <f>LEN(Table13[[#This Row],[REFERENCE_DESCR1]])</f>
        <v>11</v>
      </c>
    </row>
    <row r="356" spans="1:10" hidden="1">
      <c r="A356" t="s">
        <v>1364</v>
      </c>
      <c r="B356" t="s">
        <v>1152</v>
      </c>
      <c r="C356" t="s">
        <v>1371</v>
      </c>
      <c r="J356">
        <f>LEN(Table13[[#This Row],[REFERENCE_DESCR1]])</f>
        <v>19</v>
      </c>
    </row>
    <row r="357" spans="1:10" hidden="1">
      <c r="A357" t="s">
        <v>1364</v>
      </c>
      <c r="B357" t="s">
        <v>1239</v>
      </c>
      <c r="C357" t="s">
        <v>1372</v>
      </c>
      <c r="J357">
        <f>LEN(Table13[[#This Row],[REFERENCE_DESCR1]])</f>
        <v>18</v>
      </c>
    </row>
    <row r="358" spans="1:10" hidden="1">
      <c r="A358" t="s">
        <v>1364</v>
      </c>
      <c r="B358" t="s">
        <v>1373</v>
      </c>
      <c r="C358" t="s">
        <v>1374</v>
      </c>
      <c r="J358">
        <f>LEN(Table13[[#This Row],[REFERENCE_DESCR1]])</f>
        <v>40</v>
      </c>
    </row>
    <row r="359" spans="1:10" hidden="1">
      <c r="A359" t="s">
        <v>1364</v>
      </c>
      <c r="B359" t="s">
        <v>1154</v>
      </c>
      <c r="C359" t="s">
        <v>1375</v>
      </c>
      <c r="J359">
        <f>LEN(Table13[[#This Row],[REFERENCE_DESCR1]])</f>
        <v>23</v>
      </c>
    </row>
    <row r="360" spans="1:10" hidden="1">
      <c r="A360" t="s">
        <v>1364</v>
      </c>
      <c r="B360" t="s">
        <v>1156</v>
      </c>
      <c r="C360" t="s">
        <v>1376</v>
      </c>
      <c r="J360">
        <f>LEN(Table13[[#This Row],[REFERENCE_DESCR1]])</f>
        <v>20</v>
      </c>
    </row>
    <row r="361" spans="1:10" hidden="1">
      <c r="A361" t="s">
        <v>1364</v>
      </c>
      <c r="B361" t="s">
        <v>1377</v>
      </c>
      <c r="C361" t="s">
        <v>1378</v>
      </c>
      <c r="J361">
        <f>LEN(Table13[[#This Row],[REFERENCE_DESCR1]])</f>
        <v>21</v>
      </c>
    </row>
    <row r="362" spans="1:10">
      <c r="A362" t="s">
        <v>1364</v>
      </c>
      <c r="B362" t="s">
        <v>1379</v>
      </c>
      <c r="C362" t="s">
        <v>1380</v>
      </c>
      <c r="J362">
        <f>LEN(Table13[[#This Row],[REFERENCE_DESCR1]])</f>
        <v>20</v>
      </c>
    </row>
    <row r="363" spans="1:10" hidden="1">
      <c r="A363" t="s">
        <v>1364</v>
      </c>
      <c r="B363" t="s">
        <v>1381</v>
      </c>
      <c r="C363" t="s">
        <v>1382</v>
      </c>
      <c r="J363">
        <f>LEN(Table13[[#This Row],[REFERENCE_DESCR1]])</f>
        <v>33</v>
      </c>
    </row>
    <row r="364" spans="1:10" hidden="1">
      <c r="A364" t="s">
        <v>1383</v>
      </c>
      <c r="B364" s="10" t="s">
        <v>1384</v>
      </c>
      <c r="C364" t="s">
        <v>1385</v>
      </c>
      <c r="J364">
        <f>LEN(Table13[[#This Row],[REFERENCE_DESCR1]])</f>
        <v>13</v>
      </c>
    </row>
    <row r="365" spans="1:10" hidden="1">
      <c r="A365" t="s">
        <v>1383</v>
      </c>
      <c r="B365" s="10" t="s">
        <v>1386</v>
      </c>
      <c r="C365" t="s">
        <v>1387</v>
      </c>
      <c r="J365">
        <f>LEN(Table13[[#This Row],[REFERENCE_DESCR1]])</f>
        <v>12</v>
      </c>
    </row>
    <row r="366" spans="1:10" hidden="1">
      <c r="A366" t="s">
        <v>1383</v>
      </c>
      <c r="B366" s="10" t="s">
        <v>1388</v>
      </c>
      <c r="C366" t="s">
        <v>1389</v>
      </c>
      <c r="J366">
        <f>LEN(Table13[[#This Row],[REFERENCE_DESCR1]])</f>
        <v>13</v>
      </c>
    </row>
    <row r="367" spans="1:10" hidden="1">
      <c r="A367" t="s">
        <v>1383</v>
      </c>
      <c r="B367" s="10" t="s">
        <v>1390</v>
      </c>
      <c r="C367" t="s">
        <v>1391</v>
      </c>
      <c r="J367">
        <f>LEN(Table13[[#This Row],[REFERENCE_DESCR1]])</f>
        <v>25</v>
      </c>
    </row>
    <row r="368" spans="1:10" hidden="1">
      <c r="A368" t="s">
        <v>1383</v>
      </c>
      <c r="B368" s="10" t="s">
        <v>1392</v>
      </c>
      <c r="C368" t="s">
        <v>1393</v>
      </c>
      <c r="J368">
        <f>LEN(Table13[[#This Row],[REFERENCE_DESCR1]])</f>
        <v>20</v>
      </c>
    </row>
    <row r="369" spans="1:10" hidden="1">
      <c r="A369" t="s">
        <v>1383</v>
      </c>
      <c r="B369" s="10" t="s">
        <v>1394</v>
      </c>
      <c r="C369" t="s">
        <v>1395</v>
      </c>
      <c r="J369">
        <f>LEN(Table13[[#This Row],[REFERENCE_DESCR1]])</f>
        <v>17</v>
      </c>
    </row>
    <row r="370" spans="1:10" hidden="1">
      <c r="A370" t="s">
        <v>1383</v>
      </c>
      <c r="B370" s="10" t="s">
        <v>1396</v>
      </c>
      <c r="C370" t="s">
        <v>1397</v>
      </c>
      <c r="J370">
        <f>LEN(Table13[[#This Row],[REFERENCE_DESCR1]])</f>
        <v>20</v>
      </c>
    </row>
    <row r="371" spans="1:10" hidden="1">
      <c r="A371" t="s">
        <v>1383</v>
      </c>
      <c r="B371" s="10" t="s">
        <v>1398</v>
      </c>
      <c r="C371" t="s">
        <v>1399</v>
      </c>
      <c r="J371">
        <f>LEN(Table13[[#This Row],[REFERENCE_DESCR1]])</f>
        <v>13</v>
      </c>
    </row>
    <row r="372" spans="1:10" hidden="1">
      <c r="A372" t="s">
        <v>1383</v>
      </c>
      <c r="B372" s="10" t="s">
        <v>1400</v>
      </c>
      <c r="C372" t="s">
        <v>1401</v>
      </c>
      <c r="J372">
        <f>LEN(Table13[[#This Row],[REFERENCE_DESCR1]])</f>
        <v>15</v>
      </c>
    </row>
    <row r="373" spans="1:10" hidden="1">
      <c r="A373" t="s">
        <v>1402</v>
      </c>
      <c r="B373">
        <v>0</v>
      </c>
      <c r="C373" t="s">
        <v>1403</v>
      </c>
      <c r="J373">
        <f>LEN(Table13[[#This Row],[REFERENCE_DESCR1]])</f>
        <v>5</v>
      </c>
    </row>
    <row r="374" spans="1:10" hidden="1">
      <c r="A374" t="s">
        <v>1402</v>
      </c>
      <c r="B374">
        <v>1</v>
      </c>
      <c r="C374" t="s">
        <v>1404</v>
      </c>
      <c r="J374">
        <f>LEN(Table13[[#This Row],[REFERENCE_DESCR1]])</f>
        <v>18</v>
      </c>
    </row>
    <row r="375" spans="1:10" hidden="1">
      <c r="A375" t="s">
        <v>1402</v>
      </c>
      <c r="B375">
        <v>2</v>
      </c>
      <c r="C375" t="s">
        <v>1405</v>
      </c>
      <c r="J375">
        <f>LEN(Table13[[#This Row],[REFERENCE_DESCR1]])</f>
        <v>17</v>
      </c>
    </row>
    <row r="376" spans="1:10" hidden="1">
      <c r="A376" t="s">
        <v>1402</v>
      </c>
      <c r="B376">
        <v>3</v>
      </c>
      <c r="C376" t="s">
        <v>1406</v>
      </c>
      <c r="J376">
        <f>LEN(Table13[[#This Row],[REFERENCE_DESCR1]])</f>
        <v>18</v>
      </c>
    </row>
    <row r="377" spans="1:10" hidden="1">
      <c r="A377" t="s">
        <v>1402</v>
      </c>
      <c r="B377">
        <v>4</v>
      </c>
      <c r="C377" t="s">
        <v>1407</v>
      </c>
      <c r="J377">
        <f>LEN(Table13[[#This Row],[REFERENCE_DESCR1]])</f>
        <v>25</v>
      </c>
    </row>
    <row r="378" spans="1:10" hidden="1">
      <c r="A378" t="s">
        <v>1402</v>
      </c>
      <c r="B378">
        <v>5</v>
      </c>
      <c r="C378" t="s">
        <v>1408</v>
      </c>
      <c r="J378">
        <f>LEN(Table13[[#This Row],[REFERENCE_DESCR1]])</f>
        <v>25</v>
      </c>
    </row>
    <row r="379" spans="1:10" hidden="1">
      <c r="A379" t="s">
        <v>1402</v>
      </c>
      <c r="B379">
        <v>6</v>
      </c>
      <c r="C379" t="s">
        <v>1409</v>
      </c>
      <c r="J379">
        <f>LEN(Table13[[#This Row],[REFERENCE_DESCR1]])</f>
        <v>30</v>
      </c>
    </row>
    <row r="380" spans="1:10" hidden="1">
      <c r="A380" t="s">
        <v>1402</v>
      </c>
      <c r="B380">
        <v>7</v>
      </c>
      <c r="C380" t="s">
        <v>1410</v>
      </c>
      <c r="J380">
        <f>LEN(Table13[[#This Row],[REFERENCE_DESCR1]])</f>
        <v>27</v>
      </c>
    </row>
    <row r="381" spans="1:10" hidden="1">
      <c r="A381" t="s">
        <v>1402</v>
      </c>
      <c r="B381">
        <v>8</v>
      </c>
      <c r="C381" t="s">
        <v>1411</v>
      </c>
      <c r="J381">
        <f>LEN(Table13[[#This Row],[REFERENCE_DESCR1]])</f>
        <v>22</v>
      </c>
    </row>
    <row r="382" spans="1:10" hidden="1">
      <c r="A382" t="s">
        <v>1402</v>
      </c>
      <c r="B382">
        <v>9</v>
      </c>
      <c r="C382" t="s">
        <v>1412</v>
      </c>
      <c r="J382">
        <f>LEN(Table13[[#This Row],[REFERENCE_DESCR1]])</f>
        <v>25</v>
      </c>
    </row>
    <row r="383" spans="1:10" hidden="1">
      <c r="A383" t="s">
        <v>1402</v>
      </c>
      <c r="B383" t="s">
        <v>1146</v>
      </c>
      <c r="C383" t="s">
        <v>1413</v>
      </c>
      <c r="J383">
        <f>LEN(Table13[[#This Row],[REFERENCE_DESCR1]])</f>
        <v>24</v>
      </c>
    </row>
    <row r="384" spans="1:10" hidden="1">
      <c r="A384" t="s">
        <v>1402</v>
      </c>
      <c r="B384" t="s">
        <v>1237</v>
      </c>
      <c r="C384" t="s">
        <v>1414</v>
      </c>
      <c r="J384">
        <f>LEN(Table13[[#This Row],[REFERENCE_DESCR1]])</f>
        <v>25</v>
      </c>
    </row>
    <row r="385" spans="1:10" hidden="1">
      <c r="A385" t="s">
        <v>1402</v>
      </c>
      <c r="B385" t="s">
        <v>1415</v>
      </c>
      <c r="C385" t="s">
        <v>1416</v>
      </c>
      <c r="J385">
        <f>LEN(Table13[[#This Row],[REFERENCE_DESCR1]])</f>
        <v>22</v>
      </c>
    </row>
    <row r="386" spans="1:10" hidden="1">
      <c r="A386" t="s">
        <v>1402</v>
      </c>
      <c r="B386" t="s">
        <v>1369</v>
      </c>
      <c r="C386" t="s">
        <v>1417</v>
      </c>
      <c r="J386">
        <f>LEN(Table13[[#This Row],[REFERENCE_DESCR1]])</f>
        <v>21</v>
      </c>
    </row>
    <row r="387" spans="1:10" hidden="1">
      <c r="A387" t="s">
        <v>1402</v>
      </c>
      <c r="B387" t="s">
        <v>1373</v>
      </c>
      <c r="C387" t="s">
        <v>1418</v>
      </c>
      <c r="J387">
        <f>LEN(Table13[[#This Row],[REFERENCE_DESCR1]])</f>
        <v>22</v>
      </c>
    </row>
    <row r="388" spans="1:10" hidden="1">
      <c r="A388" t="s">
        <v>1402</v>
      </c>
      <c r="B388" t="s">
        <v>1154</v>
      </c>
      <c r="C388" t="s">
        <v>1419</v>
      </c>
      <c r="J388">
        <f>LEN(Table13[[#This Row],[REFERENCE_DESCR1]])</f>
        <v>34</v>
      </c>
    </row>
    <row r="389" spans="1:10" hidden="1">
      <c r="A389" t="s">
        <v>1420</v>
      </c>
      <c r="B389" t="s">
        <v>1421</v>
      </c>
      <c r="C389" t="s">
        <v>1422</v>
      </c>
      <c r="J389">
        <f>LEN(Table13[[#This Row],[REFERENCE_DESCR1]])</f>
        <v>36</v>
      </c>
    </row>
    <row r="390" spans="1:10" hidden="1">
      <c r="A390" t="s">
        <v>1420</v>
      </c>
      <c r="B390" t="s">
        <v>1423</v>
      </c>
      <c r="C390" t="s">
        <v>1424</v>
      </c>
      <c r="J390">
        <f>LEN(Table13[[#This Row],[REFERENCE_DESCR1]])</f>
        <v>30</v>
      </c>
    </row>
    <row r="391" spans="1:10" hidden="1">
      <c r="A391" t="s">
        <v>1420</v>
      </c>
      <c r="B391" t="s">
        <v>1425</v>
      </c>
      <c r="C391" t="s">
        <v>1426</v>
      </c>
      <c r="J391">
        <f>LEN(Table13[[#This Row],[REFERENCE_DESCR1]])</f>
        <v>36</v>
      </c>
    </row>
    <row r="392" spans="1:10" hidden="1">
      <c r="A392" t="s">
        <v>1420</v>
      </c>
      <c r="B392" t="s">
        <v>1427</v>
      </c>
      <c r="C392" t="s">
        <v>1428</v>
      </c>
      <c r="J392">
        <f>LEN(Table13[[#This Row],[REFERENCE_DESCR1]])</f>
        <v>21</v>
      </c>
    </row>
    <row r="393" spans="1:10" hidden="1">
      <c r="A393" t="s">
        <v>1429</v>
      </c>
      <c r="B393" t="s">
        <v>1148</v>
      </c>
      <c r="C393" t="s">
        <v>1430</v>
      </c>
      <c r="J393">
        <f>LEN(Table13[[#This Row],[REFERENCE_DESCR1]])</f>
        <v>5</v>
      </c>
    </row>
    <row r="394" spans="1:10" hidden="1">
      <c r="A394" t="s">
        <v>1429</v>
      </c>
      <c r="B394" t="s">
        <v>1150</v>
      </c>
      <c r="C394" t="s">
        <v>1431</v>
      </c>
      <c r="J394">
        <f>LEN(Table13[[#This Row],[REFERENCE_DESCR1]])</f>
        <v>40</v>
      </c>
    </row>
    <row r="395" spans="1:10" hidden="1">
      <c r="A395" t="s">
        <v>1429</v>
      </c>
      <c r="B395" t="s">
        <v>1367</v>
      </c>
      <c r="C395" t="s">
        <v>1432</v>
      </c>
      <c r="J395">
        <f>LEN(Table13[[#This Row],[REFERENCE_DESCR1]])</f>
        <v>21</v>
      </c>
    </row>
    <row r="396" spans="1:10" hidden="1">
      <c r="A396" t="s">
        <v>1429</v>
      </c>
      <c r="B396" t="s">
        <v>1235</v>
      </c>
      <c r="C396" t="s">
        <v>1433</v>
      </c>
      <c r="J396">
        <f>LEN(Table13[[#This Row],[REFERENCE_DESCR1]])</f>
        <v>38</v>
      </c>
    </row>
    <row r="397" spans="1:10" hidden="1">
      <c r="A397" t="s">
        <v>1429</v>
      </c>
      <c r="B397" t="s">
        <v>1237</v>
      </c>
      <c r="C397" t="s">
        <v>1434</v>
      </c>
      <c r="J397">
        <f>LEN(Table13[[#This Row],[REFERENCE_DESCR1]])</f>
        <v>21</v>
      </c>
    </row>
    <row r="398" spans="1:10" hidden="1">
      <c r="A398" t="s">
        <v>1429</v>
      </c>
      <c r="B398" t="s">
        <v>1369</v>
      </c>
      <c r="C398" t="s">
        <v>1435</v>
      </c>
      <c r="J398">
        <f>LEN(Table13[[#This Row],[REFERENCE_DESCR1]])</f>
        <v>31</v>
      </c>
    </row>
    <row r="399" spans="1:10" hidden="1">
      <c r="A399" t="s">
        <v>1429</v>
      </c>
      <c r="B399" t="s">
        <v>1152</v>
      </c>
      <c r="C399" t="s">
        <v>1436</v>
      </c>
      <c r="J399">
        <f>LEN(Table13[[#This Row],[REFERENCE_DESCR1]])</f>
        <v>7</v>
      </c>
    </row>
    <row r="400" spans="1:10" hidden="1">
      <c r="A400" t="s">
        <v>1429</v>
      </c>
      <c r="B400" t="s">
        <v>1239</v>
      </c>
      <c r="C400" t="s">
        <v>1437</v>
      </c>
      <c r="J400">
        <f>LEN(Table13[[#This Row],[REFERENCE_DESCR1]])</f>
        <v>19</v>
      </c>
    </row>
    <row r="401" spans="1:10" hidden="1">
      <c r="A401" t="s">
        <v>1429</v>
      </c>
      <c r="B401" t="s">
        <v>1438</v>
      </c>
      <c r="C401" t="s">
        <v>1439</v>
      </c>
      <c r="J401">
        <f>LEN(Table13[[#This Row],[REFERENCE_DESCR1]])</f>
        <v>20</v>
      </c>
    </row>
    <row r="402" spans="1:10" hidden="1">
      <c r="A402" t="s">
        <v>1429</v>
      </c>
      <c r="B402" t="s">
        <v>1373</v>
      </c>
      <c r="C402" t="s">
        <v>1440</v>
      </c>
      <c r="J402">
        <f>LEN(Table13[[#This Row],[REFERENCE_DESCR1]])</f>
        <v>25</v>
      </c>
    </row>
    <row r="403" spans="1:10" hidden="1">
      <c r="A403" t="s">
        <v>1429</v>
      </c>
      <c r="B403" t="s">
        <v>1154</v>
      </c>
      <c r="C403" t="s">
        <v>1441</v>
      </c>
      <c r="J403">
        <f>LEN(Table13[[#This Row],[REFERENCE_DESCR1]])</f>
        <v>40</v>
      </c>
    </row>
    <row r="404" spans="1:10" hidden="1">
      <c r="A404" t="s">
        <v>1429</v>
      </c>
      <c r="B404" t="s">
        <v>1156</v>
      </c>
      <c r="C404" t="s">
        <v>1442</v>
      </c>
      <c r="J404">
        <f>LEN(Table13[[#This Row],[REFERENCE_DESCR1]])</f>
        <v>6</v>
      </c>
    </row>
    <row r="405" spans="1:10" hidden="1">
      <c r="A405" t="s">
        <v>1429</v>
      </c>
      <c r="B405" t="s">
        <v>1377</v>
      </c>
      <c r="C405" t="s">
        <v>1443</v>
      </c>
      <c r="J405">
        <f>LEN(Table13[[#This Row],[REFERENCE_DESCR1]])</f>
        <v>18</v>
      </c>
    </row>
    <row r="406" spans="1:10" hidden="1">
      <c r="A406" t="s">
        <v>1444</v>
      </c>
      <c r="B406" t="s">
        <v>1445</v>
      </c>
      <c r="C406" t="s">
        <v>1446</v>
      </c>
      <c r="J406">
        <f>LEN(Table13[[#This Row],[REFERENCE_DESCR1]])</f>
        <v>25</v>
      </c>
    </row>
    <row r="407" spans="1:10" hidden="1">
      <c r="A407" t="s">
        <v>1444</v>
      </c>
      <c r="B407" t="s">
        <v>1447</v>
      </c>
      <c r="C407" t="s">
        <v>1448</v>
      </c>
      <c r="J407">
        <f>LEN(Table13[[#This Row],[REFERENCE_DESCR1]])</f>
        <v>25</v>
      </c>
    </row>
    <row r="408" spans="1:10" hidden="1">
      <c r="A408" t="s">
        <v>1444</v>
      </c>
      <c r="B408" t="s">
        <v>1449</v>
      </c>
      <c r="C408" t="s">
        <v>1450</v>
      </c>
      <c r="G408" t="s">
        <v>1451</v>
      </c>
      <c r="H408" s="31" t="s">
        <v>1452</v>
      </c>
      <c r="J408">
        <f>LEN(Table13[[#This Row],[REFERENCE_DESCR1]])</f>
        <v>32</v>
      </c>
    </row>
    <row r="409" spans="1:10" hidden="1">
      <c r="A409" t="s">
        <v>1444</v>
      </c>
      <c r="B409" t="s">
        <v>1453</v>
      </c>
      <c r="C409" t="s">
        <v>1454</v>
      </c>
      <c r="G409" t="s">
        <v>1455</v>
      </c>
      <c r="H409" t="s">
        <v>1456</v>
      </c>
      <c r="J409">
        <f>LEN(Table13[[#This Row],[REFERENCE_DESCR1]])</f>
        <v>23</v>
      </c>
    </row>
    <row r="410" spans="1:10" hidden="1">
      <c r="A410" t="s">
        <v>1444</v>
      </c>
      <c r="B410" t="s">
        <v>1457</v>
      </c>
      <c r="C410" t="s">
        <v>1458</v>
      </c>
      <c r="G410" t="s">
        <v>1455</v>
      </c>
      <c r="H410" t="s">
        <v>1456</v>
      </c>
      <c r="J410">
        <f>LEN(Table13[[#This Row],[REFERENCE_DESCR1]])</f>
        <v>40</v>
      </c>
    </row>
    <row r="411" spans="1:10" hidden="1">
      <c r="A411" t="s">
        <v>1444</v>
      </c>
      <c r="B411" t="s">
        <v>1459</v>
      </c>
      <c r="C411" t="s">
        <v>1460</v>
      </c>
      <c r="G411" t="s">
        <v>1461</v>
      </c>
      <c r="H411" t="s">
        <v>1462</v>
      </c>
      <c r="J411">
        <f>LEN(Table13[[#This Row],[REFERENCE_DESCR1]])</f>
        <v>40</v>
      </c>
    </row>
    <row r="412" spans="1:10" hidden="1">
      <c r="A412" t="s">
        <v>1444</v>
      </c>
      <c r="B412" t="s">
        <v>1463</v>
      </c>
      <c r="C412" t="s">
        <v>1464</v>
      </c>
      <c r="J412">
        <f>LEN(Table13[[#This Row],[REFERENCE_DESCR1]])</f>
        <v>4</v>
      </c>
    </row>
    <row r="413" spans="1:10" hidden="1">
      <c r="A413" t="s">
        <v>1444</v>
      </c>
      <c r="B413" t="s">
        <v>1465</v>
      </c>
      <c r="C413" t="s">
        <v>1466</v>
      </c>
      <c r="J413">
        <f>LEN(Table13[[#This Row],[REFERENCE_DESCR1]])</f>
        <v>19</v>
      </c>
    </row>
    <row r="414" spans="1:10" hidden="1">
      <c r="A414" t="s">
        <v>1444</v>
      </c>
      <c r="B414" t="s">
        <v>1467</v>
      </c>
      <c r="C414" t="s">
        <v>1468</v>
      </c>
      <c r="J414">
        <f>LEN(Table13[[#This Row],[REFERENCE_DESCR1]])</f>
        <v>21</v>
      </c>
    </row>
    <row r="415" spans="1:10" hidden="1">
      <c r="A415" t="s">
        <v>1444</v>
      </c>
      <c r="B415" t="s">
        <v>1469</v>
      </c>
      <c r="C415" t="s">
        <v>1470</v>
      </c>
      <c r="G415" t="s">
        <v>1471</v>
      </c>
      <c r="H415" t="s">
        <v>1472</v>
      </c>
      <c r="I415" t="s">
        <v>1473</v>
      </c>
      <c r="J415">
        <f>LEN(Table13[[#This Row],[REFERENCE_DESCR1]])</f>
        <v>20</v>
      </c>
    </row>
    <row r="416" spans="1:10" hidden="1">
      <c r="A416" t="s">
        <v>1444</v>
      </c>
      <c r="B416" t="s">
        <v>1474</v>
      </c>
      <c r="C416" t="s">
        <v>1475</v>
      </c>
      <c r="J416">
        <f>LEN(Table13[[#This Row],[REFERENCE_DESCR1]])</f>
        <v>11</v>
      </c>
    </row>
    <row r="417" spans="1:10" hidden="1">
      <c r="A417" t="s">
        <v>1444</v>
      </c>
      <c r="B417" t="s">
        <v>1476</v>
      </c>
      <c r="C417" t="s">
        <v>1477</v>
      </c>
      <c r="G417" t="s">
        <v>1451</v>
      </c>
      <c r="H417" s="31" t="s">
        <v>1452</v>
      </c>
      <c r="J417">
        <f>LEN(Table13[[#This Row],[REFERENCE_DESCR1]])</f>
        <v>16</v>
      </c>
    </row>
    <row r="418" spans="1:10" hidden="1">
      <c r="A418" t="s">
        <v>1444</v>
      </c>
      <c r="B418" t="s">
        <v>1478</v>
      </c>
      <c r="C418" t="s">
        <v>1479</v>
      </c>
      <c r="G418" t="s">
        <v>1455</v>
      </c>
      <c r="H418" t="s">
        <v>1456</v>
      </c>
      <c r="J418">
        <f>LEN(Table13[[#This Row],[REFERENCE_DESCR1]])</f>
        <v>22</v>
      </c>
    </row>
    <row r="419" spans="1:10" hidden="1">
      <c r="A419" t="s">
        <v>1444</v>
      </c>
      <c r="B419" t="s">
        <v>1480</v>
      </c>
      <c r="C419" t="s">
        <v>1481</v>
      </c>
      <c r="G419" t="s">
        <v>1461</v>
      </c>
      <c r="H419" t="s">
        <v>1462</v>
      </c>
      <c r="J419">
        <f>LEN(Table13[[#This Row],[REFERENCE_DESCR1]])</f>
        <v>18</v>
      </c>
    </row>
    <row r="420" spans="1:10" hidden="1">
      <c r="A420" t="s">
        <v>1444</v>
      </c>
      <c r="B420" t="s">
        <v>1482</v>
      </c>
      <c r="C420" t="s">
        <v>1483</v>
      </c>
      <c r="J420">
        <f>LEN(Table13[[#This Row],[REFERENCE_DESCR1]])</f>
        <v>33</v>
      </c>
    </row>
    <row r="421" spans="1:10" hidden="1">
      <c r="A421" t="s">
        <v>1444</v>
      </c>
      <c r="B421" t="s">
        <v>1484</v>
      </c>
      <c r="C421" t="s">
        <v>1485</v>
      </c>
      <c r="G421" t="s">
        <v>1486</v>
      </c>
      <c r="H421" t="s">
        <v>1487</v>
      </c>
      <c r="J421">
        <f>LEN(Table13[[#This Row],[REFERENCE_DESCR1]])</f>
        <v>7</v>
      </c>
    </row>
    <row r="422" spans="1:10" hidden="1">
      <c r="A422" t="s">
        <v>1444</v>
      </c>
      <c r="B422" t="s">
        <v>1488</v>
      </c>
      <c r="C422" t="s">
        <v>1489</v>
      </c>
      <c r="G422" t="s">
        <v>1471</v>
      </c>
      <c r="H422" t="s">
        <v>1472</v>
      </c>
      <c r="I422" t="s">
        <v>1473</v>
      </c>
      <c r="J422">
        <f>LEN(Table13[[#This Row],[REFERENCE_DESCR1]])</f>
        <v>32</v>
      </c>
    </row>
    <row r="423" spans="1:10" hidden="1">
      <c r="A423" t="s">
        <v>1444</v>
      </c>
      <c r="B423" t="s">
        <v>1490</v>
      </c>
      <c r="C423" t="s">
        <v>1491</v>
      </c>
      <c r="G423" t="s">
        <v>1492</v>
      </c>
      <c r="H423" s="31" t="s">
        <v>1493</v>
      </c>
      <c r="J423">
        <f>LEN(Table13[[#This Row],[REFERENCE_DESCR1]])</f>
        <v>30</v>
      </c>
    </row>
    <row r="424" spans="1:10" hidden="1">
      <c r="A424" t="s">
        <v>1444</v>
      </c>
      <c r="B424" t="s">
        <v>1494</v>
      </c>
      <c r="C424" t="s">
        <v>1495</v>
      </c>
      <c r="G424" t="s">
        <v>1492</v>
      </c>
      <c r="H424" t="s">
        <v>1493</v>
      </c>
      <c r="J424">
        <f>LEN(Table13[[#This Row],[REFERENCE_DESCR1]])</f>
        <v>33</v>
      </c>
    </row>
    <row r="425" spans="1:10" hidden="1">
      <c r="A425" t="s">
        <v>1444</v>
      </c>
      <c r="B425" t="s">
        <v>1496</v>
      </c>
      <c r="C425" t="s">
        <v>1497</v>
      </c>
      <c r="J425">
        <f>LEN(Table13[[#This Row],[REFERENCE_DESCR1]])</f>
        <v>17</v>
      </c>
    </row>
    <row r="426" spans="1:10" hidden="1">
      <c r="A426" t="s">
        <v>1444</v>
      </c>
      <c r="B426" t="s">
        <v>1498</v>
      </c>
      <c r="C426" t="s">
        <v>1499</v>
      </c>
      <c r="G426" t="s">
        <v>1455</v>
      </c>
      <c r="H426" t="s">
        <v>1456</v>
      </c>
      <c r="J426">
        <f>LEN(Table13[[#This Row],[REFERENCE_DESCR1]])</f>
        <v>13</v>
      </c>
    </row>
    <row r="427" spans="1:10" hidden="1">
      <c r="A427" t="s">
        <v>1444</v>
      </c>
      <c r="B427" t="s">
        <v>1500</v>
      </c>
      <c r="C427" t="s">
        <v>1501</v>
      </c>
      <c r="J427">
        <f>LEN(Table13[[#This Row],[REFERENCE_DESCR1]])</f>
        <v>16</v>
      </c>
    </row>
    <row r="428" spans="1:10" hidden="1">
      <c r="A428" t="s">
        <v>1444</v>
      </c>
      <c r="B428" t="s">
        <v>1502</v>
      </c>
      <c r="C428" t="s">
        <v>1503</v>
      </c>
      <c r="G428" t="s">
        <v>1471</v>
      </c>
      <c r="H428" t="s">
        <v>1472</v>
      </c>
      <c r="I428" t="s">
        <v>1473</v>
      </c>
      <c r="J428">
        <f>LEN(Table13[[#This Row],[REFERENCE_DESCR1]])</f>
        <v>10</v>
      </c>
    </row>
    <row r="429" spans="1:10" hidden="1">
      <c r="A429" t="s">
        <v>1444</v>
      </c>
      <c r="B429" t="s">
        <v>1504</v>
      </c>
      <c r="C429" t="s">
        <v>1505</v>
      </c>
      <c r="J429">
        <f>LEN(Table13[[#This Row],[REFERENCE_DESCR1]])</f>
        <v>40</v>
      </c>
    </row>
    <row r="430" spans="1:10" hidden="1">
      <c r="A430" t="s">
        <v>1444</v>
      </c>
      <c r="B430" t="s">
        <v>1506</v>
      </c>
      <c r="C430" t="s">
        <v>1507</v>
      </c>
      <c r="G430" t="s">
        <v>1455</v>
      </c>
      <c r="H430" t="s">
        <v>1456</v>
      </c>
      <c r="J430">
        <f>LEN(Table13[[#This Row],[REFERENCE_DESCR1]])</f>
        <v>40</v>
      </c>
    </row>
    <row r="431" spans="1:10" hidden="1">
      <c r="A431" t="s">
        <v>1444</v>
      </c>
      <c r="B431" t="s">
        <v>1508</v>
      </c>
      <c r="C431" t="s">
        <v>1509</v>
      </c>
      <c r="G431" t="s">
        <v>1486</v>
      </c>
      <c r="H431" t="s">
        <v>1487</v>
      </c>
      <c r="J431">
        <f>LEN(Table13[[#This Row],[REFERENCE_DESCR1]])</f>
        <v>39</v>
      </c>
    </row>
    <row r="432" spans="1:10" hidden="1">
      <c r="A432" t="s">
        <v>1444</v>
      </c>
      <c r="B432" t="s">
        <v>1510</v>
      </c>
      <c r="C432" t="s">
        <v>1511</v>
      </c>
      <c r="J432">
        <f>LEN(Table13[[#This Row],[REFERENCE_DESCR1]])</f>
        <v>9</v>
      </c>
    </row>
    <row r="433" spans="1:10" hidden="1">
      <c r="A433" t="s">
        <v>1444</v>
      </c>
      <c r="B433" t="s">
        <v>1512</v>
      </c>
      <c r="C433" t="s">
        <v>1513</v>
      </c>
      <c r="G433" t="s">
        <v>1492</v>
      </c>
      <c r="H433" s="31" t="s">
        <v>1493</v>
      </c>
      <c r="J433">
        <f>LEN(Table13[[#This Row],[REFERENCE_DESCR1]])</f>
        <v>10</v>
      </c>
    </row>
    <row r="434" spans="1:10" hidden="1">
      <c r="A434" t="s">
        <v>1444</v>
      </c>
      <c r="B434" t="s">
        <v>1175</v>
      </c>
      <c r="C434" t="s">
        <v>1514</v>
      </c>
      <c r="J434">
        <f>LEN(Table13[[#This Row],[REFERENCE_DESCR1]])</f>
        <v>5</v>
      </c>
    </row>
    <row r="435" spans="1:10" hidden="1">
      <c r="A435" t="s">
        <v>1515</v>
      </c>
      <c r="B435" t="s">
        <v>1146</v>
      </c>
      <c r="C435" t="s">
        <v>1516</v>
      </c>
      <c r="J435">
        <f>LEN(Table13[[#This Row],[REFERENCE_DESCR1]])</f>
        <v>10</v>
      </c>
    </row>
    <row r="436" spans="1:10" hidden="1">
      <c r="A436" t="s">
        <v>1515</v>
      </c>
      <c r="B436" t="s">
        <v>1517</v>
      </c>
      <c r="C436" t="s">
        <v>1518</v>
      </c>
      <c r="J436">
        <f>LEN(Table13[[#This Row],[REFERENCE_DESCR1]])</f>
        <v>7</v>
      </c>
    </row>
    <row r="437" spans="1:10" hidden="1">
      <c r="A437" t="s">
        <v>1515</v>
      </c>
      <c r="B437" t="s">
        <v>1415</v>
      </c>
      <c r="C437" t="s">
        <v>1519</v>
      </c>
      <c r="J437">
        <f>LEN(Table13[[#This Row],[REFERENCE_DESCR1]])</f>
        <v>10</v>
      </c>
    </row>
    <row r="438" spans="1:10" hidden="1">
      <c r="A438" t="s">
        <v>1515</v>
      </c>
      <c r="B438" t="s">
        <v>1369</v>
      </c>
      <c r="C438" t="s">
        <v>850</v>
      </c>
      <c r="J438">
        <f>LEN(Table13[[#This Row],[REFERENCE_DESCR1]])</f>
        <v>13</v>
      </c>
    </row>
    <row r="439" spans="1:10" hidden="1">
      <c r="A439" t="s">
        <v>1515</v>
      </c>
      <c r="B439" t="s">
        <v>1152</v>
      </c>
      <c r="C439" t="s">
        <v>1520</v>
      </c>
      <c r="J439">
        <f>LEN(Table13[[#This Row],[REFERENCE_DESCR1]])</f>
        <v>16</v>
      </c>
    </row>
    <row r="440" spans="1:10" hidden="1">
      <c r="A440" t="s">
        <v>1515</v>
      </c>
      <c r="B440" t="s">
        <v>1239</v>
      </c>
      <c r="C440" t="s">
        <v>1521</v>
      </c>
      <c r="J440">
        <f>LEN(Table13[[#This Row],[REFERENCE_DESCR1]])</f>
        <v>9</v>
      </c>
    </row>
    <row r="441" spans="1:10" hidden="1">
      <c r="A441" t="s">
        <v>1522</v>
      </c>
      <c r="B441" t="s">
        <v>1152</v>
      </c>
      <c r="C441" t="s">
        <v>1523</v>
      </c>
      <c r="J441">
        <f>LEN(Table13[[#This Row],[REFERENCE_DESCR1]])</f>
        <v>3</v>
      </c>
    </row>
    <row r="442" spans="1:10" hidden="1">
      <c r="A442" t="s">
        <v>1522</v>
      </c>
      <c r="B442" t="s">
        <v>1373</v>
      </c>
      <c r="C442" t="s">
        <v>1524</v>
      </c>
      <c r="J442">
        <f>LEN(Table13[[#This Row],[REFERENCE_DESCR1]])</f>
        <v>6</v>
      </c>
    </row>
    <row r="443" spans="1:10" hidden="1">
      <c r="A443" t="s">
        <v>1525</v>
      </c>
      <c r="B443" t="s">
        <v>1526</v>
      </c>
      <c r="C443" t="s">
        <v>1527</v>
      </c>
      <c r="J443">
        <f>LEN(Table13[[#This Row],[REFERENCE_DESCR1]])</f>
        <v>29</v>
      </c>
    </row>
    <row r="444" spans="1:10" hidden="1">
      <c r="A444" t="s">
        <v>1525</v>
      </c>
      <c r="B444" t="s">
        <v>1528</v>
      </c>
      <c r="C444" t="s">
        <v>1529</v>
      </c>
      <c r="J444">
        <f>LEN(Table13[[#This Row],[REFERENCE_DESCR1]])</f>
        <v>9</v>
      </c>
    </row>
    <row r="445" spans="1:10" hidden="1">
      <c r="A445" t="s">
        <v>1525</v>
      </c>
      <c r="B445" t="s">
        <v>1530</v>
      </c>
      <c r="C445" t="s">
        <v>1531</v>
      </c>
      <c r="J445">
        <f>LEN(Table13[[#This Row],[REFERENCE_DESCR1]])</f>
        <v>6</v>
      </c>
    </row>
    <row r="446" spans="1:10" hidden="1">
      <c r="A446" t="s">
        <v>1525</v>
      </c>
      <c r="B446" t="s">
        <v>1532</v>
      </c>
      <c r="C446" t="s">
        <v>1533</v>
      </c>
      <c r="J446">
        <f>LEN(Table13[[#This Row],[REFERENCE_DESCR1]])</f>
        <v>17</v>
      </c>
    </row>
    <row r="447" spans="1:10" hidden="1">
      <c r="A447" t="s">
        <v>1525</v>
      </c>
      <c r="B447" t="s">
        <v>1534</v>
      </c>
      <c r="C447" t="s">
        <v>1535</v>
      </c>
      <c r="J447">
        <f>LEN(Table13[[#This Row],[REFERENCE_DESCR1]])</f>
        <v>13</v>
      </c>
    </row>
    <row r="448" spans="1:10" hidden="1">
      <c r="A448" t="s">
        <v>1525</v>
      </c>
      <c r="B448" t="s">
        <v>1175</v>
      </c>
      <c r="C448" t="s">
        <v>1536</v>
      </c>
      <c r="J448">
        <f>LEN(Table13[[#This Row],[REFERENCE_DESCR1]])</f>
        <v>16</v>
      </c>
    </row>
    <row r="449" spans="1:10" hidden="1">
      <c r="A449" t="s">
        <v>1525</v>
      </c>
      <c r="B449" t="s">
        <v>1537</v>
      </c>
      <c r="C449" t="s">
        <v>1538</v>
      </c>
      <c r="J449">
        <f>LEN(Table13[[#This Row],[REFERENCE_DESCR1]])</f>
        <v>23</v>
      </c>
    </row>
    <row r="450" spans="1:10" hidden="1">
      <c r="A450" t="s">
        <v>1525</v>
      </c>
      <c r="B450" t="s">
        <v>1539</v>
      </c>
      <c r="C450" t="s">
        <v>1540</v>
      </c>
      <c r="J450">
        <f>LEN(Table13[[#This Row],[REFERENCE_DESCR1]])</f>
        <v>14</v>
      </c>
    </row>
    <row r="451" spans="1:10" hidden="1">
      <c r="A451" t="s">
        <v>1525</v>
      </c>
      <c r="B451" t="s">
        <v>1541</v>
      </c>
      <c r="C451" t="s">
        <v>1542</v>
      </c>
      <c r="J451">
        <f>LEN(Table13[[#This Row],[REFERENCE_DESCR1]])</f>
        <v>15</v>
      </c>
    </row>
    <row r="452" spans="1:10" hidden="1">
      <c r="A452" t="s">
        <v>1525</v>
      </c>
      <c r="B452" t="s">
        <v>1543</v>
      </c>
      <c r="C452" t="s">
        <v>1544</v>
      </c>
      <c r="J452">
        <f>LEN(Table13[[#This Row],[REFERENCE_DESCR1]])</f>
        <v>13</v>
      </c>
    </row>
    <row r="453" spans="1:10" hidden="1">
      <c r="A453" t="s">
        <v>1545</v>
      </c>
      <c r="B453" t="s">
        <v>1369</v>
      </c>
      <c r="C453" t="s">
        <v>1546</v>
      </c>
      <c r="J453">
        <f>LEN(Table13[[#This Row],[REFERENCE_DESCR1]])</f>
        <v>3</v>
      </c>
    </row>
    <row r="454" spans="1:10" hidden="1">
      <c r="A454" t="s">
        <v>1545</v>
      </c>
      <c r="B454" t="s">
        <v>1152</v>
      </c>
      <c r="C454" t="s">
        <v>1547</v>
      </c>
      <c r="J454">
        <f>LEN(Table13[[#This Row],[REFERENCE_DESCR1]])</f>
        <v>8</v>
      </c>
    </row>
    <row r="455" spans="1:10" hidden="1">
      <c r="A455" t="s">
        <v>1545</v>
      </c>
      <c r="B455" t="s">
        <v>1154</v>
      </c>
      <c r="C455" t="s">
        <v>1548</v>
      </c>
      <c r="J455">
        <f>LEN(Table13[[#This Row],[REFERENCE_DESCR1]])</f>
        <v>6</v>
      </c>
    </row>
    <row r="456" spans="1:10" hidden="1">
      <c r="A456" t="s">
        <v>1549</v>
      </c>
      <c r="B456" t="s">
        <v>1146</v>
      </c>
      <c r="C456" t="s">
        <v>1550</v>
      </c>
      <c r="J456">
        <f>LEN(Table13[[#This Row],[REFERENCE_DESCR1]])</f>
        <v>19</v>
      </c>
    </row>
    <row r="457" spans="1:10" hidden="1">
      <c r="A457" t="s">
        <v>1549</v>
      </c>
      <c r="B457" t="s">
        <v>1148</v>
      </c>
      <c r="C457" t="s">
        <v>1551</v>
      </c>
      <c r="J457">
        <f>LEN(Table13[[#This Row],[REFERENCE_DESCR1]])</f>
        <v>37</v>
      </c>
    </row>
    <row r="458" spans="1:10" hidden="1">
      <c r="A458" t="s">
        <v>1549</v>
      </c>
      <c r="B458" t="s">
        <v>1150</v>
      </c>
      <c r="C458" t="s">
        <v>1552</v>
      </c>
      <c r="J458">
        <f>LEN(Table13[[#This Row],[REFERENCE_DESCR1]])</f>
        <v>35</v>
      </c>
    </row>
    <row r="459" spans="1:10" hidden="1">
      <c r="A459" t="s">
        <v>1549</v>
      </c>
      <c r="B459" t="s">
        <v>1235</v>
      </c>
      <c r="C459" t="s">
        <v>1553</v>
      </c>
      <c r="J459">
        <f>LEN(Table13[[#This Row],[REFERENCE_DESCR1]])</f>
        <v>18</v>
      </c>
    </row>
    <row r="460" spans="1:10" hidden="1">
      <c r="A460" t="s">
        <v>1549</v>
      </c>
      <c r="B460" t="s">
        <v>1369</v>
      </c>
      <c r="C460" t="s">
        <v>1554</v>
      </c>
      <c r="J460">
        <f>LEN(Table13[[#This Row],[REFERENCE_DESCR1]])</f>
        <v>6</v>
      </c>
    </row>
    <row r="461" spans="1:10" hidden="1">
      <c r="A461" t="s">
        <v>1549</v>
      </c>
      <c r="B461" t="s">
        <v>1152</v>
      </c>
      <c r="C461" t="s">
        <v>1555</v>
      </c>
      <c r="J461">
        <f>LEN(Table13[[#This Row],[REFERENCE_DESCR1]])</f>
        <v>4</v>
      </c>
    </row>
    <row r="462" spans="1:10" hidden="1">
      <c r="A462" t="s">
        <v>1549</v>
      </c>
      <c r="B462" t="s">
        <v>1154</v>
      </c>
      <c r="C462" t="s">
        <v>1556</v>
      </c>
      <c r="J462">
        <f>LEN(Table13[[#This Row],[REFERENCE_DESCR1]])</f>
        <v>11</v>
      </c>
    </row>
    <row r="463" spans="1:10" hidden="1">
      <c r="A463" t="s">
        <v>1549</v>
      </c>
      <c r="B463" t="s">
        <v>1156</v>
      </c>
      <c r="C463" t="s">
        <v>1557</v>
      </c>
      <c r="J463">
        <f>LEN(Table13[[#This Row],[REFERENCE_DESCR1]])</f>
        <v>15</v>
      </c>
    </row>
    <row r="464" spans="1:10" hidden="1">
      <c r="A464" t="s">
        <v>1549</v>
      </c>
      <c r="B464" t="s">
        <v>1377</v>
      </c>
      <c r="C464" t="s">
        <v>1558</v>
      </c>
      <c r="J464">
        <f>LEN(Table13[[#This Row],[REFERENCE_DESCR1]])</f>
        <v>31</v>
      </c>
    </row>
    <row r="465" spans="1:10" hidden="1">
      <c r="A465" t="s">
        <v>1549</v>
      </c>
      <c r="B465" t="s">
        <v>1381</v>
      </c>
      <c r="C465" t="s">
        <v>1559</v>
      </c>
      <c r="J465">
        <f>LEN(Table13[[#This Row],[REFERENCE_DESCR1]])</f>
        <v>15</v>
      </c>
    </row>
    <row r="466" spans="1:10" hidden="1">
      <c r="A466" t="s">
        <v>1560</v>
      </c>
      <c r="B466">
        <v>1</v>
      </c>
      <c r="C466" t="s">
        <v>1561</v>
      </c>
      <c r="D466" t="s">
        <v>1562</v>
      </c>
      <c r="E466" t="s">
        <v>1563</v>
      </c>
      <c r="J466">
        <f>LEN(Table13[[#This Row],[REFERENCE_DESCR1]])</f>
        <v>13</v>
      </c>
    </row>
    <row r="467" spans="1:10" hidden="1">
      <c r="A467" t="s">
        <v>1560</v>
      </c>
      <c r="B467">
        <v>2</v>
      </c>
      <c r="C467" t="s">
        <v>1564</v>
      </c>
      <c r="D467" t="s">
        <v>1565</v>
      </c>
      <c r="E467" t="s">
        <v>1566</v>
      </c>
      <c r="J467">
        <f>LEN(Table13[[#This Row],[REFERENCE_DESCR1]])</f>
        <v>5</v>
      </c>
    </row>
    <row r="468" spans="1:10" hidden="1">
      <c r="A468" t="s">
        <v>1560</v>
      </c>
      <c r="B468">
        <v>3</v>
      </c>
      <c r="C468" t="s">
        <v>1567</v>
      </c>
      <c r="D468" t="s">
        <v>1568</v>
      </c>
      <c r="J468">
        <f>LEN(Table13[[#This Row],[REFERENCE_DESCR1]])</f>
        <v>8</v>
      </c>
    </row>
    <row r="469" spans="1:10" hidden="1">
      <c r="A469" t="s">
        <v>1560</v>
      </c>
      <c r="B469">
        <v>4</v>
      </c>
      <c r="C469" t="s">
        <v>1569</v>
      </c>
      <c r="D469" t="s">
        <v>1570</v>
      </c>
      <c r="J469">
        <f>LEN(Table13[[#This Row],[REFERENCE_DESCR1]])</f>
        <v>5</v>
      </c>
    </row>
    <row r="470" spans="1:10" hidden="1">
      <c r="A470" t="s">
        <v>1560</v>
      </c>
      <c r="B470">
        <v>5</v>
      </c>
      <c r="C470" t="s">
        <v>1571</v>
      </c>
      <c r="D470" t="s">
        <v>1572</v>
      </c>
      <c r="J470">
        <f>LEN(Table13[[#This Row],[REFERENCE_DESCR1]])</f>
        <v>12</v>
      </c>
    </row>
    <row r="471" spans="1:10" hidden="1">
      <c r="A471" t="s">
        <v>1573</v>
      </c>
      <c r="B471">
        <v>1</v>
      </c>
      <c r="C471" t="s">
        <v>1574</v>
      </c>
      <c r="D471" t="s">
        <v>1575</v>
      </c>
      <c r="E471" t="s">
        <v>1576</v>
      </c>
      <c r="J471">
        <f>LEN(Table13[[#This Row],[REFERENCE_DESCR1]])</f>
        <v>4</v>
      </c>
    </row>
    <row r="472" spans="1:10" hidden="1">
      <c r="A472" t="s">
        <v>1573</v>
      </c>
      <c r="B472">
        <v>2</v>
      </c>
      <c r="C472" t="s">
        <v>1577</v>
      </c>
      <c r="D472" t="s">
        <v>1578</v>
      </c>
      <c r="J472">
        <f>LEN(Table13[[#This Row],[REFERENCE_DESCR1]])</f>
        <v>5</v>
      </c>
    </row>
    <row r="473" spans="1:10" hidden="1">
      <c r="A473" t="s">
        <v>1573</v>
      </c>
      <c r="B473">
        <v>3</v>
      </c>
      <c r="C473" t="s">
        <v>1579</v>
      </c>
      <c r="D473" t="s">
        <v>1580</v>
      </c>
      <c r="J473">
        <f>LEN(Table13[[#This Row],[REFERENCE_DESCR1]])</f>
        <v>5</v>
      </c>
    </row>
    <row r="474" spans="1:10" hidden="1">
      <c r="A474" t="s">
        <v>1573</v>
      </c>
      <c r="B474">
        <v>4</v>
      </c>
      <c r="C474" t="s">
        <v>1581</v>
      </c>
      <c r="D474" t="s">
        <v>1582</v>
      </c>
      <c r="J474">
        <f>LEN(Table13[[#This Row],[REFERENCE_DESCR1]])</f>
        <v>4</v>
      </c>
    </row>
    <row r="475" spans="1:10" hidden="1">
      <c r="A475" t="s">
        <v>1573</v>
      </c>
      <c r="B475">
        <v>5</v>
      </c>
      <c r="C475" t="s">
        <v>1583</v>
      </c>
      <c r="D475" t="s">
        <v>1584</v>
      </c>
      <c r="E475" t="s">
        <v>1576</v>
      </c>
      <c r="J475">
        <f>LEN(Table13[[#This Row],[REFERENCE_DESCR1]])</f>
        <v>8</v>
      </c>
    </row>
    <row r="476" spans="1:10" hidden="1">
      <c r="A476" t="s">
        <v>1585</v>
      </c>
      <c r="B476">
        <v>4</v>
      </c>
      <c r="C476" t="s">
        <v>1586</v>
      </c>
      <c r="J476">
        <f>LEN(Table13[[#This Row],[REFERENCE_DESCR1]])</f>
        <v>19</v>
      </c>
    </row>
    <row r="477" spans="1:10" hidden="1">
      <c r="A477" t="s">
        <v>1585</v>
      </c>
      <c r="B477">
        <v>5</v>
      </c>
      <c r="C477" t="s">
        <v>1587</v>
      </c>
      <c r="J477">
        <f>LEN(Table13[[#This Row],[REFERENCE_DESCR1]])</f>
        <v>6</v>
      </c>
    </row>
    <row r="478" spans="1:10" hidden="1">
      <c r="A478" t="s">
        <v>1585</v>
      </c>
      <c r="B478">
        <v>6</v>
      </c>
      <c r="C478" t="s">
        <v>1588</v>
      </c>
      <c r="J478">
        <f>LEN(Table13[[#This Row],[REFERENCE_DESCR1]])</f>
        <v>22</v>
      </c>
    </row>
    <row r="479" spans="1:10" hidden="1">
      <c r="A479" t="s">
        <v>1585</v>
      </c>
      <c r="B479">
        <v>7</v>
      </c>
      <c r="C479" t="s">
        <v>1589</v>
      </c>
      <c r="J479">
        <f>LEN(Table13[[#This Row],[REFERENCE_DESCR1]])</f>
        <v>5</v>
      </c>
    </row>
    <row r="480" spans="1:10" hidden="1">
      <c r="A480" t="s">
        <v>1585</v>
      </c>
      <c r="B480">
        <v>8</v>
      </c>
      <c r="C480" t="s">
        <v>1590</v>
      </c>
      <c r="J480">
        <f>LEN(Table13[[#This Row],[REFERENCE_DESCR1]])</f>
        <v>6</v>
      </c>
    </row>
    <row r="481" spans="1:10" hidden="1">
      <c r="A481" t="s">
        <v>1585</v>
      </c>
      <c r="B481">
        <v>9</v>
      </c>
      <c r="C481" t="s">
        <v>1591</v>
      </c>
      <c r="J481">
        <f>LEN(Table13[[#This Row],[REFERENCE_DESCR1]])</f>
        <v>17</v>
      </c>
    </row>
    <row r="482" spans="1:10" hidden="1">
      <c r="A482" t="s">
        <v>1592</v>
      </c>
      <c r="B482" t="s">
        <v>1593</v>
      </c>
      <c r="C482" t="s">
        <v>1594</v>
      </c>
      <c r="D482" t="s">
        <v>256</v>
      </c>
      <c r="J482">
        <f>LEN(Table13[[#This Row],[REFERENCE_DESCR1]])</f>
        <v>27</v>
      </c>
    </row>
    <row r="483" spans="1:10" hidden="1">
      <c r="A483" t="s">
        <v>1592</v>
      </c>
      <c r="B483" t="s">
        <v>1595</v>
      </c>
      <c r="C483" t="s">
        <v>1596</v>
      </c>
      <c r="D483" t="s">
        <v>1597</v>
      </c>
      <c r="J483">
        <f>LEN(Table13[[#This Row],[REFERENCE_DESCR1]])</f>
        <v>19</v>
      </c>
    </row>
    <row r="484" spans="1:10" hidden="1">
      <c r="A484" t="s">
        <v>1592</v>
      </c>
      <c r="B484" t="s">
        <v>1598</v>
      </c>
      <c r="C484" t="s">
        <v>1599</v>
      </c>
      <c r="D484" t="s">
        <v>256</v>
      </c>
      <c r="J484">
        <f>LEN(Table13[[#This Row],[REFERENCE_DESCR1]])</f>
        <v>28</v>
      </c>
    </row>
    <row r="485" spans="1:10" hidden="1">
      <c r="A485" t="s">
        <v>1592</v>
      </c>
      <c r="B485" t="s">
        <v>1600</v>
      </c>
      <c r="C485" t="s">
        <v>1601</v>
      </c>
      <c r="D485" t="s">
        <v>1602</v>
      </c>
      <c r="J485">
        <f>LEN(Table13[[#This Row],[REFERENCE_DESCR1]])</f>
        <v>27</v>
      </c>
    </row>
    <row r="486" spans="1:10" hidden="1">
      <c r="A486" t="s">
        <v>1592</v>
      </c>
      <c r="B486" t="s">
        <v>1603</v>
      </c>
      <c r="C486" t="s">
        <v>1604</v>
      </c>
      <c r="D486" t="s">
        <v>1602</v>
      </c>
      <c r="J486">
        <f>LEN(Table13[[#This Row],[REFERENCE_DESCR1]])</f>
        <v>19</v>
      </c>
    </row>
    <row r="487" spans="1:10" hidden="1">
      <c r="A487" t="s">
        <v>1592</v>
      </c>
      <c r="B487" t="s">
        <v>1605</v>
      </c>
      <c r="C487" t="s">
        <v>1606</v>
      </c>
      <c r="D487" t="s">
        <v>1597</v>
      </c>
      <c r="J487">
        <f>LEN(Table13[[#This Row],[REFERENCE_DESCR1]])</f>
        <v>29</v>
      </c>
    </row>
    <row r="488" spans="1:10" hidden="1">
      <c r="A488" t="s">
        <v>1592</v>
      </c>
      <c r="B488" t="s">
        <v>1607</v>
      </c>
      <c r="C488" t="s">
        <v>1608</v>
      </c>
      <c r="D488" t="s">
        <v>1609</v>
      </c>
      <c r="J488">
        <f>LEN(Table13[[#This Row],[REFERENCE_DESCR1]])</f>
        <v>34</v>
      </c>
    </row>
    <row r="489" spans="1:10" hidden="1">
      <c r="A489" t="s">
        <v>1592</v>
      </c>
      <c r="B489" t="s">
        <v>1610</v>
      </c>
      <c r="C489" t="s">
        <v>1611</v>
      </c>
      <c r="D489" t="s">
        <v>1609</v>
      </c>
      <c r="J489">
        <f>LEN(Table13[[#This Row],[REFERENCE_DESCR1]])</f>
        <v>13</v>
      </c>
    </row>
    <row r="490" spans="1:10" hidden="1">
      <c r="A490" t="s">
        <v>1612</v>
      </c>
      <c r="B490">
        <v>1</v>
      </c>
      <c r="C490" t="s">
        <v>1613</v>
      </c>
      <c r="J490">
        <f>LEN(Table13[[#This Row],[REFERENCE_DESCR1]])</f>
        <v>5</v>
      </c>
    </row>
    <row r="491" spans="1:10" hidden="1">
      <c r="A491" t="s">
        <v>1612</v>
      </c>
      <c r="B491">
        <v>2</v>
      </c>
      <c r="C491" t="s">
        <v>1614</v>
      </c>
      <c r="J491">
        <f>LEN(Table13[[#This Row],[REFERENCE_DESCR1]])</f>
        <v>6</v>
      </c>
    </row>
    <row r="492" spans="1:10" hidden="1">
      <c r="A492" t="s">
        <v>1612</v>
      </c>
      <c r="B492">
        <v>3</v>
      </c>
      <c r="C492" t="s">
        <v>1615</v>
      </c>
      <c r="J492">
        <f>LEN(Table13[[#This Row],[REFERENCE_DESCR1]])</f>
        <v>9</v>
      </c>
    </row>
    <row r="493" spans="1:10" hidden="1">
      <c r="A493" t="s">
        <v>1612</v>
      </c>
      <c r="B493">
        <v>4</v>
      </c>
      <c r="C493" t="s">
        <v>1616</v>
      </c>
      <c r="J493">
        <f>LEN(Table13[[#This Row],[REFERENCE_DESCR1]])</f>
        <v>7</v>
      </c>
    </row>
    <row r="494" spans="1:10" hidden="1">
      <c r="A494" t="s">
        <v>1612</v>
      </c>
      <c r="B494">
        <v>5</v>
      </c>
      <c r="C494" t="s">
        <v>1617</v>
      </c>
      <c r="J494">
        <f>LEN(Table13[[#This Row],[REFERENCE_DESCR1]])</f>
        <v>8</v>
      </c>
    </row>
    <row r="495" spans="1:10" hidden="1">
      <c r="A495" t="s">
        <v>1612</v>
      </c>
      <c r="B495">
        <v>6</v>
      </c>
      <c r="C495" t="s">
        <v>1618</v>
      </c>
      <c r="J495">
        <f>LEN(Table13[[#This Row],[REFERENCE_DESCR1]])</f>
        <v>9</v>
      </c>
    </row>
    <row r="496" spans="1:10" hidden="1">
      <c r="A496" t="s">
        <v>1612</v>
      </c>
      <c r="B496">
        <v>7</v>
      </c>
      <c r="C496" t="s">
        <v>1619</v>
      </c>
      <c r="J496">
        <f>LEN(Table13[[#This Row],[REFERENCE_DESCR1]])</f>
        <v>6</v>
      </c>
    </row>
    <row r="497" spans="1:10" hidden="1">
      <c r="A497" t="s">
        <v>1612</v>
      </c>
      <c r="B497">
        <v>8</v>
      </c>
      <c r="C497" t="s">
        <v>1620</v>
      </c>
      <c r="J497">
        <f>LEN(Table13[[#This Row],[REFERENCE_DESCR1]])</f>
        <v>8</v>
      </c>
    </row>
    <row r="498" spans="1:10" hidden="1">
      <c r="A498" t="s">
        <v>1612</v>
      </c>
      <c r="B498">
        <v>9</v>
      </c>
      <c r="C498" t="s">
        <v>1621</v>
      </c>
      <c r="J498">
        <f>LEN(Table13[[#This Row],[REFERENCE_DESCR1]])</f>
        <v>7</v>
      </c>
    </row>
    <row r="499" spans="1:10" hidden="1">
      <c r="A499" t="s">
        <v>1612</v>
      </c>
      <c r="B499">
        <v>10</v>
      </c>
      <c r="C499" t="s">
        <v>1622</v>
      </c>
      <c r="J499">
        <f>LEN(Table13[[#This Row],[REFERENCE_DESCR1]])</f>
        <v>4</v>
      </c>
    </row>
    <row r="500" spans="1:10" hidden="1">
      <c r="A500" t="s">
        <v>1612</v>
      </c>
      <c r="B500">
        <v>11</v>
      </c>
      <c r="C500" t="s">
        <v>1623</v>
      </c>
      <c r="J500">
        <f>LEN(Table13[[#This Row],[REFERENCE_DESCR1]])</f>
        <v>6</v>
      </c>
    </row>
    <row r="501" spans="1:10" hidden="1">
      <c r="A501" t="s">
        <v>1612</v>
      </c>
      <c r="B501">
        <v>12</v>
      </c>
      <c r="C501" t="s">
        <v>1624</v>
      </c>
      <c r="J501">
        <f>LEN(Table13[[#This Row],[REFERENCE_DESCR1]])</f>
        <v>10</v>
      </c>
    </row>
    <row r="502" spans="1:10" hidden="1">
      <c r="A502" t="s">
        <v>1612</v>
      </c>
      <c r="B502">
        <v>13</v>
      </c>
      <c r="C502" t="s">
        <v>1625</v>
      </c>
      <c r="J502">
        <f>LEN(Table13[[#This Row],[REFERENCE_DESCR1]])</f>
        <v>6</v>
      </c>
    </row>
    <row r="503" spans="1:10" hidden="1">
      <c r="A503" t="s">
        <v>1612</v>
      </c>
      <c r="B503">
        <v>14</v>
      </c>
      <c r="C503" t="s">
        <v>1626</v>
      </c>
      <c r="J503">
        <f>LEN(Table13[[#This Row],[REFERENCE_DESCR1]])</f>
        <v>11</v>
      </c>
    </row>
    <row r="504" spans="1:10" hidden="1">
      <c r="A504" t="s">
        <v>1612</v>
      </c>
      <c r="B504">
        <v>15</v>
      </c>
      <c r="C504" t="s">
        <v>1627</v>
      </c>
      <c r="J504">
        <f>LEN(Table13[[#This Row],[REFERENCE_DESCR1]])</f>
        <v>6</v>
      </c>
    </row>
    <row r="505" spans="1:10" hidden="1">
      <c r="A505" t="s">
        <v>1612</v>
      </c>
      <c r="B505">
        <v>16</v>
      </c>
      <c r="C505" t="s">
        <v>1628</v>
      </c>
      <c r="J505">
        <f>LEN(Table13[[#This Row],[REFERENCE_DESCR1]])</f>
        <v>6</v>
      </c>
    </row>
    <row r="506" spans="1:10" hidden="1">
      <c r="A506" t="s">
        <v>1612</v>
      </c>
      <c r="B506">
        <v>17</v>
      </c>
      <c r="C506" t="s">
        <v>1629</v>
      </c>
      <c r="J506">
        <f>LEN(Table13[[#This Row],[REFERENCE_DESCR1]])</f>
        <v>7</v>
      </c>
    </row>
    <row r="507" spans="1:10" hidden="1">
      <c r="A507" t="s">
        <v>1612</v>
      </c>
      <c r="B507">
        <v>18</v>
      </c>
      <c r="C507" t="s">
        <v>1630</v>
      </c>
      <c r="J507">
        <f>LEN(Table13[[#This Row],[REFERENCE_DESCR1]])</f>
        <v>9</v>
      </c>
    </row>
    <row r="508" spans="1:10" hidden="1">
      <c r="A508" t="s">
        <v>1612</v>
      </c>
      <c r="B508">
        <v>19</v>
      </c>
      <c r="C508" t="s">
        <v>1631</v>
      </c>
      <c r="J508">
        <f>LEN(Table13[[#This Row],[REFERENCE_DESCR1]])</f>
        <v>8</v>
      </c>
    </row>
    <row r="509" spans="1:10" hidden="1">
      <c r="A509" t="s">
        <v>1612</v>
      </c>
      <c r="B509">
        <v>20</v>
      </c>
      <c r="C509" t="s">
        <v>1632</v>
      </c>
      <c r="J509">
        <f>LEN(Table13[[#This Row],[REFERENCE_DESCR1]])</f>
        <v>6</v>
      </c>
    </row>
    <row r="510" spans="1:10" hidden="1">
      <c r="A510" t="s">
        <v>1612</v>
      </c>
      <c r="B510">
        <v>21</v>
      </c>
      <c r="C510" t="s">
        <v>1633</v>
      </c>
      <c r="J510">
        <f>LEN(Table13[[#This Row],[REFERENCE_DESCR1]])</f>
        <v>4</v>
      </c>
    </row>
    <row r="511" spans="1:10" hidden="1">
      <c r="A511" t="s">
        <v>1612</v>
      </c>
      <c r="B511">
        <v>22</v>
      </c>
      <c r="C511" t="s">
        <v>1634</v>
      </c>
      <c r="J511">
        <f>LEN(Table13[[#This Row],[REFERENCE_DESCR1]])</f>
        <v>6</v>
      </c>
    </row>
    <row r="512" spans="1:10" hidden="1">
      <c r="A512" t="s">
        <v>1612</v>
      </c>
      <c r="B512">
        <v>23</v>
      </c>
      <c r="C512" t="s">
        <v>1635</v>
      </c>
      <c r="J512">
        <f>LEN(Table13[[#This Row],[REFERENCE_DESCR1]])</f>
        <v>15</v>
      </c>
    </row>
    <row r="513" spans="1:10" hidden="1">
      <c r="A513" t="s">
        <v>1612</v>
      </c>
      <c r="B513">
        <v>24</v>
      </c>
      <c r="C513" t="s">
        <v>1636</v>
      </c>
      <c r="J513">
        <f>LEN(Table13[[#This Row],[REFERENCE_DESCR1]])</f>
        <v>7</v>
      </c>
    </row>
    <row r="514" spans="1:10" hidden="1">
      <c r="A514" t="s">
        <v>1612</v>
      </c>
      <c r="B514">
        <v>25</v>
      </c>
      <c r="C514" t="s">
        <v>1637</v>
      </c>
      <c r="J514">
        <f>LEN(Table13[[#This Row],[REFERENCE_DESCR1]])</f>
        <v>4</v>
      </c>
    </row>
    <row r="515" spans="1:10" hidden="1">
      <c r="A515" t="s">
        <v>1612</v>
      </c>
      <c r="B515">
        <v>26</v>
      </c>
      <c r="C515" t="s">
        <v>1638</v>
      </c>
      <c r="J515">
        <f>LEN(Table13[[#This Row],[REFERENCE_DESCR1]])</f>
        <v>9</v>
      </c>
    </row>
    <row r="516" spans="1:10" hidden="1">
      <c r="A516" t="s">
        <v>1612</v>
      </c>
      <c r="B516">
        <v>27</v>
      </c>
      <c r="C516" t="s">
        <v>1639</v>
      </c>
      <c r="J516">
        <f>LEN(Table13[[#This Row],[REFERENCE_DESCR1]])</f>
        <v>9</v>
      </c>
    </row>
    <row r="517" spans="1:10" hidden="1">
      <c r="A517" t="s">
        <v>1612</v>
      </c>
      <c r="B517">
        <v>28</v>
      </c>
      <c r="C517" t="s">
        <v>1640</v>
      </c>
      <c r="J517">
        <f>LEN(Table13[[#This Row],[REFERENCE_DESCR1]])</f>
        <v>9</v>
      </c>
    </row>
    <row r="518" spans="1:10" hidden="1">
      <c r="A518" t="s">
        <v>1612</v>
      </c>
      <c r="B518">
        <v>29</v>
      </c>
      <c r="C518" t="s">
        <v>1641</v>
      </c>
      <c r="J518">
        <f>LEN(Table13[[#This Row],[REFERENCE_DESCR1]])</f>
        <v>7</v>
      </c>
    </row>
    <row r="519" spans="1:10" hidden="1">
      <c r="A519" t="s">
        <v>1612</v>
      </c>
      <c r="B519">
        <v>30</v>
      </c>
      <c r="C519" t="s">
        <v>1642</v>
      </c>
      <c r="J519">
        <f>LEN(Table13[[#This Row],[REFERENCE_DESCR1]])</f>
        <v>8</v>
      </c>
    </row>
    <row r="520" spans="1:10" hidden="1">
      <c r="A520" t="s">
        <v>1612</v>
      </c>
      <c r="B520">
        <v>31</v>
      </c>
      <c r="C520" t="s">
        <v>1643</v>
      </c>
      <c r="J520">
        <f>LEN(Table13[[#This Row],[REFERENCE_DESCR1]])</f>
        <v>9</v>
      </c>
    </row>
    <row r="521" spans="1:10" hidden="1">
      <c r="A521" t="s">
        <v>1612</v>
      </c>
      <c r="B521">
        <v>32</v>
      </c>
      <c r="C521" t="s">
        <v>1644</v>
      </c>
      <c r="J521">
        <f>LEN(Table13[[#This Row],[REFERENCE_DESCR1]])</f>
        <v>11</v>
      </c>
    </row>
    <row r="522" spans="1:10" hidden="1">
      <c r="A522" t="s">
        <v>1612</v>
      </c>
      <c r="B522">
        <v>33</v>
      </c>
      <c r="C522" t="s">
        <v>1645</v>
      </c>
      <c r="J522">
        <f>LEN(Table13[[#This Row],[REFERENCE_DESCR1]])</f>
        <v>12</v>
      </c>
    </row>
    <row r="523" spans="1:10" hidden="1">
      <c r="A523" t="s">
        <v>1612</v>
      </c>
      <c r="B523">
        <v>34</v>
      </c>
      <c r="C523" t="s">
        <v>1646</v>
      </c>
      <c r="J523">
        <f>LEN(Table13[[#This Row],[REFERENCE_DESCR1]])</f>
        <v>4</v>
      </c>
    </row>
    <row r="524" spans="1:10" hidden="1">
      <c r="A524" t="s">
        <v>1612</v>
      </c>
      <c r="B524">
        <v>35</v>
      </c>
      <c r="C524" t="s">
        <v>1647</v>
      </c>
      <c r="J524">
        <f>LEN(Table13[[#This Row],[REFERENCE_DESCR1]])</f>
        <v>6</v>
      </c>
    </row>
    <row r="525" spans="1:10" hidden="1">
      <c r="A525" t="s">
        <v>1612</v>
      </c>
      <c r="B525">
        <v>36</v>
      </c>
      <c r="C525" t="s">
        <v>1648</v>
      </c>
      <c r="J525">
        <f>LEN(Table13[[#This Row],[REFERENCE_DESCR1]])</f>
        <v>10</v>
      </c>
    </row>
    <row r="526" spans="1:10" hidden="1">
      <c r="A526" t="s">
        <v>1612</v>
      </c>
      <c r="B526">
        <v>37</v>
      </c>
      <c r="C526" t="s">
        <v>1649</v>
      </c>
      <c r="J526">
        <f>LEN(Table13[[#This Row],[REFERENCE_DESCR1]])</f>
        <v>8</v>
      </c>
    </row>
    <row r="527" spans="1:10" hidden="1">
      <c r="A527" t="s">
        <v>1612</v>
      </c>
      <c r="B527">
        <v>38</v>
      </c>
      <c r="C527" t="s">
        <v>1650</v>
      </c>
      <c r="J527">
        <f>LEN(Table13[[#This Row],[REFERENCE_DESCR1]])</f>
        <v>4</v>
      </c>
    </row>
    <row r="528" spans="1:10" hidden="1">
      <c r="A528" t="s">
        <v>1612</v>
      </c>
      <c r="B528">
        <v>39</v>
      </c>
      <c r="C528" t="s">
        <v>1651</v>
      </c>
      <c r="J528">
        <f>LEN(Table13[[#This Row],[REFERENCE_DESCR1]])</f>
        <v>8</v>
      </c>
    </row>
    <row r="529" spans="1:10" hidden="1">
      <c r="A529" t="s">
        <v>1612</v>
      </c>
      <c r="B529">
        <v>40</v>
      </c>
      <c r="C529" t="s">
        <v>1652</v>
      </c>
      <c r="J529">
        <f>LEN(Table13[[#This Row],[REFERENCE_DESCR1]])</f>
        <v>8</v>
      </c>
    </row>
    <row r="530" spans="1:10" hidden="1">
      <c r="A530" t="s">
        <v>1612</v>
      </c>
      <c r="B530">
        <v>41</v>
      </c>
      <c r="C530" t="s">
        <v>1653</v>
      </c>
      <c r="J530">
        <f>LEN(Table13[[#This Row],[REFERENCE_DESCR1]])</f>
        <v>9</v>
      </c>
    </row>
    <row r="531" spans="1:10" hidden="1">
      <c r="A531" t="s">
        <v>1612</v>
      </c>
      <c r="B531">
        <v>42</v>
      </c>
      <c r="C531" t="s">
        <v>1654</v>
      </c>
      <c r="J531">
        <f>LEN(Table13[[#This Row],[REFERENCE_DESCR1]])</f>
        <v>9</v>
      </c>
    </row>
    <row r="532" spans="1:10" hidden="1">
      <c r="A532" t="s">
        <v>1612</v>
      </c>
      <c r="B532">
        <v>43</v>
      </c>
      <c r="C532" t="s">
        <v>1655</v>
      </c>
      <c r="J532">
        <f>LEN(Table13[[#This Row],[REFERENCE_DESCR1]])</f>
        <v>6</v>
      </c>
    </row>
    <row r="533" spans="1:10" hidden="1">
      <c r="A533" t="s">
        <v>1612</v>
      </c>
      <c r="B533">
        <v>44</v>
      </c>
      <c r="C533" t="s">
        <v>1656</v>
      </c>
      <c r="J533">
        <f>LEN(Table13[[#This Row],[REFERENCE_DESCR1]])</f>
        <v>7</v>
      </c>
    </row>
    <row r="534" spans="1:10" hidden="1">
      <c r="A534" t="s">
        <v>1612</v>
      </c>
      <c r="B534">
        <v>45</v>
      </c>
      <c r="C534" t="s">
        <v>1657</v>
      </c>
      <c r="J534">
        <f>LEN(Table13[[#This Row],[REFERENCE_DESCR1]])</f>
        <v>9</v>
      </c>
    </row>
    <row r="535" spans="1:10" hidden="1">
      <c r="A535" t="s">
        <v>1612</v>
      </c>
      <c r="B535">
        <v>46</v>
      </c>
      <c r="C535" t="s">
        <v>1658</v>
      </c>
      <c r="J535">
        <f>LEN(Table13[[#This Row],[REFERENCE_DESCR1]])</f>
        <v>6</v>
      </c>
    </row>
    <row r="536" spans="1:10" hidden="1">
      <c r="A536" t="s">
        <v>1612</v>
      </c>
      <c r="B536">
        <v>47</v>
      </c>
      <c r="C536" t="s">
        <v>1659</v>
      </c>
      <c r="J536">
        <f>LEN(Table13[[#This Row],[REFERENCE_DESCR1]])</f>
        <v>9</v>
      </c>
    </row>
    <row r="537" spans="1:10" hidden="1">
      <c r="A537" t="s">
        <v>1612</v>
      </c>
      <c r="B537">
        <v>48</v>
      </c>
      <c r="C537" t="s">
        <v>1660</v>
      </c>
      <c r="J537">
        <f>LEN(Table13[[#This Row],[REFERENCE_DESCR1]])</f>
        <v>7</v>
      </c>
    </row>
    <row r="538" spans="1:10" hidden="1">
      <c r="A538" t="s">
        <v>1612</v>
      </c>
      <c r="B538">
        <v>49</v>
      </c>
      <c r="C538" t="s">
        <v>1661</v>
      </c>
      <c r="J538">
        <f>LEN(Table13[[#This Row],[REFERENCE_DESCR1]])</f>
        <v>7</v>
      </c>
    </row>
    <row r="539" spans="1:10" hidden="1">
      <c r="A539" t="s">
        <v>1662</v>
      </c>
      <c r="B539" t="s">
        <v>1663</v>
      </c>
      <c r="C539" t="s">
        <v>1664</v>
      </c>
      <c r="J539">
        <f>LEN(Table13[[#This Row],[REFERENCE_DESCR1]])</f>
        <v>38</v>
      </c>
    </row>
    <row r="540" spans="1:10" hidden="1">
      <c r="A540" t="s">
        <v>1662</v>
      </c>
      <c r="B540" t="s">
        <v>1665</v>
      </c>
      <c r="C540" t="s">
        <v>1666</v>
      </c>
      <c r="J540">
        <f>LEN(Table13[[#This Row],[REFERENCE_DESCR1]])</f>
        <v>18</v>
      </c>
    </row>
    <row r="541" spans="1:10" hidden="1">
      <c r="A541" t="s">
        <v>1662</v>
      </c>
      <c r="B541" t="s">
        <v>1667</v>
      </c>
      <c r="C541" t="s">
        <v>1668</v>
      </c>
      <c r="J541">
        <f>LEN(Table13[[#This Row],[REFERENCE_DESCR1]])</f>
        <v>26</v>
      </c>
    </row>
    <row r="542" spans="1:10" hidden="1">
      <c r="A542" t="s">
        <v>1662</v>
      </c>
      <c r="B542" t="s">
        <v>1175</v>
      </c>
      <c r="C542" t="s">
        <v>1669</v>
      </c>
      <c r="J542">
        <f>LEN(Table13[[#This Row],[REFERENCE_DESCR1]])</f>
        <v>19</v>
      </c>
    </row>
    <row r="543" spans="1:10" hidden="1">
      <c r="A543" t="s">
        <v>1662</v>
      </c>
      <c r="B543" t="s">
        <v>1670</v>
      </c>
      <c r="C543" t="s">
        <v>1671</v>
      </c>
      <c r="J543">
        <f>LEN(Table13[[#This Row],[REFERENCE_DESCR1]])</f>
        <v>25</v>
      </c>
    </row>
    <row r="544" spans="1:10" hidden="1">
      <c r="A544" t="s">
        <v>1662</v>
      </c>
      <c r="B544" t="s">
        <v>1672</v>
      </c>
      <c r="C544" t="s">
        <v>1673</v>
      </c>
      <c r="J544">
        <f>LEN(Table13[[#This Row],[REFERENCE_DESCR1]])</f>
        <v>22</v>
      </c>
    </row>
    <row r="545" spans="1:10" hidden="1">
      <c r="A545" t="s">
        <v>1662</v>
      </c>
      <c r="B545" t="s">
        <v>1674</v>
      </c>
      <c r="C545" t="s">
        <v>1675</v>
      </c>
      <c r="J545">
        <f>LEN(Table13[[#This Row],[REFERENCE_DESCR1]])</f>
        <v>12</v>
      </c>
    </row>
    <row r="546" spans="1:10" hidden="1">
      <c r="A546" t="s">
        <v>1662</v>
      </c>
      <c r="B546" t="s">
        <v>1676</v>
      </c>
      <c r="C546" t="s">
        <v>1677</v>
      </c>
      <c r="J546">
        <f>LEN(Table13[[#This Row],[REFERENCE_DESCR1]])</f>
        <v>20</v>
      </c>
    </row>
    <row r="547" spans="1:10" hidden="1">
      <c r="A547" t="s">
        <v>1662</v>
      </c>
      <c r="B547" t="s">
        <v>1678</v>
      </c>
      <c r="C547" t="s">
        <v>1679</v>
      </c>
      <c r="J547">
        <f>LEN(Table13[[#This Row],[REFERENCE_DESCR1]])</f>
        <v>23</v>
      </c>
    </row>
    <row r="548" spans="1:10" hidden="1">
      <c r="A548" t="s">
        <v>1680</v>
      </c>
      <c r="B548">
        <v>0</v>
      </c>
      <c r="C548" t="s">
        <v>1681</v>
      </c>
      <c r="J548">
        <f>LEN(Table13[[#This Row],[REFERENCE_DESCR1]])</f>
        <v>8</v>
      </c>
    </row>
    <row r="549" spans="1:10" hidden="1">
      <c r="A549" t="s">
        <v>1680</v>
      </c>
      <c r="B549">
        <v>1</v>
      </c>
      <c r="C549" t="s">
        <v>1682</v>
      </c>
      <c r="J549">
        <f>LEN(Table13[[#This Row],[REFERENCE_DESCR1]])</f>
        <v>4</v>
      </c>
    </row>
    <row r="550" spans="1:10" hidden="1">
      <c r="A550" t="s">
        <v>1680</v>
      </c>
      <c r="B550">
        <v>2</v>
      </c>
      <c r="C550" t="s">
        <v>1682</v>
      </c>
      <c r="J550">
        <f>LEN(Table13[[#This Row],[REFERENCE_DESCR1]])</f>
        <v>4</v>
      </c>
    </row>
    <row r="551" spans="1:10" hidden="1">
      <c r="A551" t="s">
        <v>1680</v>
      </c>
      <c r="B551">
        <v>3</v>
      </c>
      <c r="C551" t="s">
        <v>1683</v>
      </c>
      <c r="J551">
        <f>LEN(Table13[[#This Row],[REFERENCE_DESCR1]])</f>
        <v>4</v>
      </c>
    </row>
    <row r="552" spans="1:10" hidden="1">
      <c r="A552" t="s">
        <v>1680</v>
      </c>
      <c r="B552">
        <v>4</v>
      </c>
      <c r="C552" t="s">
        <v>1684</v>
      </c>
      <c r="J552">
        <f>LEN(Table13[[#This Row],[REFERENCE_DESCR1]])</f>
        <v>4</v>
      </c>
    </row>
    <row r="553" spans="1:10" hidden="1">
      <c r="A553" t="s">
        <v>1680</v>
      </c>
      <c r="B553">
        <v>5</v>
      </c>
      <c r="C553" t="s">
        <v>1684</v>
      </c>
      <c r="J553">
        <f>LEN(Table13[[#This Row],[REFERENCE_DESCR1]])</f>
        <v>4</v>
      </c>
    </row>
    <row r="554" spans="1:10" hidden="1">
      <c r="A554" t="s">
        <v>1685</v>
      </c>
      <c r="B554" t="s">
        <v>1686</v>
      </c>
      <c r="C554" t="s">
        <v>1687</v>
      </c>
      <c r="J554">
        <f>LEN(Table13[[#This Row],[REFERENCE_DESCR1]])</f>
        <v>39</v>
      </c>
    </row>
    <row r="555" spans="1:10" hidden="1">
      <c r="A555" t="s">
        <v>1685</v>
      </c>
      <c r="B555" t="s">
        <v>1688</v>
      </c>
      <c r="C555" t="s">
        <v>1689</v>
      </c>
      <c r="J555">
        <f>LEN(Table13[[#This Row],[REFERENCE_DESCR1]])</f>
        <v>39</v>
      </c>
    </row>
    <row r="556" spans="1:10" hidden="1">
      <c r="A556" t="s">
        <v>1685</v>
      </c>
      <c r="B556" t="s">
        <v>1690</v>
      </c>
      <c r="C556" t="s">
        <v>1691</v>
      </c>
      <c r="J556">
        <f>LEN(Table13[[#This Row],[REFERENCE_DESCR1]])</f>
        <v>40</v>
      </c>
    </row>
    <row r="557" spans="1:10" hidden="1">
      <c r="A557" t="s">
        <v>1685</v>
      </c>
      <c r="B557" t="s">
        <v>1692</v>
      </c>
      <c r="C557" t="s">
        <v>1693</v>
      </c>
      <c r="J557">
        <f>LEN(Table13[[#This Row],[REFERENCE_DESCR1]])</f>
        <v>24</v>
      </c>
    </row>
    <row r="558" spans="1:10" hidden="1">
      <c r="A558" t="s">
        <v>1685</v>
      </c>
      <c r="B558" t="s">
        <v>1694</v>
      </c>
      <c r="C558" t="s">
        <v>1695</v>
      </c>
      <c r="J558">
        <f>LEN(Table13[[#This Row],[REFERENCE_DESCR1]])</f>
        <v>31</v>
      </c>
    </row>
    <row r="559" spans="1:10" hidden="1">
      <c r="A559" t="s">
        <v>1685</v>
      </c>
      <c r="B559" t="s">
        <v>1696</v>
      </c>
      <c r="C559" t="s">
        <v>1697</v>
      </c>
      <c r="J559">
        <f>LEN(Table13[[#This Row],[REFERENCE_DESCR1]])</f>
        <v>30</v>
      </c>
    </row>
    <row r="560" spans="1:10" hidden="1">
      <c r="A560" t="s">
        <v>1685</v>
      </c>
      <c r="B560" t="s">
        <v>1698</v>
      </c>
      <c r="C560" t="s">
        <v>1699</v>
      </c>
      <c r="J560">
        <f>LEN(Table13[[#This Row],[REFERENCE_DESCR1]])</f>
        <v>27</v>
      </c>
    </row>
    <row r="561" spans="1:10" hidden="1">
      <c r="A561" t="s">
        <v>1685</v>
      </c>
      <c r="B561" t="s">
        <v>1700</v>
      </c>
      <c r="C561" t="s">
        <v>1701</v>
      </c>
      <c r="J561">
        <f>LEN(Table13[[#This Row],[REFERENCE_DESCR1]])</f>
        <v>38</v>
      </c>
    </row>
    <row r="562" spans="1:10" hidden="1">
      <c r="A562" t="s">
        <v>1685</v>
      </c>
      <c r="B562" t="s">
        <v>1702</v>
      </c>
      <c r="C562" t="s">
        <v>1703</v>
      </c>
      <c r="J562">
        <f>LEN(Table13[[#This Row],[REFERENCE_DESCR1]])</f>
        <v>38</v>
      </c>
    </row>
    <row r="563" spans="1:10" hidden="1">
      <c r="A563" t="s">
        <v>1685</v>
      </c>
      <c r="B563" t="s">
        <v>1704</v>
      </c>
      <c r="C563" t="s">
        <v>1705</v>
      </c>
      <c r="J563">
        <f>LEN(Table13[[#This Row],[REFERENCE_DESCR1]])</f>
        <v>23</v>
      </c>
    </row>
    <row r="564" spans="1:10" hidden="1">
      <c r="A564" t="s">
        <v>1706</v>
      </c>
      <c r="B564">
        <v>1</v>
      </c>
      <c r="C564" t="s">
        <v>1707</v>
      </c>
      <c r="J564">
        <f>LEN(Table13[[#This Row],[REFERENCE_DESCR1]])</f>
        <v>21</v>
      </c>
    </row>
    <row r="565" spans="1:10" hidden="1">
      <c r="A565" t="s">
        <v>1706</v>
      </c>
      <c r="B565">
        <v>2</v>
      </c>
      <c r="C565" t="s">
        <v>1708</v>
      </c>
      <c r="J565">
        <f>LEN(Table13[[#This Row],[REFERENCE_DESCR1]])</f>
        <v>22</v>
      </c>
    </row>
    <row r="566" spans="1:10" hidden="1">
      <c r="A566" t="s">
        <v>1706</v>
      </c>
      <c r="B566">
        <v>3</v>
      </c>
      <c r="C566" t="s">
        <v>1709</v>
      </c>
      <c r="J566">
        <f>LEN(Table13[[#This Row],[REFERENCE_DESCR1]])</f>
        <v>16</v>
      </c>
    </row>
    <row r="567" spans="1:10" hidden="1">
      <c r="A567" t="s">
        <v>1706</v>
      </c>
      <c r="B567">
        <v>4</v>
      </c>
      <c r="C567" t="s">
        <v>1710</v>
      </c>
      <c r="J567">
        <f>LEN(Table13[[#This Row],[REFERENCE_DESCR1]])</f>
        <v>24</v>
      </c>
    </row>
    <row r="568" spans="1:10" hidden="1">
      <c r="A568" t="s">
        <v>1706</v>
      </c>
      <c r="B568">
        <v>5</v>
      </c>
      <c r="C568" t="s">
        <v>1711</v>
      </c>
      <c r="J568">
        <f>LEN(Table13[[#This Row],[REFERENCE_DESCR1]])</f>
        <v>23</v>
      </c>
    </row>
    <row r="569" spans="1:10" hidden="1">
      <c r="A569" t="s">
        <v>1706</v>
      </c>
      <c r="B569">
        <v>6</v>
      </c>
      <c r="C569" t="s">
        <v>1712</v>
      </c>
      <c r="J569">
        <f>LEN(Table13[[#This Row],[REFERENCE_DESCR1]])</f>
        <v>6</v>
      </c>
    </row>
    <row r="570" spans="1:10" hidden="1">
      <c r="A570" t="s">
        <v>1706</v>
      </c>
      <c r="B570">
        <v>7</v>
      </c>
      <c r="C570" t="s">
        <v>1713</v>
      </c>
      <c r="J570">
        <f>LEN(Table13[[#This Row],[REFERENCE_DESCR1]])</f>
        <v>4</v>
      </c>
    </row>
    <row r="571" spans="1:10" hidden="1">
      <c r="A571" t="s">
        <v>1706</v>
      </c>
      <c r="B571">
        <v>8</v>
      </c>
      <c r="C571" t="s">
        <v>1714</v>
      </c>
      <c r="J571">
        <f>LEN(Table13[[#This Row],[REFERENCE_DESCR1]])</f>
        <v>10</v>
      </c>
    </row>
    <row r="572" spans="1:10" hidden="1">
      <c r="A572" t="s">
        <v>1706</v>
      </c>
      <c r="B572">
        <v>9</v>
      </c>
      <c r="C572" t="s">
        <v>1715</v>
      </c>
      <c r="J572">
        <f>LEN(Table13[[#This Row],[REFERENCE_DESCR1]])</f>
        <v>9</v>
      </c>
    </row>
    <row r="573" spans="1:10" hidden="1">
      <c r="A573" t="s">
        <v>1716</v>
      </c>
      <c r="B573" t="s">
        <v>1717</v>
      </c>
      <c r="C573" t="s">
        <v>1718</v>
      </c>
      <c r="J573">
        <f>LEN(Table13[[#This Row],[REFERENCE_DESCR1]])</f>
        <v>7</v>
      </c>
    </row>
    <row r="574" spans="1:10" hidden="1">
      <c r="A574" t="s">
        <v>1716</v>
      </c>
      <c r="B574" t="s">
        <v>1719</v>
      </c>
      <c r="C574" t="s">
        <v>1720</v>
      </c>
      <c r="J574">
        <f>LEN(Table13[[#This Row],[REFERENCE_DESCR1]])</f>
        <v>7</v>
      </c>
    </row>
    <row r="575" spans="1:10" hidden="1">
      <c r="A575" t="s">
        <v>1716</v>
      </c>
      <c r="B575" t="s">
        <v>1721</v>
      </c>
      <c r="C575" t="s">
        <v>1722</v>
      </c>
      <c r="J575">
        <f>LEN(Table13[[#This Row],[REFERENCE_DESCR1]])</f>
        <v>7</v>
      </c>
    </row>
    <row r="576" spans="1:10" hidden="1">
      <c r="A576" t="s">
        <v>1716</v>
      </c>
      <c r="B576" t="s">
        <v>1723</v>
      </c>
      <c r="C576" t="s">
        <v>1724</v>
      </c>
      <c r="J576">
        <f>LEN(Table13[[#This Row],[REFERENCE_DESCR1]])</f>
        <v>10</v>
      </c>
    </row>
    <row r="577" spans="1:10" hidden="1">
      <c r="A577" t="s">
        <v>1725</v>
      </c>
      <c r="B577" t="s">
        <v>1726</v>
      </c>
      <c r="C577" t="s">
        <v>1727</v>
      </c>
      <c r="D577" t="s">
        <v>1728</v>
      </c>
      <c r="E577" t="s">
        <v>1363</v>
      </c>
      <c r="F577" t="s">
        <v>447</v>
      </c>
      <c r="J577">
        <f>LEN(Table13[[#This Row],[REFERENCE_DESCR1]])</f>
        <v>6</v>
      </c>
    </row>
    <row r="578" spans="1:10" hidden="1">
      <c r="A578" t="s">
        <v>1725</v>
      </c>
      <c r="B578" t="s">
        <v>1729</v>
      </c>
      <c r="C578" t="s">
        <v>1730</v>
      </c>
      <c r="D578" t="s">
        <v>1731</v>
      </c>
      <c r="E578" t="s">
        <v>447</v>
      </c>
      <c r="F578" t="s">
        <v>1363</v>
      </c>
      <c r="J578">
        <f>LEN(Table13[[#This Row],[REFERENCE_DESCR1]])</f>
        <v>5</v>
      </c>
    </row>
    <row r="579" spans="1:10" hidden="1">
      <c r="A579" t="s">
        <v>1725</v>
      </c>
      <c r="B579" t="s">
        <v>1732</v>
      </c>
      <c r="C579" t="s">
        <v>1733</v>
      </c>
      <c r="D579" t="s">
        <v>1734</v>
      </c>
      <c r="E579" t="s">
        <v>1363</v>
      </c>
      <c r="F579" t="s">
        <v>447</v>
      </c>
      <c r="J579">
        <f>LEN(Table13[[#This Row],[REFERENCE_DESCR1]])</f>
        <v>8</v>
      </c>
    </row>
    <row r="580" spans="1:10" hidden="1">
      <c r="A580" t="s">
        <v>1725</v>
      </c>
      <c r="B580" t="s">
        <v>1735</v>
      </c>
      <c r="C580" t="s">
        <v>1736</v>
      </c>
      <c r="D580" t="s">
        <v>1737</v>
      </c>
      <c r="E580" t="s">
        <v>447</v>
      </c>
      <c r="F580" t="s">
        <v>1363</v>
      </c>
      <c r="J580">
        <f>LEN(Table13[[#This Row],[REFERENCE_DESCR1]])</f>
        <v>6</v>
      </c>
    </row>
    <row r="581" spans="1:10" hidden="1">
      <c r="A581" t="s">
        <v>1725</v>
      </c>
      <c r="B581" t="s">
        <v>1738</v>
      </c>
      <c r="C581" t="s">
        <v>1739</v>
      </c>
      <c r="D581" t="s">
        <v>1740</v>
      </c>
      <c r="E581" t="s">
        <v>447</v>
      </c>
      <c r="F581" t="s">
        <v>1363</v>
      </c>
      <c r="J581">
        <f>LEN(Table13[[#This Row],[REFERENCE_DESCR1]])</f>
        <v>10</v>
      </c>
    </row>
    <row r="582" spans="1:10" hidden="1">
      <c r="A582" t="s">
        <v>1725</v>
      </c>
      <c r="B582" t="s">
        <v>1741</v>
      </c>
      <c r="C582" t="s">
        <v>1742</v>
      </c>
      <c r="D582" t="s">
        <v>1731</v>
      </c>
      <c r="E582" t="s">
        <v>447</v>
      </c>
      <c r="F582" t="s">
        <v>1363</v>
      </c>
      <c r="J582">
        <f>LEN(Table13[[#This Row],[REFERENCE_DESCR1]])</f>
        <v>8</v>
      </c>
    </row>
    <row r="583" spans="1:10" hidden="1">
      <c r="A583" t="s">
        <v>1725</v>
      </c>
      <c r="B583" t="s">
        <v>1743</v>
      </c>
      <c r="C583" t="s">
        <v>1744</v>
      </c>
      <c r="D583" t="s">
        <v>1745</v>
      </c>
      <c r="E583" t="s">
        <v>447</v>
      </c>
      <c r="F583" t="s">
        <v>1363</v>
      </c>
      <c r="J583">
        <f>LEN(Table13[[#This Row],[REFERENCE_DESCR1]])</f>
        <v>5</v>
      </c>
    </row>
    <row r="584" spans="1:10" hidden="1">
      <c r="A584" t="s">
        <v>1725</v>
      </c>
      <c r="B584" t="s">
        <v>1746</v>
      </c>
      <c r="C584" t="s">
        <v>1747</v>
      </c>
      <c r="D584" t="s">
        <v>1748</v>
      </c>
      <c r="E584" t="s">
        <v>447</v>
      </c>
      <c r="F584" t="s">
        <v>1363</v>
      </c>
      <c r="J584">
        <f>LEN(Table13[[#This Row],[REFERENCE_DESCR1]])</f>
        <v>11</v>
      </c>
    </row>
    <row r="585" spans="1:10" hidden="1">
      <c r="A585" t="s">
        <v>1725</v>
      </c>
      <c r="B585" t="s">
        <v>1749</v>
      </c>
      <c r="C585" t="s">
        <v>1750</v>
      </c>
      <c r="D585" t="s">
        <v>1751</v>
      </c>
      <c r="E585" t="s">
        <v>447</v>
      </c>
      <c r="F585" t="s">
        <v>1363</v>
      </c>
      <c r="J585">
        <f>LEN(Table13[[#This Row],[REFERENCE_DESCR1]])</f>
        <v>8</v>
      </c>
    </row>
    <row r="586" spans="1:10" hidden="1">
      <c r="A586" t="s">
        <v>1725</v>
      </c>
      <c r="B586" t="s">
        <v>1752</v>
      </c>
      <c r="C586" t="s">
        <v>1753</v>
      </c>
      <c r="D586" t="s">
        <v>1754</v>
      </c>
      <c r="E586" t="s">
        <v>447</v>
      </c>
      <c r="F586" t="s">
        <v>1363</v>
      </c>
      <c r="J586">
        <f>LEN(Table13[[#This Row],[REFERENCE_DESCR1]])</f>
        <v>19</v>
      </c>
    </row>
    <row r="587" spans="1:10" hidden="1">
      <c r="A587" t="s">
        <v>1725</v>
      </c>
      <c r="B587" t="s">
        <v>1755</v>
      </c>
      <c r="C587" t="s">
        <v>1756</v>
      </c>
      <c r="D587" t="s">
        <v>1757</v>
      </c>
      <c r="E587" t="s">
        <v>447</v>
      </c>
      <c r="F587" t="s">
        <v>447</v>
      </c>
      <c r="J587">
        <f>LEN(Table13[[#This Row],[REFERENCE_DESCR1]])</f>
        <v>6</v>
      </c>
    </row>
    <row r="588" spans="1:10" hidden="1">
      <c r="A588" t="s">
        <v>1725</v>
      </c>
      <c r="B588" t="s">
        <v>1758</v>
      </c>
      <c r="C588" t="s">
        <v>1759</v>
      </c>
      <c r="D588" t="s">
        <v>1731</v>
      </c>
      <c r="E588" t="s">
        <v>1363</v>
      </c>
      <c r="F588" t="s">
        <v>1363</v>
      </c>
      <c r="J588">
        <f>LEN(Table13[[#This Row],[REFERENCE_DESCR1]])</f>
        <v>10</v>
      </c>
    </row>
    <row r="589" spans="1:10" hidden="1">
      <c r="A589" t="s">
        <v>1725</v>
      </c>
      <c r="B589" t="s">
        <v>1760</v>
      </c>
      <c r="C589" t="s">
        <v>1761</v>
      </c>
      <c r="D589" t="s">
        <v>1760</v>
      </c>
      <c r="E589" t="s">
        <v>1363</v>
      </c>
      <c r="F589" t="s">
        <v>1363</v>
      </c>
      <c r="J589">
        <f>LEN(Table13[[#This Row],[REFERENCE_DESCR1]])</f>
        <v>9</v>
      </c>
    </row>
    <row r="590" spans="1:10" hidden="1">
      <c r="A590" t="s">
        <v>1725</v>
      </c>
      <c r="B590" t="s">
        <v>1762</v>
      </c>
      <c r="C590" t="s">
        <v>1763</v>
      </c>
      <c r="D590" t="s">
        <v>1764</v>
      </c>
      <c r="E590" t="s">
        <v>447</v>
      </c>
      <c r="F590" t="s">
        <v>1363</v>
      </c>
      <c r="J590">
        <f>LEN(Table13[[#This Row],[REFERENCE_DESCR1]])</f>
        <v>23</v>
      </c>
    </row>
    <row r="591" spans="1:10" hidden="1">
      <c r="A591" t="s">
        <v>1725</v>
      </c>
      <c r="B591" t="s">
        <v>1765</v>
      </c>
      <c r="C591" t="s">
        <v>1766</v>
      </c>
      <c r="D591" t="s">
        <v>1767</v>
      </c>
      <c r="E591" t="s">
        <v>1363</v>
      </c>
      <c r="F591" t="s">
        <v>447</v>
      </c>
      <c r="J591">
        <f>LEN(Table13[[#This Row],[REFERENCE_DESCR1]])</f>
        <v>5</v>
      </c>
    </row>
    <row r="592" spans="1:10" hidden="1">
      <c r="A592" t="s">
        <v>1725</v>
      </c>
      <c r="B592" t="s">
        <v>1768</v>
      </c>
      <c r="C592" t="s">
        <v>1769</v>
      </c>
      <c r="D592" t="s">
        <v>1770</v>
      </c>
      <c r="E592" t="s">
        <v>447</v>
      </c>
      <c r="F592" t="s">
        <v>1363</v>
      </c>
      <c r="J592">
        <f>LEN(Table13[[#This Row],[REFERENCE_DESCR1]])</f>
        <v>9</v>
      </c>
    </row>
    <row r="593" spans="1:10" hidden="1">
      <c r="A593" t="s">
        <v>1725</v>
      </c>
      <c r="B593" t="s">
        <v>1771</v>
      </c>
      <c r="C593" t="s">
        <v>1772</v>
      </c>
      <c r="D593" t="s">
        <v>1773</v>
      </c>
      <c r="E593" t="s">
        <v>447</v>
      </c>
      <c r="F593" t="s">
        <v>1363</v>
      </c>
      <c r="J593">
        <f>LEN(Table13[[#This Row],[REFERENCE_DESCR1]])</f>
        <v>7</v>
      </c>
    </row>
    <row r="594" spans="1:10" hidden="1">
      <c r="A594" t="s">
        <v>1725</v>
      </c>
      <c r="B594" t="s">
        <v>1774</v>
      </c>
      <c r="C594" t="s">
        <v>1775</v>
      </c>
      <c r="D594" t="s">
        <v>1776</v>
      </c>
      <c r="E594" t="s">
        <v>447</v>
      </c>
      <c r="F594" t="s">
        <v>1363</v>
      </c>
      <c r="J594">
        <f>LEN(Table13[[#This Row],[REFERENCE_DESCR1]])</f>
        <v>3</v>
      </c>
    </row>
    <row r="595" spans="1:10" hidden="1">
      <c r="A595" t="s">
        <v>1725</v>
      </c>
      <c r="B595" t="s">
        <v>1777</v>
      </c>
      <c r="C595" t="s">
        <v>1778</v>
      </c>
      <c r="D595" t="s">
        <v>1779</v>
      </c>
      <c r="E595" t="s">
        <v>447</v>
      </c>
      <c r="F595" t="s">
        <v>1363</v>
      </c>
      <c r="J595">
        <f>LEN(Table13[[#This Row],[REFERENCE_DESCR1]])</f>
        <v>9</v>
      </c>
    </row>
    <row r="596" spans="1:10" hidden="1">
      <c r="A596" t="s">
        <v>1725</v>
      </c>
      <c r="B596" t="s">
        <v>1780</v>
      </c>
      <c r="C596" t="s">
        <v>1781</v>
      </c>
      <c r="D596" t="s">
        <v>1782</v>
      </c>
      <c r="E596" t="s">
        <v>447</v>
      </c>
      <c r="F596" t="s">
        <v>1363</v>
      </c>
      <c r="J596">
        <f>LEN(Table13[[#This Row],[REFERENCE_DESCR1]])</f>
        <v>5</v>
      </c>
    </row>
    <row r="597" spans="1:10" hidden="1">
      <c r="A597" t="s">
        <v>1725</v>
      </c>
      <c r="B597" t="s">
        <v>1783</v>
      </c>
      <c r="C597" t="s">
        <v>1784</v>
      </c>
      <c r="D597" t="s">
        <v>1785</v>
      </c>
      <c r="E597" t="s">
        <v>447</v>
      </c>
      <c r="F597" t="s">
        <v>1363</v>
      </c>
      <c r="J597">
        <f>LEN(Table13[[#This Row],[REFERENCE_DESCR1]])</f>
        <v>8</v>
      </c>
    </row>
    <row r="598" spans="1:10" hidden="1">
      <c r="A598" t="s">
        <v>1725</v>
      </c>
      <c r="B598" t="s">
        <v>1786</v>
      </c>
      <c r="C598" t="s">
        <v>1781</v>
      </c>
      <c r="D598" t="s">
        <v>1782</v>
      </c>
      <c r="E598" t="s">
        <v>447</v>
      </c>
      <c r="F598" t="s">
        <v>1363</v>
      </c>
      <c r="J598">
        <f>LEN(Table13[[#This Row],[REFERENCE_DESCR1]])</f>
        <v>5</v>
      </c>
    </row>
    <row r="599" spans="1:10" hidden="1">
      <c r="A599" t="s">
        <v>1725</v>
      </c>
      <c r="B599" t="s">
        <v>1787</v>
      </c>
      <c r="C599" t="s">
        <v>1788</v>
      </c>
      <c r="D599" t="s">
        <v>1776</v>
      </c>
      <c r="E599" t="s">
        <v>447</v>
      </c>
      <c r="F599" t="s">
        <v>1363</v>
      </c>
      <c r="J599">
        <f>LEN(Table13[[#This Row],[REFERENCE_DESCR1]])</f>
        <v>6</v>
      </c>
    </row>
    <row r="600" spans="1:10" hidden="1">
      <c r="A600" t="s">
        <v>1725</v>
      </c>
      <c r="B600" t="s">
        <v>1789</v>
      </c>
      <c r="C600" t="s">
        <v>1790</v>
      </c>
      <c r="D600" t="s">
        <v>1791</v>
      </c>
      <c r="E600" t="s">
        <v>447</v>
      </c>
      <c r="F600" t="s">
        <v>1363</v>
      </c>
      <c r="J600">
        <f>LEN(Table13[[#This Row],[REFERENCE_DESCR1]])</f>
        <v>7</v>
      </c>
    </row>
    <row r="601" spans="1:10" hidden="1">
      <c r="A601" t="s">
        <v>1725</v>
      </c>
      <c r="B601" t="s">
        <v>1792</v>
      </c>
      <c r="C601" t="s">
        <v>1793</v>
      </c>
      <c r="D601" t="s">
        <v>1794</v>
      </c>
      <c r="E601" t="s">
        <v>447</v>
      </c>
      <c r="F601" t="s">
        <v>447</v>
      </c>
      <c r="J601">
        <f>LEN(Table13[[#This Row],[REFERENCE_DESCR1]])</f>
        <v>6</v>
      </c>
    </row>
    <row r="602" spans="1:10" hidden="1">
      <c r="A602" t="s">
        <v>1725</v>
      </c>
      <c r="B602" t="s">
        <v>1795</v>
      </c>
      <c r="C602" t="s">
        <v>1796</v>
      </c>
      <c r="D602" t="s">
        <v>1797</v>
      </c>
      <c r="E602" t="s">
        <v>447</v>
      </c>
      <c r="F602" t="s">
        <v>1363</v>
      </c>
      <c r="J602">
        <f>LEN(Table13[[#This Row],[REFERENCE_DESCR1]])</f>
        <v>5</v>
      </c>
    </row>
    <row r="603" spans="1:10" hidden="1">
      <c r="A603" t="s">
        <v>1725</v>
      </c>
      <c r="B603" t="s">
        <v>1798</v>
      </c>
      <c r="C603" t="s">
        <v>1799</v>
      </c>
      <c r="D603" t="s">
        <v>1800</v>
      </c>
      <c r="E603" t="s">
        <v>447</v>
      </c>
      <c r="F603" t="s">
        <v>1363</v>
      </c>
      <c r="J603">
        <f>LEN(Table13[[#This Row],[REFERENCE_DESCR1]])</f>
        <v>4</v>
      </c>
    </row>
    <row r="604" spans="1:10" hidden="1">
      <c r="A604" t="s">
        <v>1725</v>
      </c>
      <c r="B604" t="s">
        <v>1801</v>
      </c>
      <c r="C604" t="s">
        <v>1802</v>
      </c>
      <c r="D604" t="s">
        <v>1803</v>
      </c>
      <c r="E604" t="s">
        <v>447</v>
      </c>
      <c r="F604" t="s">
        <v>1363</v>
      </c>
      <c r="J604">
        <f>LEN(Table13[[#This Row],[REFERENCE_DESCR1]])</f>
        <v>10</v>
      </c>
    </row>
    <row r="605" spans="1:10" hidden="1">
      <c r="A605" t="s">
        <v>1725</v>
      </c>
      <c r="B605" t="s">
        <v>1804</v>
      </c>
      <c r="C605" t="s">
        <v>1805</v>
      </c>
      <c r="D605" t="s">
        <v>1806</v>
      </c>
      <c r="E605" t="s">
        <v>447</v>
      </c>
      <c r="F605" t="s">
        <v>1363</v>
      </c>
      <c r="J605">
        <f>LEN(Table13[[#This Row],[REFERENCE_DESCR1]])</f>
        <v>6</v>
      </c>
    </row>
    <row r="606" spans="1:10" hidden="1">
      <c r="A606" t="s">
        <v>1725</v>
      </c>
      <c r="B606" t="s">
        <v>1807</v>
      </c>
      <c r="C606" t="s">
        <v>1808</v>
      </c>
      <c r="D606" t="s">
        <v>1809</v>
      </c>
      <c r="E606" t="s">
        <v>447</v>
      </c>
      <c r="F606" t="s">
        <v>447</v>
      </c>
      <c r="J606">
        <f>LEN(Table13[[#This Row],[REFERENCE_DESCR1]])</f>
        <v>21</v>
      </c>
    </row>
    <row r="607" spans="1:10" hidden="1">
      <c r="A607" t="s">
        <v>1725</v>
      </c>
      <c r="B607" t="s">
        <v>1810</v>
      </c>
      <c r="C607" t="s">
        <v>1811</v>
      </c>
      <c r="D607" t="s">
        <v>1812</v>
      </c>
      <c r="E607" t="s">
        <v>447</v>
      </c>
      <c r="F607" t="s">
        <v>447</v>
      </c>
      <c r="J607">
        <f>LEN(Table13[[#This Row],[REFERENCE_DESCR1]])</f>
        <v>7</v>
      </c>
    </row>
    <row r="608" spans="1:10" hidden="1">
      <c r="A608" t="s">
        <v>1725</v>
      </c>
      <c r="B608" t="s">
        <v>1813</v>
      </c>
      <c r="C608" t="s">
        <v>1814</v>
      </c>
      <c r="D608" t="s">
        <v>1800</v>
      </c>
      <c r="E608" t="s">
        <v>1363</v>
      </c>
      <c r="F608" t="s">
        <v>1363</v>
      </c>
      <c r="J608">
        <f>LEN(Table13[[#This Row],[REFERENCE_DESCR1]])</f>
        <v>13</v>
      </c>
    </row>
    <row r="609" spans="1:10" hidden="1">
      <c r="A609" t="s">
        <v>1725</v>
      </c>
      <c r="B609" t="s">
        <v>1815</v>
      </c>
      <c r="C609" t="s">
        <v>1816</v>
      </c>
      <c r="D609" t="s">
        <v>1803</v>
      </c>
      <c r="E609" t="s">
        <v>447</v>
      </c>
      <c r="F609" t="s">
        <v>1363</v>
      </c>
      <c r="J609">
        <f>LEN(Table13[[#This Row],[REFERENCE_DESCR1]])</f>
        <v>5</v>
      </c>
    </row>
    <row r="610" spans="1:10" hidden="1">
      <c r="A610" t="s">
        <v>1725</v>
      </c>
      <c r="B610" t="s">
        <v>1817</v>
      </c>
      <c r="C610" t="s">
        <v>1818</v>
      </c>
      <c r="D610" t="s">
        <v>1803</v>
      </c>
      <c r="E610" t="s">
        <v>447</v>
      </c>
      <c r="F610" t="s">
        <v>1363</v>
      </c>
      <c r="J610">
        <f>LEN(Table13[[#This Row],[REFERENCE_DESCR1]])</f>
        <v>27</v>
      </c>
    </row>
    <row r="611" spans="1:10" hidden="1">
      <c r="A611" t="s">
        <v>1725</v>
      </c>
      <c r="B611" t="s">
        <v>1819</v>
      </c>
      <c r="C611" t="s">
        <v>1820</v>
      </c>
      <c r="D611" t="s">
        <v>1821</v>
      </c>
      <c r="E611" t="s">
        <v>447</v>
      </c>
      <c r="F611" t="s">
        <v>1363</v>
      </c>
      <c r="J611">
        <f>LEN(Table13[[#This Row],[REFERENCE_DESCR1]])</f>
        <v>6</v>
      </c>
    </row>
    <row r="612" spans="1:10" hidden="1">
      <c r="A612" t="s">
        <v>1725</v>
      </c>
      <c r="B612" t="s">
        <v>1822</v>
      </c>
      <c r="C612" t="s">
        <v>1823</v>
      </c>
      <c r="D612" t="s">
        <v>1803</v>
      </c>
      <c r="E612" t="s">
        <v>447</v>
      </c>
      <c r="F612" t="s">
        <v>447</v>
      </c>
      <c r="J612">
        <f>LEN(Table13[[#This Row],[REFERENCE_DESCR1]])</f>
        <v>7</v>
      </c>
    </row>
    <row r="613" spans="1:10" hidden="1">
      <c r="A613" t="s">
        <v>1725</v>
      </c>
      <c r="B613" t="s">
        <v>1824</v>
      </c>
      <c r="C613" t="s">
        <v>1825</v>
      </c>
      <c r="D613" t="s">
        <v>1806</v>
      </c>
      <c r="E613" t="s">
        <v>1363</v>
      </c>
      <c r="F613" t="s">
        <v>1363</v>
      </c>
      <c r="J613">
        <f>LEN(Table13[[#This Row],[REFERENCE_DESCR1]])</f>
        <v>15</v>
      </c>
    </row>
    <row r="614" spans="1:10" hidden="1">
      <c r="A614" t="s">
        <v>1725</v>
      </c>
      <c r="B614" t="s">
        <v>1595</v>
      </c>
      <c r="C614" t="s">
        <v>1826</v>
      </c>
      <c r="D614" t="s">
        <v>1803</v>
      </c>
      <c r="E614" t="s">
        <v>447</v>
      </c>
      <c r="F614" t="s">
        <v>1363</v>
      </c>
      <c r="J614">
        <f>LEN(Table13[[#This Row],[REFERENCE_DESCR1]])</f>
        <v>5</v>
      </c>
    </row>
    <row r="615" spans="1:10" hidden="1">
      <c r="A615" t="s">
        <v>1725</v>
      </c>
      <c r="B615" t="s">
        <v>1827</v>
      </c>
      <c r="C615" t="s">
        <v>1828</v>
      </c>
      <c r="D615" t="s">
        <v>1829</v>
      </c>
      <c r="E615" t="s">
        <v>1363</v>
      </c>
      <c r="F615" t="s">
        <v>1363</v>
      </c>
      <c r="J615">
        <f>LEN(Table13[[#This Row],[REFERENCE_DESCR1]])</f>
        <v>24</v>
      </c>
    </row>
    <row r="616" spans="1:10" hidden="1">
      <c r="A616" t="s">
        <v>1725</v>
      </c>
      <c r="B616" t="s">
        <v>1830</v>
      </c>
      <c r="C616" t="s">
        <v>1831</v>
      </c>
      <c r="D616" t="s">
        <v>1832</v>
      </c>
      <c r="E616" t="s">
        <v>447</v>
      </c>
      <c r="F616" t="s">
        <v>1363</v>
      </c>
      <c r="J616">
        <f>LEN(Table13[[#This Row],[REFERENCE_DESCR1]])</f>
        <v>7</v>
      </c>
    </row>
    <row r="617" spans="1:10" hidden="1">
      <c r="A617" t="s">
        <v>1725</v>
      </c>
      <c r="B617" t="s">
        <v>1833</v>
      </c>
      <c r="C617" t="s">
        <v>1834</v>
      </c>
      <c r="D617" t="s">
        <v>1835</v>
      </c>
      <c r="E617" t="s">
        <v>447</v>
      </c>
      <c r="F617" t="s">
        <v>1363</v>
      </c>
      <c r="J617">
        <f>LEN(Table13[[#This Row],[REFERENCE_DESCR1]])</f>
        <v>11</v>
      </c>
    </row>
    <row r="618" spans="1:10" hidden="1">
      <c r="A618" t="s">
        <v>1725</v>
      </c>
      <c r="B618" t="s">
        <v>1836</v>
      </c>
      <c r="C618" t="s">
        <v>1837</v>
      </c>
      <c r="D618" t="s">
        <v>1803</v>
      </c>
      <c r="E618" t="s">
        <v>447</v>
      </c>
      <c r="F618" t="s">
        <v>1363</v>
      </c>
      <c r="J618">
        <f>LEN(Table13[[#This Row],[REFERENCE_DESCR1]])</f>
        <v>6</v>
      </c>
    </row>
    <row r="619" spans="1:10" hidden="1">
      <c r="A619" t="s">
        <v>1725</v>
      </c>
      <c r="B619" t="s">
        <v>1838</v>
      </c>
      <c r="C619" t="s">
        <v>1839</v>
      </c>
      <c r="D619" t="s">
        <v>1803</v>
      </c>
      <c r="E619" t="s">
        <v>447</v>
      </c>
      <c r="F619" t="s">
        <v>1363</v>
      </c>
      <c r="J619">
        <f>LEN(Table13[[#This Row],[REFERENCE_DESCR1]])</f>
        <v>6</v>
      </c>
    </row>
    <row r="620" spans="1:10" hidden="1">
      <c r="A620" t="s">
        <v>1725</v>
      </c>
      <c r="B620" t="s">
        <v>1840</v>
      </c>
      <c r="C620" t="s">
        <v>1841</v>
      </c>
      <c r="D620" t="s">
        <v>1842</v>
      </c>
      <c r="E620" t="s">
        <v>447</v>
      </c>
      <c r="F620" t="s">
        <v>447</v>
      </c>
      <c r="J620">
        <f>LEN(Table13[[#This Row],[REFERENCE_DESCR1]])</f>
        <v>6</v>
      </c>
    </row>
    <row r="621" spans="1:10" hidden="1">
      <c r="A621" t="s">
        <v>1725</v>
      </c>
      <c r="B621" t="s">
        <v>1843</v>
      </c>
      <c r="C621" t="s">
        <v>1844</v>
      </c>
      <c r="D621" t="s">
        <v>1845</v>
      </c>
      <c r="E621" t="s">
        <v>447</v>
      </c>
      <c r="F621" t="s">
        <v>447</v>
      </c>
      <c r="J621">
        <f>LEN(Table13[[#This Row],[REFERENCE_DESCR1]])</f>
        <v>8</v>
      </c>
    </row>
    <row r="622" spans="1:10" hidden="1">
      <c r="A622" t="s">
        <v>1725</v>
      </c>
      <c r="B622" t="s">
        <v>1846</v>
      </c>
      <c r="C622" t="s">
        <v>1847</v>
      </c>
      <c r="D622" t="s">
        <v>1848</v>
      </c>
      <c r="E622" t="s">
        <v>447</v>
      </c>
      <c r="F622" t="s">
        <v>1363</v>
      </c>
      <c r="J622">
        <f>LEN(Table13[[#This Row],[REFERENCE_DESCR1]])</f>
        <v>24</v>
      </c>
    </row>
    <row r="623" spans="1:10" hidden="1">
      <c r="A623" t="s">
        <v>1725</v>
      </c>
      <c r="B623" t="s">
        <v>1849</v>
      </c>
      <c r="C623" t="s">
        <v>1850</v>
      </c>
      <c r="D623" t="s">
        <v>1851</v>
      </c>
      <c r="E623" t="s">
        <v>447</v>
      </c>
      <c r="F623" t="s">
        <v>1363</v>
      </c>
      <c r="J623">
        <f>LEN(Table13[[#This Row],[REFERENCE_DESCR1]])</f>
        <v>5</v>
      </c>
    </row>
    <row r="624" spans="1:10" hidden="1">
      <c r="A624" t="s">
        <v>1725</v>
      </c>
      <c r="B624" t="s">
        <v>1852</v>
      </c>
      <c r="C624" t="s">
        <v>1850</v>
      </c>
      <c r="D624" t="s">
        <v>1851</v>
      </c>
      <c r="E624" t="s">
        <v>447</v>
      </c>
      <c r="F624" t="s">
        <v>1363</v>
      </c>
      <c r="J624">
        <f>LEN(Table13[[#This Row],[REFERENCE_DESCR1]])</f>
        <v>5</v>
      </c>
    </row>
    <row r="625" spans="1:10" hidden="1">
      <c r="A625" t="s">
        <v>1725</v>
      </c>
      <c r="B625" t="s">
        <v>1853</v>
      </c>
      <c r="C625" t="s">
        <v>1854</v>
      </c>
      <c r="D625" t="s">
        <v>1855</v>
      </c>
      <c r="E625" t="s">
        <v>1363</v>
      </c>
      <c r="F625" t="s">
        <v>1363</v>
      </c>
      <c r="J625">
        <f>LEN(Table13[[#This Row],[REFERENCE_DESCR1]])</f>
        <v>4</v>
      </c>
    </row>
    <row r="626" spans="1:10" hidden="1">
      <c r="A626" t="s">
        <v>1725</v>
      </c>
      <c r="B626" t="s">
        <v>1856</v>
      </c>
      <c r="C626" t="s">
        <v>1857</v>
      </c>
      <c r="D626" t="s">
        <v>1855</v>
      </c>
      <c r="E626" t="s">
        <v>447</v>
      </c>
      <c r="F626" t="s">
        <v>447</v>
      </c>
      <c r="J626">
        <f>LEN(Table13[[#This Row],[REFERENCE_DESCR1]])</f>
        <v>6</v>
      </c>
    </row>
    <row r="627" spans="1:10" hidden="1">
      <c r="A627" t="s">
        <v>1725</v>
      </c>
      <c r="B627" t="s">
        <v>1858</v>
      </c>
      <c r="C627" t="s">
        <v>1859</v>
      </c>
      <c r="D627" t="s">
        <v>1860</v>
      </c>
      <c r="E627" t="s">
        <v>1363</v>
      </c>
      <c r="F627" t="s">
        <v>1363</v>
      </c>
      <c r="J627">
        <f>LEN(Table13[[#This Row],[REFERENCE_DESCR1]])</f>
        <v>8</v>
      </c>
    </row>
    <row r="628" spans="1:10" hidden="1">
      <c r="A628" t="s">
        <v>1725</v>
      </c>
      <c r="B628" t="s">
        <v>1861</v>
      </c>
      <c r="C628" t="s">
        <v>1862</v>
      </c>
      <c r="D628" t="s">
        <v>1863</v>
      </c>
      <c r="E628" t="s">
        <v>447</v>
      </c>
      <c r="F628" t="s">
        <v>447</v>
      </c>
      <c r="J628">
        <f>LEN(Table13[[#This Row],[REFERENCE_DESCR1]])</f>
        <v>12</v>
      </c>
    </row>
    <row r="629" spans="1:10" hidden="1">
      <c r="A629" t="s">
        <v>1725</v>
      </c>
      <c r="B629" t="s">
        <v>1864</v>
      </c>
      <c r="C629" t="s">
        <v>1865</v>
      </c>
      <c r="D629" t="s">
        <v>1866</v>
      </c>
      <c r="E629" t="s">
        <v>1363</v>
      </c>
      <c r="F629" t="s">
        <v>1363</v>
      </c>
      <c r="J629">
        <f>LEN(Table13[[#This Row],[REFERENCE_DESCR1]])</f>
        <v>9</v>
      </c>
    </row>
    <row r="630" spans="1:10" hidden="1">
      <c r="A630" t="s">
        <v>1725</v>
      </c>
      <c r="B630" t="s">
        <v>1867</v>
      </c>
      <c r="C630" t="s">
        <v>1850</v>
      </c>
      <c r="D630" t="s">
        <v>1851</v>
      </c>
      <c r="E630" t="s">
        <v>447</v>
      </c>
      <c r="F630" t="s">
        <v>1363</v>
      </c>
      <c r="J630">
        <f>LEN(Table13[[#This Row],[REFERENCE_DESCR1]])</f>
        <v>5</v>
      </c>
    </row>
    <row r="631" spans="1:10" hidden="1">
      <c r="A631" t="s">
        <v>1725</v>
      </c>
      <c r="B631" t="s">
        <v>1868</v>
      </c>
      <c r="C631" t="s">
        <v>1850</v>
      </c>
      <c r="D631" t="s">
        <v>1851</v>
      </c>
      <c r="E631" t="s">
        <v>447</v>
      </c>
      <c r="F631" t="s">
        <v>1363</v>
      </c>
      <c r="J631">
        <f>LEN(Table13[[#This Row],[REFERENCE_DESCR1]])</f>
        <v>5</v>
      </c>
    </row>
    <row r="632" spans="1:10" hidden="1">
      <c r="A632" t="s">
        <v>1725</v>
      </c>
      <c r="B632" t="s">
        <v>1869</v>
      </c>
      <c r="C632" t="s">
        <v>1870</v>
      </c>
      <c r="D632" t="s">
        <v>1871</v>
      </c>
      <c r="E632" t="s">
        <v>1363</v>
      </c>
      <c r="F632" t="s">
        <v>1363</v>
      </c>
      <c r="J632">
        <f>LEN(Table13[[#This Row],[REFERENCE_DESCR1]])</f>
        <v>6</v>
      </c>
    </row>
    <row r="633" spans="1:10" hidden="1">
      <c r="A633" t="s">
        <v>1725</v>
      </c>
      <c r="B633" t="s">
        <v>1872</v>
      </c>
      <c r="C633" t="s">
        <v>1873</v>
      </c>
      <c r="D633" t="s">
        <v>1851</v>
      </c>
      <c r="E633" t="s">
        <v>447</v>
      </c>
      <c r="F633" t="s">
        <v>447</v>
      </c>
      <c r="J633">
        <f>LEN(Table13[[#This Row],[REFERENCE_DESCR1]])</f>
        <v>5</v>
      </c>
    </row>
    <row r="634" spans="1:10" hidden="1">
      <c r="A634" t="s">
        <v>1725</v>
      </c>
      <c r="B634" t="s">
        <v>1874</v>
      </c>
      <c r="C634" t="s">
        <v>1875</v>
      </c>
      <c r="D634" t="s">
        <v>1876</v>
      </c>
      <c r="E634" t="s">
        <v>447</v>
      </c>
      <c r="F634" t="s">
        <v>1363</v>
      </c>
      <c r="J634">
        <f>LEN(Table13[[#This Row],[REFERENCE_DESCR1]])</f>
        <v>8</v>
      </c>
    </row>
    <row r="635" spans="1:10" hidden="1">
      <c r="A635" t="s">
        <v>1725</v>
      </c>
      <c r="B635" t="s">
        <v>1877</v>
      </c>
      <c r="C635" t="s">
        <v>1878</v>
      </c>
      <c r="D635" t="s">
        <v>1879</v>
      </c>
      <c r="E635" t="s">
        <v>447</v>
      </c>
      <c r="F635" t="s">
        <v>1363</v>
      </c>
      <c r="J635">
        <f>LEN(Table13[[#This Row],[REFERENCE_DESCR1]])</f>
        <v>4</v>
      </c>
    </row>
    <row r="636" spans="1:10" hidden="1">
      <c r="A636" t="s">
        <v>1725</v>
      </c>
      <c r="B636" t="s">
        <v>1880</v>
      </c>
      <c r="C636" t="s">
        <v>1881</v>
      </c>
      <c r="D636" t="s">
        <v>1882</v>
      </c>
      <c r="E636" t="s">
        <v>447</v>
      </c>
      <c r="F636" t="s">
        <v>447</v>
      </c>
      <c r="J636">
        <f>LEN(Table13[[#This Row],[REFERENCE_DESCR1]])</f>
        <v>8</v>
      </c>
    </row>
    <row r="637" spans="1:10" hidden="1">
      <c r="A637" t="s">
        <v>1725</v>
      </c>
      <c r="B637" t="s">
        <v>1883</v>
      </c>
      <c r="C637" t="s">
        <v>1884</v>
      </c>
      <c r="D637" t="s">
        <v>1885</v>
      </c>
      <c r="E637" t="s">
        <v>447</v>
      </c>
      <c r="F637" t="s">
        <v>1363</v>
      </c>
      <c r="J637">
        <f>LEN(Table13[[#This Row],[REFERENCE_DESCR1]])</f>
        <v>7</v>
      </c>
    </row>
    <row r="638" spans="1:10" hidden="1">
      <c r="A638" t="s">
        <v>1725</v>
      </c>
      <c r="B638" t="s">
        <v>1886</v>
      </c>
      <c r="C638" t="s">
        <v>1887</v>
      </c>
      <c r="D638" t="s">
        <v>1888</v>
      </c>
      <c r="E638" t="s">
        <v>1363</v>
      </c>
      <c r="F638" t="s">
        <v>447</v>
      </c>
      <c r="J638">
        <f>LEN(Table13[[#This Row],[REFERENCE_DESCR1]])</f>
        <v>27</v>
      </c>
    </row>
    <row r="639" spans="1:10" hidden="1">
      <c r="A639" t="s">
        <v>1725</v>
      </c>
      <c r="B639" t="s">
        <v>1889</v>
      </c>
      <c r="C639" t="s">
        <v>1890</v>
      </c>
      <c r="D639" t="s">
        <v>1891</v>
      </c>
      <c r="E639" t="s">
        <v>447</v>
      </c>
      <c r="F639" t="s">
        <v>1363</v>
      </c>
      <c r="J639">
        <f>LEN(Table13[[#This Row],[REFERENCE_DESCR1]])</f>
        <v>6</v>
      </c>
    </row>
    <row r="640" spans="1:10" hidden="1">
      <c r="A640" t="s">
        <v>1725</v>
      </c>
      <c r="B640" t="s">
        <v>1892</v>
      </c>
      <c r="C640" t="s">
        <v>1893</v>
      </c>
      <c r="D640" t="s">
        <v>1894</v>
      </c>
      <c r="E640" t="s">
        <v>447</v>
      </c>
      <c r="F640" t="s">
        <v>1363</v>
      </c>
      <c r="J640">
        <f>LEN(Table13[[#This Row],[REFERENCE_DESCR1]])</f>
        <v>6</v>
      </c>
    </row>
    <row r="641" spans="1:10" hidden="1">
      <c r="A641" t="s">
        <v>1725</v>
      </c>
      <c r="B641" t="s">
        <v>1895</v>
      </c>
      <c r="C641" t="s">
        <v>1896</v>
      </c>
      <c r="D641" t="s">
        <v>1897</v>
      </c>
      <c r="E641" t="s">
        <v>447</v>
      </c>
      <c r="F641" t="s">
        <v>1363</v>
      </c>
      <c r="J641">
        <f>LEN(Table13[[#This Row],[REFERENCE_DESCR1]])</f>
        <v>6</v>
      </c>
    </row>
    <row r="642" spans="1:10" hidden="1">
      <c r="A642" t="s">
        <v>1725</v>
      </c>
      <c r="B642" t="s">
        <v>1898</v>
      </c>
      <c r="C642" t="s">
        <v>1899</v>
      </c>
      <c r="D642" t="s">
        <v>1900</v>
      </c>
      <c r="E642" t="s">
        <v>447</v>
      </c>
      <c r="F642" t="s">
        <v>1363</v>
      </c>
      <c r="J642">
        <f>LEN(Table13[[#This Row],[REFERENCE_DESCR1]])</f>
        <v>6</v>
      </c>
    </row>
    <row r="643" spans="1:10" hidden="1">
      <c r="A643" t="s">
        <v>1725</v>
      </c>
      <c r="B643" t="s">
        <v>1901</v>
      </c>
      <c r="C643" t="s">
        <v>1902</v>
      </c>
      <c r="D643" t="s">
        <v>1903</v>
      </c>
      <c r="E643" t="s">
        <v>1363</v>
      </c>
      <c r="F643" t="s">
        <v>447</v>
      </c>
      <c r="J643">
        <f>LEN(Table13[[#This Row],[REFERENCE_DESCR1]])</f>
        <v>14</v>
      </c>
    </row>
    <row r="644" spans="1:10" hidden="1">
      <c r="A644" t="s">
        <v>1725</v>
      </c>
      <c r="B644" t="s">
        <v>1904</v>
      </c>
      <c r="C644" t="s">
        <v>1905</v>
      </c>
      <c r="D644" t="s">
        <v>1906</v>
      </c>
      <c r="E644" t="s">
        <v>1363</v>
      </c>
      <c r="F644" t="s">
        <v>1363</v>
      </c>
      <c r="J644">
        <f>LEN(Table13[[#This Row],[REFERENCE_DESCR1]])</f>
        <v>4</v>
      </c>
    </row>
    <row r="645" spans="1:10" hidden="1">
      <c r="A645" t="s">
        <v>1725</v>
      </c>
      <c r="B645" t="s">
        <v>1907</v>
      </c>
      <c r="C645" t="s">
        <v>1908</v>
      </c>
      <c r="D645" t="s">
        <v>1909</v>
      </c>
      <c r="E645" t="s">
        <v>447</v>
      </c>
      <c r="F645" t="s">
        <v>1363</v>
      </c>
      <c r="J645">
        <f>LEN(Table13[[#This Row],[REFERENCE_DESCR1]])</f>
        <v>5</v>
      </c>
    </row>
    <row r="646" spans="1:10" hidden="1">
      <c r="A646" t="s">
        <v>1725</v>
      </c>
      <c r="B646" t="s">
        <v>1910</v>
      </c>
      <c r="C646" t="s">
        <v>1911</v>
      </c>
      <c r="D646" t="s">
        <v>1912</v>
      </c>
      <c r="E646" t="s">
        <v>447</v>
      </c>
      <c r="F646" t="s">
        <v>447</v>
      </c>
      <c r="J646">
        <f>LEN(Table13[[#This Row],[REFERENCE_DESCR1]])</f>
        <v>20</v>
      </c>
    </row>
    <row r="647" spans="1:10" hidden="1">
      <c r="A647" t="s">
        <v>1725</v>
      </c>
      <c r="B647" t="s">
        <v>1913</v>
      </c>
      <c r="C647" t="s">
        <v>1914</v>
      </c>
      <c r="D647" t="s">
        <v>1915</v>
      </c>
      <c r="E647" t="s">
        <v>447</v>
      </c>
      <c r="F647" t="s">
        <v>1363</v>
      </c>
      <c r="J647">
        <f>LEN(Table13[[#This Row],[REFERENCE_DESCR1]])</f>
        <v>5</v>
      </c>
    </row>
    <row r="648" spans="1:10" hidden="1">
      <c r="A648" t="s">
        <v>1725</v>
      </c>
      <c r="B648" t="s">
        <v>1916</v>
      </c>
      <c r="C648" t="s">
        <v>1917</v>
      </c>
      <c r="D648" t="s">
        <v>1918</v>
      </c>
      <c r="E648" t="s">
        <v>447</v>
      </c>
      <c r="F648" t="s">
        <v>1363</v>
      </c>
      <c r="J648">
        <f>LEN(Table13[[#This Row],[REFERENCE_DESCR1]])</f>
        <v>6</v>
      </c>
    </row>
    <row r="649" spans="1:10" hidden="1">
      <c r="A649" t="s">
        <v>1725</v>
      </c>
      <c r="B649" t="s">
        <v>1919</v>
      </c>
      <c r="C649" t="s">
        <v>1920</v>
      </c>
      <c r="D649" t="s">
        <v>1921</v>
      </c>
      <c r="E649" t="s">
        <v>447</v>
      </c>
      <c r="F649" t="s">
        <v>1363</v>
      </c>
      <c r="J649">
        <f>LEN(Table13[[#This Row],[REFERENCE_DESCR1]])</f>
        <v>4</v>
      </c>
    </row>
    <row r="650" spans="1:10" hidden="1">
      <c r="A650" t="s">
        <v>1725</v>
      </c>
      <c r="B650" t="s">
        <v>1922</v>
      </c>
      <c r="C650" t="s">
        <v>1923</v>
      </c>
      <c r="D650" t="s">
        <v>1924</v>
      </c>
      <c r="E650" t="s">
        <v>447</v>
      </c>
      <c r="F650" t="s">
        <v>1363</v>
      </c>
      <c r="J650">
        <f>LEN(Table13[[#This Row],[REFERENCE_DESCR1]])</f>
        <v>28</v>
      </c>
    </row>
    <row r="651" spans="1:10" hidden="1">
      <c r="A651" t="s">
        <v>1725</v>
      </c>
      <c r="B651" t="s">
        <v>1925</v>
      </c>
      <c r="C651" t="s">
        <v>1926</v>
      </c>
      <c r="D651" t="s">
        <v>1927</v>
      </c>
      <c r="E651" t="s">
        <v>1363</v>
      </c>
      <c r="F651" t="s">
        <v>447</v>
      </c>
      <c r="J651">
        <f>LEN(Table13[[#This Row],[REFERENCE_DESCR1]])</f>
        <v>25</v>
      </c>
    </row>
    <row r="652" spans="1:10" hidden="1">
      <c r="A652" t="s">
        <v>1725</v>
      </c>
      <c r="B652" t="s">
        <v>1928</v>
      </c>
      <c r="C652" t="s">
        <v>1929</v>
      </c>
      <c r="D652" t="s">
        <v>1930</v>
      </c>
      <c r="E652" t="s">
        <v>447</v>
      </c>
      <c r="F652" t="s">
        <v>1363</v>
      </c>
      <c r="J652">
        <f>LEN(Table13[[#This Row],[REFERENCE_DESCR1]])</f>
        <v>3</v>
      </c>
    </row>
    <row r="653" spans="1:10" hidden="1">
      <c r="A653" t="s">
        <v>1725</v>
      </c>
      <c r="B653" t="s">
        <v>1931</v>
      </c>
      <c r="C653" t="s">
        <v>1932</v>
      </c>
      <c r="D653" t="s">
        <v>1933</v>
      </c>
      <c r="E653" t="s">
        <v>447</v>
      </c>
      <c r="F653" t="s">
        <v>1363</v>
      </c>
      <c r="J653">
        <f>LEN(Table13[[#This Row],[REFERENCE_DESCR1]])</f>
        <v>6</v>
      </c>
    </row>
    <row r="654" spans="1:10" hidden="1">
      <c r="A654" t="s">
        <v>1725</v>
      </c>
      <c r="B654" t="s">
        <v>1934</v>
      </c>
      <c r="C654" t="s">
        <v>1935</v>
      </c>
      <c r="D654" t="s">
        <v>1936</v>
      </c>
      <c r="E654" t="s">
        <v>447</v>
      </c>
      <c r="F654" t="s">
        <v>1363</v>
      </c>
      <c r="J654">
        <f>LEN(Table13[[#This Row],[REFERENCE_DESCR1]])</f>
        <v>8</v>
      </c>
    </row>
    <row r="655" spans="1:10" hidden="1">
      <c r="A655" t="s">
        <v>1725</v>
      </c>
      <c r="B655" t="s">
        <v>1937</v>
      </c>
      <c r="C655" t="s">
        <v>1938</v>
      </c>
      <c r="D655" t="s">
        <v>1939</v>
      </c>
      <c r="E655" t="s">
        <v>447</v>
      </c>
      <c r="F655" t="s">
        <v>1363</v>
      </c>
      <c r="J655">
        <f>LEN(Table13[[#This Row],[REFERENCE_DESCR1]])</f>
        <v>8</v>
      </c>
    </row>
    <row r="656" spans="1:10" hidden="1">
      <c r="A656" t="s">
        <v>1725</v>
      </c>
      <c r="B656" t="s">
        <v>1940</v>
      </c>
      <c r="C656" t="s">
        <v>1941</v>
      </c>
      <c r="D656" t="s">
        <v>1942</v>
      </c>
      <c r="E656" t="s">
        <v>447</v>
      </c>
      <c r="F656" t="s">
        <v>447</v>
      </c>
      <c r="J656">
        <f>LEN(Table13[[#This Row],[REFERENCE_DESCR1]])</f>
        <v>6</v>
      </c>
    </row>
    <row r="657" spans="1:10" hidden="1">
      <c r="A657" t="s">
        <v>1725</v>
      </c>
      <c r="B657" t="s">
        <v>1943</v>
      </c>
      <c r="C657" t="s">
        <v>1944</v>
      </c>
      <c r="D657" t="s">
        <v>1945</v>
      </c>
      <c r="E657" t="s">
        <v>447</v>
      </c>
      <c r="F657" t="s">
        <v>1363</v>
      </c>
      <c r="J657">
        <f>LEN(Table13[[#This Row],[REFERENCE_DESCR1]])</f>
        <v>24</v>
      </c>
    </row>
    <row r="658" spans="1:10" hidden="1">
      <c r="A658" t="s">
        <v>1725</v>
      </c>
      <c r="B658" t="s">
        <v>1946</v>
      </c>
      <c r="C658" t="s">
        <v>1947</v>
      </c>
      <c r="D658" t="s">
        <v>1948</v>
      </c>
      <c r="E658" t="s">
        <v>1363</v>
      </c>
      <c r="F658" t="s">
        <v>1363</v>
      </c>
      <c r="J658">
        <f>LEN(Table13[[#This Row],[REFERENCE_DESCR1]])</f>
        <v>8</v>
      </c>
    </row>
    <row r="659" spans="1:10" hidden="1">
      <c r="A659" t="s">
        <v>1725</v>
      </c>
      <c r="B659" t="s">
        <v>1949</v>
      </c>
      <c r="C659" t="s">
        <v>1950</v>
      </c>
      <c r="D659" t="s">
        <v>1951</v>
      </c>
      <c r="E659" t="s">
        <v>447</v>
      </c>
      <c r="F659" t="s">
        <v>1363</v>
      </c>
      <c r="J659">
        <f>LEN(Table13[[#This Row],[REFERENCE_DESCR1]])</f>
        <v>14</v>
      </c>
    </row>
    <row r="660" spans="1:10" hidden="1">
      <c r="A660" t="s">
        <v>1725</v>
      </c>
      <c r="B660" t="s">
        <v>1952</v>
      </c>
      <c r="C660" t="s">
        <v>1953</v>
      </c>
      <c r="F660" t="s">
        <v>1363</v>
      </c>
      <c r="J660">
        <f>LEN(Table13[[#This Row],[REFERENCE_DESCR1]])</f>
        <v>17</v>
      </c>
    </row>
    <row r="661" spans="1:10" hidden="1">
      <c r="A661" t="s">
        <v>1725</v>
      </c>
      <c r="B661" t="s">
        <v>1954</v>
      </c>
      <c r="C661" t="s">
        <v>1955</v>
      </c>
      <c r="D661" t="s">
        <v>1956</v>
      </c>
      <c r="E661" t="s">
        <v>447</v>
      </c>
      <c r="F661" t="s">
        <v>1363</v>
      </c>
      <c r="J661">
        <f>LEN(Table13[[#This Row],[REFERENCE_DESCR1]])</f>
        <v>13</v>
      </c>
    </row>
    <row r="662" spans="1:10" hidden="1">
      <c r="A662" t="s">
        <v>1725</v>
      </c>
      <c r="B662" t="s">
        <v>1957</v>
      </c>
      <c r="C662" t="s">
        <v>1958</v>
      </c>
      <c r="D662" t="s">
        <v>1951</v>
      </c>
      <c r="E662" t="s">
        <v>447</v>
      </c>
      <c r="F662" t="s">
        <v>1363</v>
      </c>
      <c r="J662">
        <f>LEN(Table13[[#This Row],[REFERENCE_DESCR1]])</f>
        <v>7</v>
      </c>
    </row>
    <row r="663" spans="1:10" hidden="1">
      <c r="A663" t="s">
        <v>1725</v>
      </c>
      <c r="B663" t="s">
        <v>1959</v>
      </c>
      <c r="C663" t="s">
        <v>1960</v>
      </c>
      <c r="D663" t="s">
        <v>1961</v>
      </c>
      <c r="E663" t="s">
        <v>447</v>
      </c>
      <c r="J663">
        <f>LEN(Table13[[#This Row],[REFERENCE_DESCR1]])</f>
        <v>6</v>
      </c>
    </row>
    <row r="664" spans="1:10" hidden="1">
      <c r="A664" t="s">
        <v>1725</v>
      </c>
      <c r="B664" t="s">
        <v>1962</v>
      </c>
      <c r="C664" t="s">
        <v>1963</v>
      </c>
      <c r="D664" t="s">
        <v>1961</v>
      </c>
      <c r="E664" t="s">
        <v>447</v>
      </c>
      <c r="F664" t="s">
        <v>1363</v>
      </c>
      <c r="J664">
        <f>LEN(Table13[[#This Row],[REFERENCE_DESCR1]])</f>
        <v>4</v>
      </c>
    </row>
    <row r="665" spans="1:10" hidden="1">
      <c r="A665" t="s">
        <v>1725</v>
      </c>
      <c r="B665" t="s">
        <v>1964</v>
      </c>
      <c r="C665" t="s">
        <v>1965</v>
      </c>
      <c r="D665" t="s">
        <v>1951</v>
      </c>
      <c r="E665" t="s">
        <v>447</v>
      </c>
      <c r="F665" t="s">
        <v>1363</v>
      </c>
      <c r="J665">
        <f>LEN(Table13[[#This Row],[REFERENCE_DESCR1]])</f>
        <v>11</v>
      </c>
    </row>
    <row r="666" spans="1:10" hidden="1">
      <c r="A666" t="s">
        <v>1725</v>
      </c>
      <c r="B666" t="s">
        <v>1966</v>
      </c>
      <c r="C666" t="s">
        <v>1967</v>
      </c>
      <c r="D666" t="s">
        <v>1951</v>
      </c>
      <c r="E666" t="s">
        <v>447</v>
      </c>
      <c r="F666" t="s">
        <v>447</v>
      </c>
      <c r="J666">
        <f>LEN(Table13[[#This Row],[REFERENCE_DESCR1]])</f>
        <v>6</v>
      </c>
    </row>
    <row r="667" spans="1:10" hidden="1">
      <c r="A667" t="s">
        <v>1725</v>
      </c>
      <c r="B667" t="s">
        <v>1968</v>
      </c>
      <c r="C667" t="s">
        <v>1969</v>
      </c>
      <c r="D667" t="s">
        <v>1970</v>
      </c>
      <c r="E667" t="s">
        <v>447</v>
      </c>
      <c r="F667" t="s">
        <v>447</v>
      </c>
      <c r="J667">
        <f>LEN(Table13[[#This Row],[REFERENCE_DESCR1]])</f>
        <v>5</v>
      </c>
    </row>
    <row r="668" spans="1:10" hidden="1">
      <c r="A668" t="s">
        <v>1725</v>
      </c>
      <c r="B668" t="s">
        <v>1971</v>
      </c>
      <c r="C668" t="s">
        <v>1972</v>
      </c>
      <c r="D668" t="s">
        <v>1973</v>
      </c>
      <c r="E668" t="s">
        <v>1363</v>
      </c>
      <c r="F668" t="s">
        <v>1363</v>
      </c>
      <c r="J668">
        <f>LEN(Table13[[#This Row],[REFERENCE_DESCR1]])</f>
        <v>11</v>
      </c>
    </row>
    <row r="669" spans="1:10" hidden="1">
      <c r="A669" t="s">
        <v>1725</v>
      </c>
      <c r="B669" t="s">
        <v>1974</v>
      </c>
      <c r="C669" t="s">
        <v>1975</v>
      </c>
      <c r="D669" t="s">
        <v>1976</v>
      </c>
      <c r="E669" t="s">
        <v>447</v>
      </c>
      <c r="F669" t="s">
        <v>1363</v>
      </c>
      <c r="J669">
        <f>LEN(Table13[[#This Row],[REFERENCE_DESCR1]])</f>
        <v>6</v>
      </c>
    </row>
    <row r="670" spans="1:10" hidden="1">
      <c r="A670" t="s">
        <v>1725</v>
      </c>
      <c r="B670" t="s">
        <v>1977</v>
      </c>
      <c r="C670" t="s">
        <v>1978</v>
      </c>
      <c r="D670" t="s">
        <v>1979</v>
      </c>
      <c r="E670" t="s">
        <v>447</v>
      </c>
      <c r="F670" t="s">
        <v>1363</v>
      </c>
      <c r="J670">
        <f>LEN(Table13[[#This Row],[REFERENCE_DESCR1]])</f>
        <v>4</v>
      </c>
    </row>
    <row r="671" spans="1:10" hidden="1">
      <c r="A671" t="s">
        <v>1725</v>
      </c>
      <c r="B671" t="s">
        <v>1980</v>
      </c>
      <c r="C671" t="s">
        <v>1981</v>
      </c>
      <c r="D671" t="s">
        <v>1982</v>
      </c>
      <c r="E671" t="s">
        <v>447</v>
      </c>
      <c r="F671" t="s">
        <v>1363</v>
      </c>
      <c r="J671">
        <f>LEN(Table13[[#This Row],[REFERENCE_DESCR1]])</f>
        <v>7</v>
      </c>
    </row>
    <row r="672" spans="1:10" hidden="1">
      <c r="A672" t="s">
        <v>1725</v>
      </c>
      <c r="B672" t="s">
        <v>1983</v>
      </c>
      <c r="C672" t="s">
        <v>1984</v>
      </c>
      <c r="D672" t="s">
        <v>1985</v>
      </c>
      <c r="E672" t="s">
        <v>447</v>
      </c>
      <c r="F672" t="s">
        <v>1363</v>
      </c>
      <c r="J672">
        <f>LEN(Table13[[#This Row],[REFERENCE_DESCR1]])</f>
        <v>7</v>
      </c>
    </row>
    <row r="673" spans="1:10" hidden="1">
      <c r="A673" t="s">
        <v>1725</v>
      </c>
      <c r="B673" t="s">
        <v>1986</v>
      </c>
      <c r="C673" t="s">
        <v>1987</v>
      </c>
      <c r="D673" t="s">
        <v>1982</v>
      </c>
      <c r="E673" t="s">
        <v>447</v>
      </c>
      <c r="F673" t="s">
        <v>1363</v>
      </c>
      <c r="J673">
        <f>LEN(Table13[[#This Row],[REFERENCE_DESCR1]])</f>
        <v>7</v>
      </c>
    </row>
    <row r="674" spans="1:10" hidden="1">
      <c r="A674" t="s">
        <v>1725</v>
      </c>
      <c r="B674" t="s">
        <v>1988</v>
      </c>
      <c r="C674" t="s">
        <v>1989</v>
      </c>
      <c r="D674" t="s">
        <v>1982</v>
      </c>
      <c r="E674" t="s">
        <v>447</v>
      </c>
      <c r="F674" t="s">
        <v>1363</v>
      </c>
      <c r="J674">
        <f>LEN(Table13[[#This Row],[REFERENCE_DESCR1]])</f>
        <v>6</v>
      </c>
    </row>
    <row r="675" spans="1:10" hidden="1">
      <c r="A675" t="s">
        <v>1725</v>
      </c>
      <c r="B675" t="s">
        <v>1990</v>
      </c>
      <c r="C675" t="s">
        <v>1991</v>
      </c>
      <c r="D675" t="s">
        <v>1992</v>
      </c>
      <c r="E675" t="s">
        <v>447</v>
      </c>
      <c r="F675" t="s">
        <v>1363</v>
      </c>
      <c r="J675">
        <f>LEN(Table13[[#This Row],[REFERENCE_DESCR1]])</f>
        <v>5</v>
      </c>
    </row>
    <row r="676" spans="1:10" hidden="1">
      <c r="A676" t="s">
        <v>1725</v>
      </c>
      <c r="B676" t="s">
        <v>1993</v>
      </c>
      <c r="C676" t="s">
        <v>1994</v>
      </c>
      <c r="D676" t="s">
        <v>1995</v>
      </c>
      <c r="E676" t="s">
        <v>1363</v>
      </c>
      <c r="F676" t="s">
        <v>1363</v>
      </c>
      <c r="J676">
        <f>LEN(Table13[[#This Row],[REFERENCE_DESCR1]])</f>
        <v>8</v>
      </c>
    </row>
    <row r="677" spans="1:10" hidden="1">
      <c r="A677" t="s">
        <v>1725</v>
      </c>
      <c r="B677" t="s">
        <v>1996</v>
      </c>
      <c r="C677" t="s">
        <v>1997</v>
      </c>
      <c r="D677" t="s">
        <v>1995</v>
      </c>
      <c r="E677" t="s">
        <v>447</v>
      </c>
      <c r="F677" t="s">
        <v>1363</v>
      </c>
      <c r="J677">
        <f>LEN(Table13[[#This Row],[REFERENCE_DESCR1]])</f>
        <v>9</v>
      </c>
    </row>
    <row r="678" spans="1:10" hidden="1">
      <c r="A678" t="s">
        <v>1725</v>
      </c>
      <c r="B678" t="s">
        <v>1998</v>
      </c>
      <c r="C678" t="s">
        <v>1999</v>
      </c>
      <c r="D678" t="s">
        <v>2000</v>
      </c>
      <c r="E678" t="s">
        <v>447</v>
      </c>
      <c r="F678" t="s">
        <v>447</v>
      </c>
      <c r="J678">
        <f>LEN(Table13[[#This Row],[REFERENCE_DESCR1]])</f>
        <v>6</v>
      </c>
    </row>
    <row r="679" spans="1:10" hidden="1">
      <c r="A679" t="s">
        <v>1725</v>
      </c>
      <c r="B679" t="s">
        <v>2001</v>
      </c>
      <c r="C679" t="s">
        <v>2002</v>
      </c>
      <c r="D679" t="s">
        <v>1976</v>
      </c>
      <c r="E679" t="s">
        <v>447</v>
      </c>
      <c r="F679" t="s">
        <v>1363</v>
      </c>
      <c r="J679">
        <f>LEN(Table13[[#This Row],[REFERENCE_DESCR1]])</f>
        <v>9</v>
      </c>
    </row>
    <row r="680" spans="1:10" hidden="1">
      <c r="A680" t="s">
        <v>1725</v>
      </c>
      <c r="B680" t="s">
        <v>2003</v>
      </c>
      <c r="C680" t="s">
        <v>2004</v>
      </c>
      <c r="D680" t="s">
        <v>1982</v>
      </c>
      <c r="E680" t="s">
        <v>1363</v>
      </c>
      <c r="F680" t="s">
        <v>447</v>
      </c>
      <c r="J680">
        <f>LEN(Table13[[#This Row],[REFERENCE_DESCR1]])</f>
        <v>7</v>
      </c>
    </row>
    <row r="681" spans="1:10" hidden="1">
      <c r="A681" t="s">
        <v>1725</v>
      </c>
      <c r="B681" t="s">
        <v>2005</v>
      </c>
      <c r="C681" t="s">
        <v>2006</v>
      </c>
      <c r="D681" t="s">
        <v>2007</v>
      </c>
      <c r="E681" t="s">
        <v>447</v>
      </c>
      <c r="F681" t="s">
        <v>447</v>
      </c>
      <c r="J681">
        <f>LEN(Table13[[#This Row],[REFERENCE_DESCR1]])</f>
        <v>7</v>
      </c>
    </row>
    <row r="682" spans="1:10" hidden="1">
      <c r="A682" t="s">
        <v>1725</v>
      </c>
      <c r="B682" t="s">
        <v>2008</v>
      </c>
      <c r="C682" t="s">
        <v>2009</v>
      </c>
      <c r="D682" t="s">
        <v>2010</v>
      </c>
      <c r="E682" t="s">
        <v>447</v>
      </c>
      <c r="F682" t="s">
        <v>1363</v>
      </c>
      <c r="J682">
        <f>LEN(Table13[[#This Row],[REFERENCE_DESCR1]])</f>
        <v>8</v>
      </c>
    </row>
    <row r="683" spans="1:10" hidden="1">
      <c r="A683" t="s">
        <v>1725</v>
      </c>
      <c r="B683" t="s">
        <v>2011</v>
      </c>
      <c r="C683" t="s">
        <v>2012</v>
      </c>
      <c r="D683" t="s">
        <v>2013</v>
      </c>
      <c r="E683" t="s">
        <v>447</v>
      </c>
      <c r="F683" t="s">
        <v>1363</v>
      </c>
      <c r="J683">
        <f>LEN(Table13[[#This Row],[REFERENCE_DESCR1]])</f>
        <v>5</v>
      </c>
    </row>
    <row r="684" spans="1:10" hidden="1">
      <c r="A684" t="s">
        <v>1725</v>
      </c>
      <c r="B684" t="s">
        <v>2014</v>
      </c>
      <c r="C684" t="s">
        <v>2015</v>
      </c>
      <c r="D684" t="s">
        <v>2010</v>
      </c>
      <c r="E684" t="s">
        <v>447</v>
      </c>
      <c r="F684" t="s">
        <v>1363</v>
      </c>
      <c r="J684">
        <f>LEN(Table13[[#This Row],[REFERENCE_DESCR1]])</f>
        <v>7</v>
      </c>
    </row>
    <row r="685" spans="1:10" hidden="1">
      <c r="A685" t="s">
        <v>1725</v>
      </c>
      <c r="B685" t="s">
        <v>2016</v>
      </c>
      <c r="C685" t="s">
        <v>2017</v>
      </c>
      <c r="D685" t="s">
        <v>2018</v>
      </c>
      <c r="E685" t="s">
        <v>1363</v>
      </c>
      <c r="F685" t="s">
        <v>1363</v>
      </c>
      <c r="J685">
        <f>LEN(Table13[[#This Row],[REFERENCE_DESCR1]])</f>
        <v>5</v>
      </c>
    </row>
    <row r="686" spans="1:10" hidden="1">
      <c r="A686" t="s">
        <v>1725</v>
      </c>
      <c r="B686" t="s">
        <v>2019</v>
      </c>
      <c r="C686" t="s">
        <v>2020</v>
      </c>
      <c r="D686" t="s">
        <v>2021</v>
      </c>
      <c r="E686" t="s">
        <v>447</v>
      </c>
      <c r="F686" t="s">
        <v>447</v>
      </c>
      <c r="J686">
        <f>LEN(Table13[[#This Row],[REFERENCE_DESCR1]])</f>
        <v>8</v>
      </c>
    </row>
    <row r="687" spans="1:10" hidden="1">
      <c r="A687" t="s">
        <v>1725</v>
      </c>
      <c r="B687" t="s">
        <v>2022</v>
      </c>
      <c r="C687" t="s">
        <v>2023</v>
      </c>
      <c r="D687" t="s">
        <v>2024</v>
      </c>
      <c r="E687" t="s">
        <v>447</v>
      </c>
      <c r="F687" t="s">
        <v>1363</v>
      </c>
      <c r="J687">
        <f>LEN(Table13[[#This Row],[REFERENCE_DESCR1]])</f>
        <v>4</v>
      </c>
    </row>
    <row r="688" spans="1:10" hidden="1">
      <c r="A688" t="s">
        <v>1725</v>
      </c>
      <c r="B688" t="s">
        <v>2025</v>
      </c>
      <c r="C688" t="s">
        <v>2026</v>
      </c>
      <c r="D688" t="s">
        <v>2027</v>
      </c>
      <c r="E688" t="s">
        <v>447</v>
      </c>
      <c r="J688">
        <f>LEN(Table13[[#This Row],[REFERENCE_DESCR1]])</f>
        <v>3</v>
      </c>
    </row>
    <row r="689" spans="1:10" hidden="1">
      <c r="A689" t="s">
        <v>1725</v>
      </c>
      <c r="B689" t="s">
        <v>2028</v>
      </c>
      <c r="C689" t="s">
        <v>1793</v>
      </c>
      <c r="D689" t="s">
        <v>2029</v>
      </c>
      <c r="E689" t="s">
        <v>447</v>
      </c>
      <c r="F689" t="s">
        <v>1363</v>
      </c>
      <c r="J689">
        <f>LEN(Table13[[#This Row],[REFERENCE_DESCR1]])</f>
        <v>6</v>
      </c>
    </row>
    <row r="690" spans="1:10" hidden="1">
      <c r="A690" t="s">
        <v>1725</v>
      </c>
      <c r="B690" t="s">
        <v>2030</v>
      </c>
      <c r="C690" t="s">
        <v>2031</v>
      </c>
      <c r="D690" t="s">
        <v>2032</v>
      </c>
      <c r="E690" t="s">
        <v>447</v>
      </c>
      <c r="F690" t="s">
        <v>1363</v>
      </c>
      <c r="J690">
        <f>LEN(Table13[[#This Row],[REFERENCE_DESCR1]])</f>
        <v>5</v>
      </c>
    </row>
    <row r="691" spans="1:10" hidden="1">
      <c r="A691" t="s">
        <v>1725</v>
      </c>
      <c r="B691" t="s">
        <v>2033</v>
      </c>
      <c r="C691" t="s">
        <v>2034</v>
      </c>
      <c r="D691" t="s">
        <v>2035</v>
      </c>
      <c r="E691" t="s">
        <v>447</v>
      </c>
      <c r="F691" t="s">
        <v>1363</v>
      </c>
      <c r="J691">
        <f>LEN(Table13[[#This Row],[REFERENCE_DESCR1]])</f>
        <v>5</v>
      </c>
    </row>
    <row r="692" spans="1:10" hidden="1">
      <c r="A692" t="s">
        <v>1725</v>
      </c>
      <c r="B692" t="s">
        <v>2036</v>
      </c>
      <c r="C692" t="s">
        <v>2037</v>
      </c>
      <c r="D692" t="s">
        <v>2038</v>
      </c>
      <c r="E692" t="s">
        <v>447</v>
      </c>
      <c r="F692" t="s">
        <v>447</v>
      </c>
      <c r="J692">
        <f>LEN(Table13[[#This Row],[REFERENCE_DESCR1]])</f>
        <v>10</v>
      </c>
    </row>
    <row r="693" spans="1:10" hidden="1">
      <c r="A693" t="s">
        <v>1725</v>
      </c>
      <c r="B693" t="s">
        <v>2039</v>
      </c>
      <c r="C693" t="s">
        <v>2040</v>
      </c>
      <c r="D693" t="s">
        <v>2041</v>
      </c>
      <c r="E693" t="s">
        <v>1363</v>
      </c>
      <c r="F693" t="s">
        <v>447</v>
      </c>
      <c r="J693">
        <f>LEN(Table13[[#This Row],[REFERENCE_DESCR1]])</f>
        <v>5</v>
      </c>
    </row>
    <row r="694" spans="1:10" hidden="1">
      <c r="A694" t="s">
        <v>1725</v>
      </c>
      <c r="B694" t="s">
        <v>2042</v>
      </c>
      <c r="C694" t="s">
        <v>2043</v>
      </c>
      <c r="D694" t="s">
        <v>2044</v>
      </c>
      <c r="E694" t="s">
        <v>447</v>
      </c>
      <c r="F694" t="s">
        <v>1363</v>
      </c>
      <c r="J694">
        <f>LEN(Table13[[#This Row],[REFERENCE_DESCR1]])</f>
        <v>4</v>
      </c>
    </row>
    <row r="695" spans="1:10" hidden="1">
      <c r="A695" t="s">
        <v>1725</v>
      </c>
      <c r="B695" t="s">
        <v>2045</v>
      </c>
      <c r="C695" t="s">
        <v>2046</v>
      </c>
      <c r="D695" t="s">
        <v>2047</v>
      </c>
      <c r="E695" t="s">
        <v>1363</v>
      </c>
      <c r="F695" t="s">
        <v>1363</v>
      </c>
      <c r="J695">
        <f>LEN(Table13[[#This Row],[REFERENCE_DESCR1]])</f>
        <v>20</v>
      </c>
    </row>
    <row r="696" spans="1:10" hidden="1">
      <c r="A696" t="s">
        <v>1725</v>
      </c>
      <c r="B696" t="s">
        <v>2048</v>
      </c>
      <c r="C696" t="s">
        <v>2049</v>
      </c>
      <c r="D696" t="s">
        <v>2041</v>
      </c>
      <c r="E696" t="s">
        <v>447</v>
      </c>
      <c r="F696" t="s">
        <v>447</v>
      </c>
      <c r="J696">
        <f>LEN(Table13[[#This Row],[REFERENCE_DESCR1]])</f>
        <v>6</v>
      </c>
    </row>
    <row r="697" spans="1:10" hidden="1">
      <c r="A697" t="s">
        <v>1725</v>
      </c>
      <c r="B697" t="s">
        <v>2050</v>
      </c>
      <c r="C697" t="s">
        <v>2051</v>
      </c>
      <c r="D697" t="s">
        <v>2052</v>
      </c>
      <c r="E697" t="s">
        <v>447</v>
      </c>
      <c r="F697" t="s">
        <v>1363</v>
      </c>
      <c r="J697">
        <f>LEN(Table13[[#This Row],[REFERENCE_DESCR1]])</f>
        <v>8</v>
      </c>
    </row>
    <row r="698" spans="1:10" hidden="1">
      <c r="A698" t="s">
        <v>1725</v>
      </c>
      <c r="B698" t="s">
        <v>2053</v>
      </c>
      <c r="C698" t="s">
        <v>2054</v>
      </c>
      <c r="D698" t="s">
        <v>2055</v>
      </c>
      <c r="E698" t="s">
        <v>447</v>
      </c>
      <c r="F698" t="s">
        <v>1363</v>
      </c>
      <c r="J698">
        <f>LEN(Table13[[#This Row],[REFERENCE_DESCR1]])</f>
        <v>7</v>
      </c>
    </row>
    <row r="699" spans="1:10" hidden="1">
      <c r="A699" t="s">
        <v>1725</v>
      </c>
      <c r="B699" t="s">
        <v>2056</v>
      </c>
      <c r="C699" t="s">
        <v>2057</v>
      </c>
      <c r="D699" t="s">
        <v>2058</v>
      </c>
      <c r="E699" t="s">
        <v>1363</v>
      </c>
      <c r="F699" t="s">
        <v>1363</v>
      </c>
      <c r="J699">
        <f>LEN(Table13[[#This Row],[REFERENCE_DESCR1]])</f>
        <v>5</v>
      </c>
    </row>
    <row r="700" spans="1:10" hidden="1">
      <c r="A700" t="s">
        <v>1725</v>
      </c>
      <c r="B700" t="s">
        <v>2059</v>
      </c>
      <c r="C700" t="s">
        <v>1991</v>
      </c>
      <c r="D700" t="s">
        <v>2058</v>
      </c>
      <c r="E700" t="s">
        <v>1363</v>
      </c>
      <c r="F700" t="s">
        <v>1363</v>
      </c>
      <c r="J700">
        <f>LEN(Table13[[#This Row],[REFERENCE_DESCR1]])</f>
        <v>5</v>
      </c>
    </row>
    <row r="701" spans="1:10" hidden="1">
      <c r="A701" t="s">
        <v>1725</v>
      </c>
      <c r="B701" t="s">
        <v>2060</v>
      </c>
      <c r="C701" t="s">
        <v>2061</v>
      </c>
      <c r="D701" t="s">
        <v>2062</v>
      </c>
      <c r="E701" t="s">
        <v>1363</v>
      </c>
      <c r="F701" t="s">
        <v>447</v>
      </c>
      <c r="J701">
        <f>LEN(Table13[[#This Row],[REFERENCE_DESCR1]])</f>
        <v>5</v>
      </c>
    </row>
    <row r="702" spans="1:10" hidden="1">
      <c r="A702" t="s">
        <v>1725</v>
      </c>
      <c r="B702" t="s">
        <v>2063</v>
      </c>
      <c r="C702" t="s">
        <v>2064</v>
      </c>
      <c r="D702" t="s">
        <v>2065</v>
      </c>
      <c r="E702" t="s">
        <v>1363</v>
      </c>
      <c r="F702" t="s">
        <v>1363</v>
      </c>
      <c r="J702">
        <f>LEN(Table13[[#This Row],[REFERENCE_DESCR1]])</f>
        <v>6</v>
      </c>
    </row>
    <row r="703" spans="1:10" hidden="1">
      <c r="A703" t="s">
        <v>1725</v>
      </c>
      <c r="B703" t="s">
        <v>2066</v>
      </c>
      <c r="C703" t="s">
        <v>2067</v>
      </c>
      <c r="D703" t="s">
        <v>2041</v>
      </c>
      <c r="E703" t="s">
        <v>447</v>
      </c>
      <c r="F703" t="s">
        <v>1363</v>
      </c>
      <c r="J703">
        <f>LEN(Table13[[#This Row],[REFERENCE_DESCR1]])</f>
        <v>8</v>
      </c>
    </row>
    <row r="704" spans="1:10" hidden="1">
      <c r="A704" t="s">
        <v>1725</v>
      </c>
      <c r="B704" t="s">
        <v>2068</v>
      </c>
      <c r="C704" t="s">
        <v>2069</v>
      </c>
      <c r="D704" t="s">
        <v>2070</v>
      </c>
      <c r="E704" t="s">
        <v>1363</v>
      </c>
      <c r="F704" t="s">
        <v>447</v>
      </c>
      <c r="J704">
        <f>LEN(Table13[[#This Row],[REFERENCE_DESCR1]])</f>
        <v>6</v>
      </c>
    </row>
    <row r="705" spans="1:10" hidden="1">
      <c r="A705" t="s">
        <v>1725</v>
      </c>
      <c r="B705" t="s">
        <v>2071</v>
      </c>
      <c r="C705" t="s">
        <v>2072</v>
      </c>
      <c r="D705" t="s">
        <v>2073</v>
      </c>
      <c r="E705" t="s">
        <v>447</v>
      </c>
      <c r="F705" t="s">
        <v>1363</v>
      </c>
      <c r="J705">
        <f>LEN(Table13[[#This Row],[REFERENCE_DESCR1]])</f>
        <v>6</v>
      </c>
    </row>
    <row r="706" spans="1:10" hidden="1">
      <c r="A706" t="s">
        <v>1725</v>
      </c>
      <c r="B706" t="s">
        <v>2074</v>
      </c>
      <c r="C706" t="s">
        <v>2075</v>
      </c>
      <c r="D706" t="s">
        <v>2047</v>
      </c>
      <c r="E706" t="s">
        <v>1363</v>
      </c>
      <c r="F706" t="s">
        <v>1363</v>
      </c>
      <c r="J706">
        <f>LEN(Table13[[#This Row],[REFERENCE_DESCR1]])</f>
        <v>10</v>
      </c>
    </row>
    <row r="707" spans="1:10" hidden="1">
      <c r="A707" t="s">
        <v>1725</v>
      </c>
      <c r="B707" t="s">
        <v>2076</v>
      </c>
      <c r="C707" t="s">
        <v>2077</v>
      </c>
      <c r="D707" t="s">
        <v>2078</v>
      </c>
      <c r="E707" t="s">
        <v>447</v>
      </c>
      <c r="F707" t="s">
        <v>1363</v>
      </c>
      <c r="J707">
        <f>LEN(Table13[[#This Row],[REFERENCE_DESCR1]])</f>
        <v>10</v>
      </c>
    </row>
    <row r="708" spans="1:10" hidden="1">
      <c r="A708" t="s">
        <v>1725</v>
      </c>
      <c r="B708" t="s">
        <v>2079</v>
      </c>
      <c r="C708" t="s">
        <v>2080</v>
      </c>
      <c r="D708" t="s">
        <v>2081</v>
      </c>
      <c r="E708" t="s">
        <v>447</v>
      </c>
      <c r="F708" t="s">
        <v>1363</v>
      </c>
      <c r="J708">
        <f>LEN(Table13[[#This Row],[REFERENCE_DESCR1]])</f>
        <v>4</v>
      </c>
    </row>
    <row r="709" spans="1:10" hidden="1">
      <c r="A709" t="s">
        <v>1725</v>
      </c>
      <c r="B709" t="s">
        <v>2082</v>
      </c>
      <c r="C709" t="s">
        <v>2083</v>
      </c>
      <c r="D709" t="s">
        <v>2084</v>
      </c>
      <c r="E709" t="s">
        <v>447</v>
      </c>
      <c r="F709" t="s">
        <v>1363</v>
      </c>
      <c r="J709">
        <f>LEN(Table13[[#This Row],[REFERENCE_DESCR1]])</f>
        <v>3</v>
      </c>
    </row>
    <row r="710" spans="1:10" hidden="1">
      <c r="A710" t="s">
        <v>1725</v>
      </c>
      <c r="B710" t="s">
        <v>2085</v>
      </c>
      <c r="C710" t="s">
        <v>2086</v>
      </c>
      <c r="D710" t="s">
        <v>2087</v>
      </c>
      <c r="E710" t="s">
        <v>447</v>
      </c>
      <c r="F710" t="s">
        <v>1363</v>
      </c>
      <c r="J710">
        <f>LEN(Table13[[#This Row],[REFERENCE_DESCR1]])</f>
        <v>6</v>
      </c>
    </row>
    <row r="711" spans="1:10" hidden="1">
      <c r="A711" t="s">
        <v>1725</v>
      </c>
      <c r="B711" t="s">
        <v>1694</v>
      </c>
      <c r="C711" t="s">
        <v>2088</v>
      </c>
      <c r="D711" t="s">
        <v>2089</v>
      </c>
      <c r="E711" t="s">
        <v>1363</v>
      </c>
      <c r="F711" t="s">
        <v>1363</v>
      </c>
      <c r="J711">
        <f>LEN(Table13[[#This Row],[REFERENCE_DESCR1]])</f>
        <v>12</v>
      </c>
    </row>
    <row r="712" spans="1:10" hidden="1">
      <c r="A712" t="s">
        <v>1725</v>
      </c>
      <c r="B712" t="s">
        <v>2090</v>
      </c>
      <c r="C712" t="s">
        <v>2091</v>
      </c>
      <c r="D712" t="s">
        <v>2092</v>
      </c>
      <c r="E712" t="s">
        <v>447</v>
      </c>
      <c r="F712" t="s">
        <v>1363</v>
      </c>
      <c r="J712">
        <f>LEN(Table13[[#This Row],[REFERENCE_DESCR1]])</f>
        <v>6</v>
      </c>
    </row>
    <row r="713" spans="1:10" hidden="1">
      <c r="A713" t="s">
        <v>1725</v>
      </c>
      <c r="B713" t="s">
        <v>2093</v>
      </c>
      <c r="C713" t="s">
        <v>2094</v>
      </c>
      <c r="D713" t="s">
        <v>2095</v>
      </c>
      <c r="E713" t="s">
        <v>447</v>
      </c>
      <c r="F713" t="s">
        <v>1363</v>
      </c>
      <c r="J713">
        <f>LEN(Table13[[#This Row],[REFERENCE_DESCR1]])</f>
        <v>9</v>
      </c>
    </row>
    <row r="714" spans="1:10" hidden="1">
      <c r="A714" t="s">
        <v>1725</v>
      </c>
      <c r="B714" t="s">
        <v>2096</v>
      </c>
      <c r="C714" t="s">
        <v>2097</v>
      </c>
      <c r="D714" t="s">
        <v>2098</v>
      </c>
      <c r="E714" t="s">
        <v>447</v>
      </c>
      <c r="F714" t="s">
        <v>447</v>
      </c>
      <c r="J714">
        <f>LEN(Table13[[#This Row],[REFERENCE_DESCR1]])</f>
        <v>7</v>
      </c>
    </row>
    <row r="715" spans="1:10" hidden="1">
      <c r="A715" t="s">
        <v>1725</v>
      </c>
      <c r="B715" t="s">
        <v>2099</v>
      </c>
      <c r="C715" t="s">
        <v>2100</v>
      </c>
      <c r="D715" t="s">
        <v>2101</v>
      </c>
      <c r="E715" t="s">
        <v>447</v>
      </c>
      <c r="F715" t="s">
        <v>1363</v>
      </c>
      <c r="J715">
        <f>LEN(Table13[[#This Row],[REFERENCE_DESCR1]])</f>
        <v>4</v>
      </c>
    </row>
    <row r="716" spans="1:10" hidden="1">
      <c r="A716" t="s">
        <v>1725</v>
      </c>
      <c r="B716" t="s">
        <v>2102</v>
      </c>
      <c r="C716" t="s">
        <v>2103</v>
      </c>
      <c r="D716" t="s">
        <v>2084</v>
      </c>
      <c r="E716" t="s">
        <v>447</v>
      </c>
      <c r="F716" t="s">
        <v>1363</v>
      </c>
      <c r="J716">
        <f>LEN(Table13[[#This Row],[REFERENCE_DESCR1]])</f>
        <v>5</v>
      </c>
    </row>
    <row r="717" spans="1:10" hidden="1">
      <c r="A717" t="s">
        <v>1725</v>
      </c>
      <c r="B717" t="s">
        <v>2104</v>
      </c>
      <c r="C717" t="s">
        <v>1154</v>
      </c>
      <c r="D717">
        <v>20</v>
      </c>
      <c r="E717" t="s">
        <v>447</v>
      </c>
      <c r="F717" t="s">
        <v>1363</v>
      </c>
      <c r="J717">
        <f>LEN(Table13[[#This Row],[REFERENCE_DESCR1]])</f>
        <v>1</v>
      </c>
    </row>
    <row r="718" spans="1:10" hidden="1">
      <c r="A718" t="s">
        <v>1725</v>
      </c>
      <c r="B718" t="s">
        <v>2105</v>
      </c>
      <c r="C718" t="s">
        <v>2106</v>
      </c>
      <c r="D718" t="s">
        <v>1780</v>
      </c>
      <c r="E718" t="s">
        <v>447</v>
      </c>
      <c r="F718" t="s">
        <v>1363</v>
      </c>
      <c r="J718">
        <f>LEN(Table13[[#This Row],[REFERENCE_DESCR1]])</f>
        <v>4</v>
      </c>
    </row>
    <row r="719" spans="1:10" hidden="1">
      <c r="A719" t="s">
        <v>1725</v>
      </c>
      <c r="B719" t="s">
        <v>2107</v>
      </c>
      <c r="C719" t="s">
        <v>2012</v>
      </c>
      <c r="D719" t="s">
        <v>2108</v>
      </c>
      <c r="E719" t="s">
        <v>447</v>
      </c>
      <c r="F719" t="s">
        <v>1363</v>
      </c>
      <c r="J719">
        <f>LEN(Table13[[#This Row],[REFERENCE_DESCR1]])</f>
        <v>5</v>
      </c>
    </row>
    <row r="720" spans="1:10" hidden="1">
      <c r="A720" t="s">
        <v>1725</v>
      </c>
      <c r="B720" t="s">
        <v>2109</v>
      </c>
      <c r="C720" t="s">
        <v>2110</v>
      </c>
      <c r="D720" t="s">
        <v>2108</v>
      </c>
      <c r="E720" t="s">
        <v>447</v>
      </c>
      <c r="F720" t="s">
        <v>1363</v>
      </c>
      <c r="J720">
        <f>LEN(Table13[[#This Row],[REFERENCE_DESCR1]])</f>
        <v>10</v>
      </c>
    </row>
    <row r="721" spans="1:10" hidden="1">
      <c r="A721" t="s">
        <v>1725</v>
      </c>
      <c r="B721" t="s">
        <v>2111</v>
      </c>
      <c r="C721" t="s">
        <v>2112</v>
      </c>
      <c r="D721" t="s">
        <v>2108</v>
      </c>
      <c r="E721" t="s">
        <v>447</v>
      </c>
      <c r="F721" t="s">
        <v>447</v>
      </c>
      <c r="J721">
        <f>LEN(Table13[[#This Row],[REFERENCE_DESCR1]])</f>
        <v>5</v>
      </c>
    </row>
    <row r="722" spans="1:10" hidden="1">
      <c r="A722" t="s">
        <v>1725</v>
      </c>
      <c r="B722" t="s">
        <v>2113</v>
      </c>
      <c r="C722" t="s">
        <v>2114</v>
      </c>
      <c r="D722" t="s">
        <v>2115</v>
      </c>
      <c r="E722" t="s">
        <v>447</v>
      </c>
      <c r="J722">
        <f>LEN(Table13[[#This Row],[REFERENCE_DESCR1]])</f>
        <v>22</v>
      </c>
    </row>
    <row r="723" spans="1:10" hidden="1">
      <c r="A723" t="s">
        <v>1725</v>
      </c>
      <c r="B723" t="s">
        <v>2116</v>
      </c>
      <c r="C723" t="s">
        <v>2117</v>
      </c>
      <c r="D723" t="s">
        <v>2118</v>
      </c>
      <c r="E723" t="s">
        <v>447</v>
      </c>
      <c r="F723" t="s">
        <v>447</v>
      </c>
      <c r="J723">
        <f>LEN(Table13[[#This Row],[REFERENCE_DESCR1]])</f>
        <v>6</v>
      </c>
    </row>
    <row r="724" spans="1:10" hidden="1">
      <c r="A724" t="s">
        <v>1725</v>
      </c>
      <c r="B724" t="s">
        <v>2119</v>
      </c>
      <c r="C724" t="s">
        <v>2120</v>
      </c>
      <c r="D724" t="s">
        <v>2121</v>
      </c>
      <c r="E724" t="s">
        <v>447</v>
      </c>
      <c r="F724" t="s">
        <v>1363</v>
      </c>
      <c r="J724">
        <f>LEN(Table13[[#This Row],[REFERENCE_DESCR1]])</f>
        <v>9</v>
      </c>
    </row>
    <row r="725" spans="1:10" hidden="1">
      <c r="A725" t="s">
        <v>1725</v>
      </c>
      <c r="B725" t="s">
        <v>2122</v>
      </c>
      <c r="C725" t="s">
        <v>2123</v>
      </c>
      <c r="D725" t="s">
        <v>2108</v>
      </c>
      <c r="E725" t="s">
        <v>447</v>
      </c>
      <c r="F725" t="s">
        <v>1363</v>
      </c>
      <c r="J725">
        <f>LEN(Table13[[#This Row],[REFERENCE_DESCR1]])</f>
        <v>5</v>
      </c>
    </row>
    <row r="726" spans="1:10" hidden="1">
      <c r="A726" t="s">
        <v>1725</v>
      </c>
      <c r="B726" t="s">
        <v>2124</v>
      </c>
      <c r="C726" t="s">
        <v>2125</v>
      </c>
      <c r="D726" t="s">
        <v>2108</v>
      </c>
      <c r="E726" t="s">
        <v>1363</v>
      </c>
      <c r="F726" t="s">
        <v>1363</v>
      </c>
      <c r="J726">
        <f>LEN(Table13[[#This Row],[REFERENCE_DESCR1]])</f>
        <v>23</v>
      </c>
    </row>
    <row r="727" spans="1:10" hidden="1">
      <c r="A727" t="s">
        <v>1725</v>
      </c>
      <c r="B727" t="s">
        <v>2126</v>
      </c>
      <c r="C727" t="s">
        <v>2127</v>
      </c>
      <c r="D727" t="s">
        <v>2118</v>
      </c>
      <c r="E727" t="s">
        <v>447</v>
      </c>
      <c r="F727" t="s">
        <v>1363</v>
      </c>
      <c r="J727">
        <f>LEN(Table13[[#This Row],[REFERENCE_DESCR1]])</f>
        <v>4</v>
      </c>
    </row>
    <row r="728" spans="1:10" hidden="1">
      <c r="A728" t="s">
        <v>1725</v>
      </c>
      <c r="B728" t="s">
        <v>2128</v>
      </c>
      <c r="C728" t="s">
        <v>2129</v>
      </c>
      <c r="D728" t="s">
        <v>2130</v>
      </c>
      <c r="E728" t="s">
        <v>447</v>
      </c>
      <c r="F728" t="s">
        <v>1363</v>
      </c>
      <c r="J728">
        <f>LEN(Table13[[#This Row],[REFERENCE_DESCR1]])</f>
        <v>9</v>
      </c>
    </row>
    <row r="729" spans="1:10" hidden="1">
      <c r="A729" t="s">
        <v>1725</v>
      </c>
      <c r="B729" t="s">
        <v>2131</v>
      </c>
      <c r="C729" t="s">
        <v>2132</v>
      </c>
      <c r="D729" t="s">
        <v>2108</v>
      </c>
      <c r="E729" t="s">
        <v>447</v>
      </c>
      <c r="F729" t="s">
        <v>1363</v>
      </c>
      <c r="J729">
        <f>LEN(Table13[[#This Row],[REFERENCE_DESCR1]])</f>
        <v>5</v>
      </c>
    </row>
    <row r="730" spans="1:10" hidden="1">
      <c r="A730" t="s">
        <v>1725</v>
      </c>
      <c r="B730" t="s">
        <v>2133</v>
      </c>
      <c r="C730" t="s">
        <v>2134</v>
      </c>
      <c r="D730" t="s">
        <v>2108</v>
      </c>
      <c r="E730" t="s">
        <v>447</v>
      </c>
      <c r="F730" t="s">
        <v>1363</v>
      </c>
      <c r="J730">
        <f>LEN(Table13[[#This Row],[REFERENCE_DESCR1]])</f>
        <v>5</v>
      </c>
    </row>
    <row r="731" spans="1:10" hidden="1">
      <c r="A731" t="s">
        <v>1725</v>
      </c>
      <c r="B731" t="s">
        <v>2135</v>
      </c>
      <c r="C731" t="s">
        <v>2136</v>
      </c>
      <c r="D731" t="s">
        <v>2137</v>
      </c>
      <c r="E731" t="s">
        <v>447</v>
      </c>
      <c r="F731" t="s">
        <v>1363</v>
      </c>
      <c r="J731">
        <f>LEN(Table13[[#This Row],[REFERENCE_DESCR1]])</f>
        <v>6</v>
      </c>
    </row>
    <row r="732" spans="1:10" hidden="1">
      <c r="A732" t="s">
        <v>1725</v>
      </c>
      <c r="B732" t="s">
        <v>2138</v>
      </c>
      <c r="C732" t="s">
        <v>2139</v>
      </c>
      <c r="D732" t="s">
        <v>2108</v>
      </c>
      <c r="E732" t="s">
        <v>447</v>
      </c>
      <c r="F732" t="s">
        <v>1363</v>
      </c>
      <c r="J732">
        <f>LEN(Table13[[#This Row],[REFERENCE_DESCR1]])</f>
        <v>3</v>
      </c>
    </row>
    <row r="733" spans="1:10" hidden="1">
      <c r="A733" t="s">
        <v>1725</v>
      </c>
      <c r="B733" t="s">
        <v>2140</v>
      </c>
      <c r="C733" t="s">
        <v>2141</v>
      </c>
      <c r="D733" t="s">
        <v>2108</v>
      </c>
      <c r="E733" t="s">
        <v>1363</v>
      </c>
      <c r="F733" t="s">
        <v>1363</v>
      </c>
      <c r="J733">
        <f>LEN(Table13[[#This Row],[REFERENCE_DESCR1]])</f>
        <v>11</v>
      </c>
    </row>
    <row r="734" spans="1:10" hidden="1">
      <c r="A734" t="s">
        <v>1725</v>
      </c>
      <c r="B734" t="s">
        <v>2142</v>
      </c>
      <c r="C734" t="s">
        <v>2143</v>
      </c>
      <c r="D734" t="s">
        <v>2108</v>
      </c>
      <c r="E734" t="s">
        <v>1363</v>
      </c>
      <c r="F734" t="s">
        <v>1363</v>
      </c>
      <c r="J734">
        <f>LEN(Table13[[#This Row],[REFERENCE_DESCR1]])</f>
        <v>5</v>
      </c>
    </row>
    <row r="735" spans="1:10" hidden="1">
      <c r="A735" t="s">
        <v>1725</v>
      </c>
      <c r="B735" t="s">
        <v>2144</v>
      </c>
      <c r="C735" t="s">
        <v>2014</v>
      </c>
      <c r="D735" t="s">
        <v>2145</v>
      </c>
      <c r="E735" t="s">
        <v>447</v>
      </c>
      <c r="J735">
        <f>LEN(Table13[[#This Row],[REFERENCE_DESCR1]])</f>
        <v>2</v>
      </c>
    </row>
    <row r="736" spans="1:10" hidden="1">
      <c r="A736" t="s">
        <v>1725</v>
      </c>
      <c r="B736" t="s">
        <v>2146</v>
      </c>
      <c r="C736" t="s">
        <v>2014</v>
      </c>
      <c r="D736" t="s">
        <v>2145</v>
      </c>
      <c r="E736" t="s">
        <v>447</v>
      </c>
      <c r="J736">
        <f>LEN(Table13[[#This Row],[REFERENCE_DESCR1]])</f>
        <v>2</v>
      </c>
    </row>
    <row r="737" spans="1:10" hidden="1">
      <c r="A737" t="s">
        <v>1725</v>
      </c>
      <c r="B737" t="s">
        <v>2147</v>
      </c>
      <c r="C737" t="s">
        <v>2014</v>
      </c>
      <c r="D737" t="s">
        <v>2148</v>
      </c>
      <c r="E737" t="s">
        <v>447</v>
      </c>
      <c r="J737">
        <f>LEN(Table13[[#This Row],[REFERENCE_DESCR1]])</f>
        <v>2</v>
      </c>
    </row>
    <row r="738" spans="1:10" hidden="1">
      <c r="A738" t="s">
        <v>1725</v>
      </c>
      <c r="B738" t="s">
        <v>2149</v>
      </c>
      <c r="C738" t="s">
        <v>2150</v>
      </c>
      <c r="D738" t="s">
        <v>2151</v>
      </c>
      <c r="E738" t="s">
        <v>447</v>
      </c>
      <c r="F738" t="s">
        <v>447</v>
      </c>
      <c r="J738">
        <f>LEN(Table13[[#This Row],[REFERENCE_DESCR1]])</f>
        <v>5</v>
      </c>
    </row>
    <row r="739" spans="1:10" hidden="1">
      <c r="A739" t="s">
        <v>1725</v>
      </c>
      <c r="B739" t="s">
        <v>2152</v>
      </c>
      <c r="C739" t="s">
        <v>2153</v>
      </c>
      <c r="D739" t="s">
        <v>2152</v>
      </c>
      <c r="E739" t="s">
        <v>447</v>
      </c>
      <c r="F739" t="s">
        <v>447</v>
      </c>
      <c r="J739">
        <f>LEN(Table13[[#This Row],[REFERENCE_DESCR1]])</f>
        <v>7</v>
      </c>
    </row>
    <row r="740" spans="1:10" hidden="1">
      <c r="A740" t="s">
        <v>1725</v>
      </c>
      <c r="B740" t="s">
        <v>2154</v>
      </c>
      <c r="C740" t="s">
        <v>2155</v>
      </c>
      <c r="D740" t="s">
        <v>2156</v>
      </c>
      <c r="E740" t="s">
        <v>1363</v>
      </c>
      <c r="F740" t="s">
        <v>447</v>
      </c>
      <c r="J740">
        <f>LEN(Table13[[#This Row],[REFERENCE_DESCR1]])</f>
        <v>4</v>
      </c>
    </row>
    <row r="741" spans="1:10" hidden="1">
      <c r="A741" t="s">
        <v>1725</v>
      </c>
      <c r="B741" t="s">
        <v>2157</v>
      </c>
      <c r="C741" t="s">
        <v>1733</v>
      </c>
      <c r="D741" t="s">
        <v>2158</v>
      </c>
      <c r="E741" t="s">
        <v>447</v>
      </c>
      <c r="F741" t="s">
        <v>447</v>
      </c>
      <c r="J741">
        <f>LEN(Table13[[#This Row],[REFERENCE_DESCR1]])</f>
        <v>8</v>
      </c>
    </row>
    <row r="742" spans="1:10" hidden="1">
      <c r="A742" t="s">
        <v>1725</v>
      </c>
      <c r="B742" t="s">
        <v>2159</v>
      </c>
      <c r="C742" t="s">
        <v>2160</v>
      </c>
      <c r="D742" t="s">
        <v>2161</v>
      </c>
      <c r="E742" t="s">
        <v>447</v>
      </c>
      <c r="F742" t="s">
        <v>1363</v>
      </c>
      <c r="J742">
        <f>LEN(Table13[[#This Row],[REFERENCE_DESCR1]])</f>
        <v>7</v>
      </c>
    </row>
    <row r="743" spans="1:10" hidden="1">
      <c r="A743" t="s">
        <v>1725</v>
      </c>
      <c r="B743" t="s">
        <v>2162</v>
      </c>
      <c r="C743" t="s">
        <v>2163</v>
      </c>
      <c r="D743" t="s">
        <v>2164</v>
      </c>
      <c r="E743" t="s">
        <v>447</v>
      </c>
      <c r="J743">
        <f>LEN(Table13[[#This Row],[REFERENCE_DESCR1]])</f>
        <v>10</v>
      </c>
    </row>
    <row r="744" spans="1:10" hidden="1">
      <c r="A744" t="s">
        <v>1725</v>
      </c>
      <c r="B744" t="s">
        <v>2165</v>
      </c>
      <c r="C744" t="s">
        <v>2166</v>
      </c>
      <c r="D744" t="s">
        <v>2158</v>
      </c>
      <c r="E744" t="s">
        <v>447</v>
      </c>
      <c r="F744" t="s">
        <v>447</v>
      </c>
      <c r="J744">
        <f>LEN(Table13[[#This Row],[REFERENCE_DESCR1]])</f>
        <v>4</v>
      </c>
    </row>
    <row r="745" spans="1:10" hidden="1">
      <c r="A745" t="s">
        <v>1725</v>
      </c>
      <c r="B745" t="s">
        <v>2167</v>
      </c>
      <c r="C745" t="s">
        <v>2168</v>
      </c>
      <c r="D745" t="s">
        <v>2169</v>
      </c>
      <c r="E745" t="s">
        <v>447</v>
      </c>
      <c r="F745" t="s">
        <v>447</v>
      </c>
      <c r="J745">
        <f>LEN(Table13[[#This Row],[REFERENCE_DESCR1]])</f>
        <v>5</v>
      </c>
    </row>
    <row r="746" spans="1:10" hidden="1">
      <c r="A746" t="s">
        <v>1725</v>
      </c>
      <c r="B746" t="s">
        <v>2170</v>
      </c>
      <c r="C746" t="s">
        <v>2171</v>
      </c>
      <c r="D746" t="s">
        <v>2172</v>
      </c>
      <c r="E746" t="s">
        <v>1363</v>
      </c>
      <c r="F746" t="s">
        <v>1363</v>
      </c>
      <c r="J746">
        <f>LEN(Table13[[#This Row],[REFERENCE_DESCR1]])</f>
        <v>5</v>
      </c>
    </row>
    <row r="747" spans="1:10" hidden="1">
      <c r="A747" t="s">
        <v>1725</v>
      </c>
      <c r="B747" t="s">
        <v>2173</v>
      </c>
      <c r="C747" t="s">
        <v>2174</v>
      </c>
      <c r="D747" t="s">
        <v>2175</v>
      </c>
      <c r="E747" t="s">
        <v>447</v>
      </c>
      <c r="F747" t="s">
        <v>1363</v>
      </c>
      <c r="J747">
        <f>LEN(Table13[[#This Row],[REFERENCE_DESCR1]])</f>
        <v>6</v>
      </c>
    </row>
    <row r="748" spans="1:10" hidden="1">
      <c r="A748" t="s">
        <v>1725</v>
      </c>
      <c r="B748" t="s">
        <v>2176</v>
      </c>
      <c r="C748" t="s">
        <v>2174</v>
      </c>
      <c r="D748" t="s">
        <v>2175</v>
      </c>
      <c r="E748" t="s">
        <v>447</v>
      </c>
      <c r="F748" t="s">
        <v>1363</v>
      </c>
      <c r="J748">
        <f>LEN(Table13[[#This Row],[REFERENCE_DESCR1]])</f>
        <v>6</v>
      </c>
    </row>
    <row r="749" spans="1:10" hidden="1">
      <c r="A749" t="s">
        <v>1725</v>
      </c>
      <c r="B749" t="s">
        <v>2177</v>
      </c>
      <c r="C749" t="s">
        <v>2178</v>
      </c>
      <c r="D749" t="s">
        <v>2156</v>
      </c>
      <c r="E749" t="s">
        <v>1363</v>
      </c>
      <c r="F749" t="s">
        <v>1363</v>
      </c>
      <c r="J749">
        <f>LEN(Table13[[#This Row],[REFERENCE_DESCR1]])</f>
        <v>9</v>
      </c>
    </row>
    <row r="750" spans="1:10" hidden="1">
      <c r="A750" t="s">
        <v>1725</v>
      </c>
      <c r="B750" t="s">
        <v>2179</v>
      </c>
      <c r="C750" t="s">
        <v>2180</v>
      </c>
      <c r="D750" t="s">
        <v>2175</v>
      </c>
      <c r="E750" t="s">
        <v>447</v>
      </c>
      <c r="F750" t="s">
        <v>447</v>
      </c>
      <c r="J750">
        <f>LEN(Table13[[#This Row],[REFERENCE_DESCR1]])</f>
        <v>5</v>
      </c>
    </row>
    <row r="751" spans="1:10" hidden="1">
      <c r="A751" t="s">
        <v>1725</v>
      </c>
      <c r="B751" t="s">
        <v>2181</v>
      </c>
      <c r="C751" t="s">
        <v>2182</v>
      </c>
      <c r="D751" t="s">
        <v>2183</v>
      </c>
      <c r="E751" t="s">
        <v>447</v>
      </c>
      <c r="F751" t="s">
        <v>1363</v>
      </c>
      <c r="J751">
        <f>LEN(Table13[[#This Row],[REFERENCE_DESCR1]])</f>
        <v>7</v>
      </c>
    </row>
    <row r="752" spans="1:10" hidden="1">
      <c r="A752" t="s">
        <v>1725</v>
      </c>
      <c r="B752" t="s">
        <v>2184</v>
      </c>
      <c r="C752" t="s">
        <v>2163</v>
      </c>
      <c r="D752" t="s">
        <v>2164</v>
      </c>
      <c r="E752" t="s">
        <v>1363</v>
      </c>
      <c r="F752" t="s">
        <v>1363</v>
      </c>
      <c r="J752">
        <f>LEN(Table13[[#This Row],[REFERENCE_DESCR1]])</f>
        <v>10</v>
      </c>
    </row>
    <row r="753" spans="1:10" hidden="1">
      <c r="A753" t="s">
        <v>1725</v>
      </c>
      <c r="B753" t="s">
        <v>2185</v>
      </c>
      <c r="C753" t="s">
        <v>2186</v>
      </c>
      <c r="D753" t="s">
        <v>2187</v>
      </c>
      <c r="E753" t="s">
        <v>447</v>
      </c>
      <c r="F753" t="s">
        <v>1363</v>
      </c>
      <c r="J753">
        <f>LEN(Table13[[#This Row],[REFERENCE_DESCR1]])</f>
        <v>11</v>
      </c>
    </row>
    <row r="754" spans="1:10" hidden="1">
      <c r="A754" t="s">
        <v>1725</v>
      </c>
      <c r="B754" t="s">
        <v>2188</v>
      </c>
      <c r="C754" t="s">
        <v>2189</v>
      </c>
      <c r="D754" t="s">
        <v>2190</v>
      </c>
      <c r="E754" t="s">
        <v>1363</v>
      </c>
      <c r="F754" t="s">
        <v>447</v>
      </c>
      <c r="J754">
        <f>LEN(Table13[[#This Row],[REFERENCE_DESCR1]])</f>
        <v>10</v>
      </c>
    </row>
    <row r="755" spans="1:10" hidden="1">
      <c r="A755" t="s">
        <v>1725</v>
      </c>
      <c r="B755" t="s">
        <v>2191</v>
      </c>
      <c r="C755" t="s">
        <v>2192</v>
      </c>
      <c r="D755" t="s">
        <v>2191</v>
      </c>
      <c r="E755" t="s">
        <v>447</v>
      </c>
      <c r="F755" t="s">
        <v>1363</v>
      </c>
      <c r="J755">
        <f>LEN(Table13[[#This Row],[REFERENCE_DESCR1]])</f>
        <v>8</v>
      </c>
    </row>
    <row r="756" spans="1:10" hidden="1">
      <c r="A756" t="s">
        <v>1725</v>
      </c>
      <c r="B756" t="s">
        <v>2193</v>
      </c>
      <c r="C756" t="s">
        <v>2194</v>
      </c>
      <c r="D756" t="s">
        <v>2195</v>
      </c>
      <c r="E756" t="s">
        <v>447</v>
      </c>
      <c r="F756" t="s">
        <v>1363</v>
      </c>
      <c r="J756">
        <f>LEN(Table13[[#This Row],[REFERENCE_DESCR1]])</f>
        <v>4</v>
      </c>
    </row>
    <row r="757" spans="1:10" hidden="1">
      <c r="A757" t="s">
        <v>1725</v>
      </c>
      <c r="B757" t="s">
        <v>2196</v>
      </c>
      <c r="C757" t="s">
        <v>2197</v>
      </c>
      <c r="D757" t="s">
        <v>2198</v>
      </c>
      <c r="E757" t="s">
        <v>447</v>
      </c>
      <c r="F757" t="s">
        <v>447</v>
      </c>
      <c r="J757">
        <f>LEN(Table13[[#This Row],[REFERENCE_DESCR1]])</f>
        <v>26</v>
      </c>
    </row>
    <row r="758" spans="1:10" hidden="1">
      <c r="A758" t="s">
        <v>1725</v>
      </c>
      <c r="B758" t="s">
        <v>2199</v>
      </c>
      <c r="C758" t="s">
        <v>2200</v>
      </c>
      <c r="D758" t="s">
        <v>2201</v>
      </c>
      <c r="E758" t="s">
        <v>447</v>
      </c>
      <c r="F758" t="s">
        <v>1363</v>
      </c>
      <c r="J758">
        <f>LEN(Table13[[#This Row],[REFERENCE_DESCR1]])</f>
        <v>14</v>
      </c>
    </row>
    <row r="759" spans="1:10" hidden="1">
      <c r="A759" t="s">
        <v>1725</v>
      </c>
      <c r="B759" t="s">
        <v>2202</v>
      </c>
      <c r="C759" t="s">
        <v>2203</v>
      </c>
      <c r="D759" t="s">
        <v>2204</v>
      </c>
      <c r="E759" t="s">
        <v>447</v>
      </c>
      <c r="F759" t="s">
        <v>447</v>
      </c>
      <c r="J759">
        <f>LEN(Table13[[#This Row],[REFERENCE_DESCR1]])</f>
        <v>7</v>
      </c>
    </row>
    <row r="760" spans="1:10" hidden="1">
      <c r="A760" t="s">
        <v>1725</v>
      </c>
      <c r="B760" t="s">
        <v>2205</v>
      </c>
      <c r="C760" t="s">
        <v>2206</v>
      </c>
      <c r="D760" t="s">
        <v>2207</v>
      </c>
      <c r="E760" t="s">
        <v>447</v>
      </c>
      <c r="F760" t="s">
        <v>1363</v>
      </c>
      <c r="J760">
        <f>LEN(Table13[[#This Row],[REFERENCE_DESCR1]])</f>
        <v>6</v>
      </c>
    </row>
    <row r="761" spans="1:10" hidden="1">
      <c r="A761" t="s">
        <v>1725</v>
      </c>
      <c r="B761" t="s">
        <v>2208</v>
      </c>
      <c r="C761" t="s">
        <v>2209</v>
      </c>
      <c r="D761" t="s">
        <v>2210</v>
      </c>
      <c r="E761" t="s">
        <v>447</v>
      </c>
      <c r="F761" t="s">
        <v>1363</v>
      </c>
      <c r="J761">
        <f>LEN(Table13[[#This Row],[REFERENCE_DESCR1]])</f>
        <v>4</v>
      </c>
    </row>
    <row r="762" spans="1:10" hidden="1">
      <c r="A762" t="s">
        <v>1725</v>
      </c>
      <c r="B762" t="s">
        <v>2211</v>
      </c>
      <c r="C762" t="s">
        <v>2195</v>
      </c>
      <c r="D762" t="s">
        <v>2212</v>
      </c>
      <c r="E762" t="s">
        <v>447</v>
      </c>
      <c r="F762" t="s">
        <v>1363</v>
      </c>
      <c r="J762">
        <f>LEN(Table13[[#This Row],[REFERENCE_DESCR1]])</f>
        <v>5</v>
      </c>
    </row>
    <row r="763" spans="1:10" hidden="1">
      <c r="A763" t="s">
        <v>1725</v>
      </c>
      <c r="B763" t="s">
        <v>2213</v>
      </c>
      <c r="C763" t="s">
        <v>2214</v>
      </c>
      <c r="D763" t="s">
        <v>2215</v>
      </c>
      <c r="E763" t="s">
        <v>447</v>
      </c>
      <c r="F763" t="s">
        <v>1363</v>
      </c>
      <c r="J763">
        <f>LEN(Table13[[#This Row],[REFERENCE_DESCR1]])</f>
        <v>4</v>
      </c>
    </row>
    <row r="764" spans="1:10" hidden="1">
      <c r="A764" t="s">
        <v>1725</v>
      </c>
      <c r="B764" t="s">
        <v>2216</v>
      </c>
      <c r="C764" t="s">
        <v>2217</v>
      </c>
      <c r="D764" t="s">
        <v>2191</v>
      </c>
      <c r="E764" t="s">
        <v>447</v>
      </c>
      <c r="F764" t="s">
        <v>447</v>
      </c>
      <c r="J764">
        <f>LEN(Table13[[#This Row],[REFERENCE_DESCR1]])</f>
        <v>9</v>
      </c>
    </row>
    <row r="765" spans="1:10" hidden="1">
      <c r="A765" t="s">
        <v>1725</v>
      </c>
      <c r="B765" t="s">
        <v>2218</v>
      </c>
      <c r="C765" t="s">
        <v>2219</v>
      </c>
      <c r="D765" t="s">
        <v>2220</v>
      </c>
      <c r="E765" t="s">
        <v>447</v>
      </c>
      <c r="F765" t="s">
        <v>1363</v>
      </c>
      <c r="J765">
        <f>LEN(Table13[[#This Row],[REFERENCE_DESCR1]])</f>
        <v>10</v>
      </c>
    </row>
    <row r="766" spans="1:10" hidden="1">
      <c r="A766" t="s">
        <v>1725</v>
      </c>
      <c r="B766" t="s">
        <v>2221</v>
      </c>
      <c r="C766" t="s">
        <v>2222</v>
      </c>
      <c r="D766" t="s">
        <v>2195</v>
      </c>
      <c r="E766" t="s">
        <v>447</v>
      </c>
      <c r="F766" t="s">
        <v>1363</v>
      </c>
      <c r="J766">
        <f>LEN(Table13[[#This Row],[REFERENCE_DESCR1]])</f>
        <v>10</v>
      </c>
    </row>
    <row r="767" spans="1:10" hidden="1">
      <c r="A767" t="s">
        <v>1725</v>
      </c>
      <c r="B767" t="s">
        <v>2223</v>
      </c>
      <c r="C767" t="s">
        <v>2224</v>
      </c>
      <c r="D767" t="s">
        <v>2195</v>
      </c>
      <c r="E767" t="s">
        <v>447</v>
      </c>
      <c r="F767" t="s">
        <v>1363</v>
      </c>
      <c r="J767">
        <f>LEN(Table13[[#This Row],[REFERENCE_DESCR1]])</f>
        <v>11</v>
      </c>
    </row>
    <row r="768" spans="1:10" hidden="1">
      <c r="A768" t="s">
        <v>1725</v>
      </c>
      <c r="B768" t="s">
        <v>2225</v>
      </c>
      <c r="C768" t="s">
        <v>2226</v>
      </c>
      <c r="D768" t="s">
        <v>2191</v>
      </c>
      <c r="E768" t="s">
        <v>447</v>
      </c>
      <c r="F768" t="s">
        <v>1363</v>
      </c>
      <c r="J768">
        <f>LEN(Table13[[#This Row],[REFERENCE_DESCR1]])</f>
        <v>6</v>
      </c>
    </row>
    <row r="769" spans="1:10" hidden="1">
      <c r="A769" t="s">
        <v>1725</v>
      </c>
      <c r="B769" t="s">
        <v>2227</v>
      </c>
      <c r="C769" t="s">
        <v>2228</v>
      </c>
      <c r="D769" t="s">
        <v>2229</v>
      </c>
      <c r="E769" t="s">
        <v>447</v>
      </c>
      <c r="F769" t="s">
        <v>1363</v>
      </c>
      <c r="J769">
        <f>LEN(Table13[[#This Row],[REFERENCE_DESCR1]])</f>
        <v>8</v>
      </c>
    </row>
    <row r="770" spans="1:10" hidden="1">
      <c r="A770" t="s">
        <v>1725</v>
      </c>
      <c r="B770" t="s">
        <v>2230</v>
      </c>
      <c r="C770" t="s">
        <v>2231</v>
      </c>
      <c r="D770" t="s">
        <v>2232</v>
      </c>
      <c r="E770" t="s">
        <v>447</v>
      </c>
      <c r="F770" t="s">
        <v>1363</v>
      </c>
      <c r="J770">
        <f>LEN(Table13[[#This Row],[REFERENCE_DESCR1]])</f>
        <v>7</v>
      </c>
    </row>
    <row r="771" spans="1:10" hidden="1">
      <c r="A771" t="s">
        <v>1725</v>
      </c>
      <c r="B771" t="s">
        <v>2233</v>
      </c>
      <c r="C771" t="s">
        <v>2234</v>
      </c>
      <c r="D771" t="s">
        <v>2235</v>
      </c>
      <c r="E771" t="s">
        <v>1363</v>
      </c>
      <c r="F771" t="s">
        <v>1363</v>
      </c>
      <c r="J771">
        <f>LEN(Table13[[#This Row],[REFERENCE_DESCR1]])</f>
        <v>5</v>
      </c>
    </row>
    <row r="772" spans="1:10" hidden="1">
      <c r="A772" t="s">
        <v>1725</v>
      </c>
      <c r="B772" t="s">
        <v>2236</v>
      </c>
      <c r="C772" t="s">
        <v>2237</v>
      </c>
      <c r="D772" t="s">
        <v>2238</v>
      </c>
      <c r="E772" t="s">
        <v>447</v>
      </c>
      <c r="F772" t="s">
        <v>1363</v>
      </c>
      <c r="J772">
        <f>LEN(Table13[[#This Row],[REFERENCE_DESCR1]])</f>
        <v>9</v>
      </c>
    </row>
    <row r="773" spans="1:10" hidden="1">
      <c r="A773" t="s">
        <v>1725</v>
      </c>
      <c r="B773" t="s">
        <v>1723</v>
      </c>
      <c r="C773" t="s">
        <v>2239</v>
      </c>
      <c r="D773" t="s">
        <v>2204</v>
      </c>
      <c r="E773" t="s">
        <v>1363</v>
      </c>
      <c r="F773" t="s">
        <v>1363</v>
      </c>
      <c r="J773">
        <f>LEN(Table13[[#This Row],[REFERENCE_DESCR1]])</f>
        <v>7</v>
      </c>
    </row>
    <row r="774" spans="1:10" hidden="1">
      <c r="A774" t="s">
        <v>1725</v>
      </c>
      <c r="B774" t="s">
        <v>2240</v>
      </c>
      <c r="C774" t="s">
        <v>2241</v>
      </c>
      <c r="D774" t="s">
        <v>2242</v>
      </c>
      <c r="E774" t="s">
        <v>447</v>
      </c>
      <c r="F774" t="s">
        <v>447</v>
      </c>
      <c r="J774">
        <f>LEN(Table13[[#This Row],[REFERENCE_DESCR1]])</f>
        <v>9</v>
      </c>
    </row>
    <row r="775" spans="1:10" hidden="1">
      <c r="A775" t="s">
        <v>1725</v>
      </c>
      <c r="B775" t="s">
        <v>2243</v>
      </c>
      <c r="C775" t="s">
        <v>2244</v>
      </c>
      <c r="D775" t="s">
        <v>2245</v>
      </c>
      <c r="E775" t="s">
        <v>447</v>
      </c>
      <c r="F775" t="s">
        <v>1363</v>
      </c>
      <c r="J775">
        <f>LEN(Table13[[#This Row],[REFERENCE_DESCR1]])</f>
        <v>11</v>
      </c>
    </row>
    <row r="776" spans="1:10" hidden="1">
      <c r="A776" t="s">
        <v>1725</v>
      </c>
      <c r="B776" t="s">
        <v>2246</v>
      </c>
      <c r="C776" t="s">
        <v>2247</v>
      </c>
      <c r="D776" t="s">
        <v>2248</v>
      </c>
      <c r="E776" t="s">
        <v>447</v>
      </c>
      <c r="F776" t="s">
        <v>1363</v>
      </c>
      <c r="J776">
        <f>LEN(Table13[[#This Row],[REFERENCE_DESCR1]])</f>
        <v>8</v>
      </c>
    </row>
    <row r="777" spans="1:10" hidden="1">
      <c r="A777" t="s">
        <v>1725</v>
      </c>
      <c r="B777" t="s">
        <v>2249</v>
      </c>
      <c r="C777" t="s">
        <v>2250</v>
      </c>
      <c r="D777" t="s">
        <v>2195</v>
      </c>
      <c r="E777" t="s">
        <v>447</v>
      </c>
      <c r="F777" t="s">
        <v>447</v>
      </c>
      <c r="J777">
        <f>LEN(Table13[[#This Row],[REFERENCE_DESCR1]])</f>
        <v>6</v>
      </c>
    </row>
    <row r="778" spans="1:10" hidden="1">
      <c r="A778" t="s">
        <v>1725</v>
      </c>
      <c r="B778" t="s">
        <v>2251</v>
      </c>
      <c r="C778" t="s">
        <v>2252</v>
      </c>
      <c r="D778" t="s">
        <v>2253</v>
      </c>
      <c r="E778" t="s">
        <v>1363</v>
      </c>
      <c r="F778" t="s">
        <v>447</v>
      </c>
      <c r="J778">
        <f>LEN(Table13[[#This Row],[REFERENCE_DESCR1]])</f>
        <v>14</v>
      </c>
    </row>
    <row r="779" spans="1:10" hidden="1">
      <c r="A779" t="s">
        <v>1725</v>
      </c>
      <c r="B779" t="s">
        <v>2254</v>
      </c>
      <c r="C779" t="s">
        <v>2255</v>
      </c>
      <c r="D779" t="s">
        <v>2256</v>
      </c>
      <c r="E779" t="s">
        <v>447</v>
      </c>
      <c r="F779" t="s">
        <v>1363</v>
      </c>
      <c r="J779">
        <f>LEN(Table13[[#This Row],[REFERENCE_DESCR1]])</f>
        <v>9</v>
      </c>
    </row>
    <row r="780" spans="1:10" hidden="1">
      <c r="A780" t="s">
        <v>1725</v>
      </c>
      <c r="B780" t="s">
        <v>2257</v>
      </c>
      <c r="C780" t="s">
        <v>2258</v>
      </c>
      <c r="D780" t="s">
        <v>1157</v>
      </c>
      <c r="E780" t="s">
        <v>447</v>
      </c>
      <c r="F780" t="s">
        <v>1363</v>
      </c>
      <c r="J780">
        <f>LEN(Table13[[#This Row],[REFERENCE_DESCR1]])</f>
        <v>19</v>
      </c>
    </row>
    <row r="781" spans="1:10" hidden="1">
      <c r="A781" t="s">
        <v>1725</v>
      </c>
      <c r="B781" t="s">
        <v>2259</v>
      </c>
      <c r="C781" t="s">
        <v>2260</v>
      </c>
      <c r="D781" t="s">
        <v>2261</v>
      </c>
      <c r="E781" t="s">
        <v>447</v>
      </c>
      <c r="F781" t="s">
        <v>1363</v>
      </c>
      <c r="J781">
        <f>LEN(Table13[[#This Row],[REFERENCE_DESCR1]])</f>
        <v>7</v>
      </c>
    </row>
    <row r="782" spans="1:10" hidden="1">
      <c r="A782" t="s">
        <v>1725</v>
      </c>
      <c r="B782" t="s">
        <v>2262</v>
      </c>
      <c r="C782" t="s">
        <v>2263</v>
      </c>
      <c r="D782" t="s">
        <v>2264</v>
      </c>
      <c r="E782" t="s">
        <v>447</v>
      </c>
      <c r="F782" t="s">
        <v>447</v>
      </c>
      <c r="J782">
        <f>LEN(Table13[[#This Row],[REFERENCE_DESCR1]])</f>
        <v>4</v>
      </c>
    </row>
    <row r="783" spans="1:10" hidden="1">
      <c r="A783" t="s">
        <v>1725</v>
      </c>
      <c r="B783" t="s">
        <v>2265</v>
      </c>
      <c r="C783" t="s">
        <v>2266</v>
      </c>
      <c r="D783" t="s">
        <v>2267</v>
      </c>
      <c r="E783" t="s">
        <v>447</v>
      </c>
      <c r="J783">
        <f>LEN(Table13[[#This Row],[REFERENCE_DESCR1]])</f>
        <v>3</v>
      </c>
    </row>
    <row r="784" spans="1:10" hidden="1">
      <c r="A784" t="s">
        <v>1725</v>
      </c>
      <c r="B784" t="s">
        <v>2268</v>
      </c>
      <c r="C784" t="s">
        <v>2269</v>
      </c>
      <c r="D784" t="s">
        <v>2270</v>
      </c>
      <c r="E784" t="s">
        <v>447</v>
      </c>
      <c r="F784" t="s">
        <v>1363</v>
      </c>
      <c r="J784">
        <f>LEN(Table13[[#This Row],[REFERENCE_DESCR1]])</f>
        <v>6</v>
      </c>
    </row>
    <row r="785" spans="1:10" hidden="1">
      <c r="A785" t="s">
        <v>1725</v>
      </c>
      <c r="B785" t="s">
        <v>2271</v>
      </c>
      <c r="C785" t="s">
        <v>2272</v>
      </c>
      <c r="D785" t="s">
        <v>2256</v>
      </c>
      <c r="E785" t="s">
        <v>447</v>
      </c>
      <c r="F785" t="s">
        <v>1363</v>
      </c>
      <c r="J785">
        <f>LEN(Table13[[#This Row],[REFERENCE_DESCR1]])</f>
        <v>5</v>
      </c>
    </row>
    <row r="786" spans="1:10" hidden="1">
      <c r="A786" t="s">
        <v>1725</v>
      </c>
      <c r="B786" t="s">
        <v>2273</v>
      </c>
      <c r="C786" t="s">
        <v>2120</v>
      </c>
      <c r="D786" t="s">
        <v>2121</v>
      </c>
      <c r="E786" t="s">
        <v>447</v>
      </c>
      <c r="F786" t="s">
        <v>1363</v>
      </c>
      <c r="J786">
        <f>LEN(Table13[[#This Row],[REFERENCE_DESCR1]])</f>
        <v>9</v>
      </c>
    </row>
    <row r="787" spans="1:10" hidden="1">
      <c r="A787" t="s">
        <v>1725</v>
      </c>
      <c r="B787" t="s">
        <v>2274</v>
      </c>
      <c r="C787" t="s">
        <v>2275</v>
      </c>
      <c r="D787" t="s">
        <v>2276</v>
      </c>
      <c r="E787" t="s">
        <v>447</v>
      </c>
      <c r="F787" t="s">
        <v>1363</v>
      </c>
      <c r="J787">
        <f>LEN(Table13[[#This Row],[REFERENCE_DESCR1]])</f>
        <v>5</v>
      </c>
    </row>
    <row r="788" spans="1:10" hidden="1">
      <c r="A788" t="s">
        <v>1725</v>
      </c>
      <c r="B788" t="s">
        <v>2277</v>
      </c>
      <c r="C788" t="s">
        <v>2278</v>
      </c>
      <c r="D788" t="s">
        <v>2279</v>
      </c>
      <c r="E788" t="s">
        <v>447</v>
      </c>
      <c r="F788" t="s">
        <v>1363</v>
      </c>
      <c r="J788">
        <f>LEN(Table13[[#This Row],[REFERENCE_DESCR1]])</f>
        <v>9</v>
      </c>
    </row>
    <row r="789" spans="1:10" hidden="1">
      <c r="A789" t="s">
        <v>1725</v>
      </c>
      <c r="B789" t="s">
        <v>2280</v>
      </c>
      <c r="C789" t="s">
        <v>2281</v>
      </c>
      <c r="D789" t="s">
        <v>2282</v>
      </c>
      <c r="E789" t="s">
        <v>447</v>
      </c>
      <c r="F789" t="s">
        <v>1363</v>
      </c>
      <c r="J789">
        <f>LEN(Table13[[#This Row],[REFERENCE_DESCR1]])</f>
        <v>6</v>
      </c>
    </row>
    <row r="790" spans="1:10" hidden="1">
      <c r="A790" t="s">
        <v>1725</v>
      </c>
      <c r="B790" t="s">
        <v>2283</v>
      </c>
      <c r="C790" t="s">
        <v>2283</v>
      </c>
      <c r="D790" t="s">
        <v>1915</v>
      </c>
      <c r="E790" t="s">
        <v>1363</v>
      </c>
      <c r="F790" t="s">
        <v>1363</v>
      </c>
      <c r="J790">
        <f>LEN(Table13[[#This Row],[REFERENCE_DESCR1]])</f>
        <v>4</v>
      </c>
    </row>
    <row r="791" spans="1:10" hidden="1">
      <c r="A791" t="s">
        <v>1725</v>
      </c>
      <c r="B791" t="s">
        <v>2284</v>
      </c>
      <c r="C791" t="s">
        <v>2285</v>
      </c>
      <c r="D791" t="s">
        <v>2286</v>
      </c>
      <c r="E791" t="s">
        <v>447</v>
      </c>
      <c r="F791" t="s">
        <v>1363</v>
      </c>
      <c r="J791">
        <f>LEN(Table13[[#This Row],[REFERENCE_DESCR1]])</f>
        <v>6</v>
      </c>
    </row>
    <row r="792" spans="1:10" hidden="1">
      <c r="A792" t="s">
        <v>1725</v>
      </c>
      <c r="B792" t="s">
        <v>2287</v>
      </c>
      <c r="C792" t="s">
        <v>2288</v>
      </c>
      <c r="D792" t="s">
        <v>2289</v>
      </c>
      <c r="E792" t="s">
        <v>447</v>
      </c>
      <c r="F792" t="s">
        <v>1363</v>
      </c>
      <c r="J792">
        <f>LEN(Table13[[#This Row],[REFERENCE_DESCR1]])</f>
        <v>7</v>
      </c>
    </row>
    <row r="793" spans="1:10" hidden="1">
      <c r="A793" t="s">
        <v>1725</v>
      </c>
      <c r="B793" t="s">
        <v>2290</v>
      </c>
      <c r="C793" t="s">
        <v>2291</v>
      </c>
      <c r="D793" t="s">
        <v>2289</v>
      </c>
      <c r="E793" t="s">
        <v>1363</v>
      </c>
      <c r="F793" t="s">
        <v>1363</v>
      </c>
      <c r="J793">
        <f>LEN(Table13[[#This Row],[REFERENCE_DESCR1]])</f>
        <v>6</v>
      </c>
    </row>
    <row r="794" spans="1:10" hidden="1">
      <c r="A794" t="s">
        <v>1725</v>
      </c>
      <c r="B794" t="s">
        <v>2292</v>
      </c>
      <c r="C794" t="s">
        <v>2293</v>
      </c>
      <c r="D794" t="s">
        <v>2294</v>
      </c>
      <c r="E794" t="s">
        <v>447</v>
      </c>
      <c r="F794" t="s">
        <v>447</v>
      </c>
      <c r="J794">
        <f>LEN(Table13[[#This Row],[REFERENCE_DESCR1]])</f>
        <v>8</v>
      </c>
    </row>
    <row r="795" spans="1:10" hidden="1">
      <c r="A795" t="s">
        <v>1725</v>
      </c>
      <c r="B795" t="s">
        <v>2295</v>
      </c>
      <c r="C795" t="s">
        <v>2296</v>
      </c>
      <c r="D795" t="s">
        <v>2297</v>
      </c>
      <c r="E795" t="s">
        <v>1363</v>
      </c>
      <c r="F795" t="s">
        <v>447</v>
      </c>
      <c r="J795">
        <f>LEN(Table13[[#This Row],[REFERENCE_DESCR1]])</f>
        <v>6</v>
      </c>
    </row>
    <row r="796" spans="1:10" hidden="1">
      <c r="A796" t="s">
        <v>1725</v>
      </c>
      <c r="B796" t="s">
        <v>2298</v>
      </c>
      <c r="C796" t="s">
        <v>2299</v>
      </c>
      <c r="D796" t="s">
        <v>2300</v>
      </c>
      <c r="E796" t="s">
        <v>447</v>
      </c>
      <c r="F796" t="s">
        <v>1363</v>
      </c>
      <c r="J796">
        <f>LEN(Table13[[#This Row],[REFERENCE_DESCR1]])</f>
        <v>3</v>
      </c>
    </row>
    <row r="797" spans="1:10" hidden="1">
      <c r="A797" t="s">
        <v>2301</v>
      </c>
      <c r="B797" t="s">
        <v>1150</v>
      </c>
      <c r="C797" t="s">
        <v>1596</v>
      </c>
      <c r="J797">
        <f>LEN(Table13[[#This Row],[REFERENCE_DESCR1]])</f>
        <v>19</v>
      </c>
    </row>
    <row r="798" spans="1:10" hidden="1">
      <c r="A798" t="s">
        <v>2301</v>
      </c>
      <c r="B798" t="s">
        <v>1235</v>
      </c>
      <c r="C798" t="s">
        <v>2302</v>
      </c>
      <c r="J798">
        <f>LEN(Table13[[#This Row],[REFERENCE_DESCR1]])</f>
        <v>20</v>
      </c>
    </row>
    <row r="799" spans="1:10" hidden="1">
      <c r="A799" t="s">
        <v>2301</v>
      </c>
      <c r="B799" t="s">
        <v>1152</v>
      </c>
      <c r="C799" t="s">
        <v>2303</v>
      </c>
      <c r="J799">
        <f>LEN(Table13[[#This Row],[REFERENCE_DESCR1]])</f>
        <v>7</v>
      </c>
    </row>
    <row r="800" spans="1:10" hidden="1">
      <c r="A800" t="s">
        <v>2301</v>
      </c>
      <c r="B800" t="s">
        <v>1363</v>
      </c>
      <c r="C800" t="s">
        <v>2304</v>
      </c>
      <c r="J800">
        <f>LEN(Table13[[#This Row],[REFERENCE_DESCR1]])</f>
        <v>6</v>
      </c>
    </row>
    <row r="801" spans="1:10" hidden="1">
      <c r="A801" t="s">
        <v>2301</v>
      </c>
      <c r="B801" t="s">
        <v>1154</v>
      </c>
      <c r="C801" t="s">
        <v>2305</v>
      </c>
      <c r="J801">
        <f>LEN(Table13[[#This Row],[REFERENCE_DESCR1]])</f>
        <v>7</v>
      </c>
    </row>
    <row r="802" spans="1:10" hidden="1">
      <c r="A802" t="s">
        <v>2301</v>
      </c>
      <c r="B802" t="s">
        <v>1156</v>
      </c>
      <c r="C802" t="s">
        <v>2306</v>
      </c>
      <c r="J802">
        <f>LEN(Table13[[#This Row],[REFERENCE_DESCR1]])</f>
        <v>9</v>
      </c>
    </row>
    <row r="803" spans="1:10" hidden="1">
      <c r="A803" t="s">
        <v>2301</v>
      </c>
      <c r="B803" t="s">
        <v>1377</v>
      </c>
      <c r="C803" t="s">
        <v>2307</v>
      </c>
      <c r="J803">
        <f>LEN(Table13[[#This Row],[REFERENCE_DESCR1]])</f>
        <v>10</v>
      </c>
    </row>
    <row r="804" spans="1:10" hidden="1">
      <c r="A804" t="s">
        <v>2308</v>
      </c>
      <c r="B804" t="s">
        <v>2309</v>
      </c>
      <c r="C804" t="s">
        <v>2310</v>
      </c>
      <c r="J804">
        <f>LEN(Table13[[#This Row],[REFERENCE_DESCR1]])</f>
        <v>40</v>
      </c>
    </row>
    <row r="805" spans="1:10" hidden="1">
      <c r="A805" t="s">
        <v>2308</v>
      </c>
      <c r="B805" t="s">
        <v>2311</v>
      </c>
      <c r="C805" t="s">
        <v>2312</v>
      </c>
      <c r="J805">
        <f>LEN(Table13[[#This Row],[REFERENCE_DESCR1]])</f>
        <v>5</v>
      </c>
    </row>
    <row r="806" spans="1:10" hidden="1">
      <c r="A806" t="s">
        <v>2308</v>
      </c>
      <c r="B806" t="s">
        <v>2313</v>
      </c>
      <c r="C806" t="s">
        <v>2314</v>
      </c>
      <c r="J806">
        <f>LEN(Table13[[#This Row],[REFERENCE_DESCR1]])</f>
        <v>6</v>
      </c>
    </row>
    <row r="807" spans="1:10" hidden="1">
      <c r="A807" t="s">
        <v>2308</v>
      </c>
      <c r="B807" t="s">
        <v>2315</v>
      </c>
      <c r="C807" t="s">
        <v>2316</v>
      </c>
      <c r="J807">
        <f>LEN(Table13[[#This Row],[REFERENCE_DESCR1]])</f>
        <v>4</v>
      </c>
    </row>
    <row r="808" spans="1:10" hidden="1">
      <c r="A808" t="s">
        <v>2317</v>
      </c>
      <c r="B808" t="s">
        <v>1369</v>
      </c>
      <c r="C808" t="s">
        <v>2318</v>
      </c>
      <c r="J808">
        <f>LEN(Table13[[#This Row],[REFERENCE_DESCR1]])</f>
        <v>5</v>
      </c>
    </row>
    <row r="809" spans="1:10" hidden="1">
      <c r="A809" t="s">
        <v>2317</v>
      </c>
      <c r="B809" t="s">
        <v>1363</v>
      </c>
      <c r="C809" t="s">
        <v>2319</v>
      </c>
      <c r="J809">
        <f>LEN(Table13[[#This Row],[REFERENCE_DESCR1]])</f>
        <v>8</v>
      </c>
    </row>
    <row r="810" spans="1:10" hidden="1">
      <c r="A810" t="s">
        <v>2317</v>
      </c>
      <c r="B810" t="s">
        <v>1373</v>
      </c>
      <c r="C810" t="s">
        <v>2320</v>
      </c>
      <c r="J810">
        <f>LEN(Table13[[#This Row],[REFERENCE_DESCR1]])</f>
        <v>8</v>
      </c>
    </row>
    <row r="811" spans="1:10" hidden="1">
      <c r="A811" t="s">
        <v>2317</v>
      </c>
      <c r="B811" t="s">
        <v>1154</v>
      </c>
      <c r="C811" t="s">
        <v>2321</v>
      </c>
      <c r="J811">
        <f>LEN(Table13[[#This Row],[REFERENCE_DESCR1]])</f>
        <v>5</v>
      </c>
    </row>
    <row r="812" spans="1:10" hidden="1">
      <c r="A812" t="s">
        <v>2322</v>
      </c>
      <c r="B812" t="s">
        <v>1242</v>
      </c>
      <c r="C812" t="s">
        <v>2323</v>
      </c>
      <c r="D812" t="s">
        <v>2323</v>
      </c>
      <c r="E812" t="s">
        <v>2323</v>
      </c>
      <c r="F812" t="s">
        <v>2324</v>
      </c>
      <c r="J812">
        <f>LEN(Table13[[#This Row],[REFERENCE_DESCR1]])</f>
        <v>8</v>
      </c>
    </row>
    <row r="813" spans="1:10" hidden="1">
      <c r="A813" t="s">
        <v>2322</v>
      </c>
      <c r="B813" t="s">
        <v>1246</v>
      </c>
      <c r="C813" t="s">
        <v>2323</v>
      </c>
      <c r="D813" t="s">
        <v>2323</v>
      </c>
      <c r="E813" t="s">
        <v>2323</v>
      </c>
      <c r="F813" t="s">
        <v>2324</v>
      </c>
      <c r="J813">
        <f>LEN(Table13[[#This Row],[REFERENCE_DESCR1]])</f>
        <v>8</v>
      </c>
    </row>
    <row r="814" spans="1:10" hidden="1">
      <c r="A814" t="s">
        <v>2322</v>
      </c>
      <c r="B814" t="s">
        <v>1248</v>
      </c>
      <c r="C814" t="s">
        <v>2323</v>
      </c>
      <c r="D814" t="s">
        <v>2323</v>
      </c>
      <c r="E814" t="s">
        <v>2323</v>
      </c>
      <c r="F814" t="s">
        <v>2324</v>
      </c>
      <c r="J814">
        <f>LEN(Table13[[#This Row],[REFERENCE_DESCR1]])</f>
        <v>8</v>
      </c>
    </row>
    <row r="815" spans="1:10" hidden="1">
      <c r="A815" t="s">
        <v>2322</v>
      </c>
      <c r="B815" t="s">
        <v>1250</v>
      </c>
      <c r="C815" t="s">
        <v>2323</v>
      </c>
      <c r="D815" t="s">
        <v>2323</v>
      </c>
      <c r="E815" t="s">
        <v>2323</v>
      </c>
      <c r="F815" t="s">
        <v>2324</v>
      </c>
      <c r="J815">
        <f>LEN(Table13[[#This Row],[REFERENCE_DESCR1]])</f>
        <v>8</v>
      </c>
    </row>
    <row r="816" spans="1:10" hidden="1">
      <c r="A816" t="s">
        <v>2322</v>
      </c>
      <c r="B816" t="s">
        <v>1253</v>
      </c>
      <c r="C816" t="s">
        <v>2325</v>
      </c>
      <c r="D816" t="s">
        <v>2325</v>
      </c>
      <c r="E816" t="s">
        <v>2326</v>
      </c>
      <c r="F816" t="s">
        <v>2325</v>
      </c>
      <c r="J816">
        <f>LEN(Table13[[#This Row],[REFERENCE_DESCR1]])</f>
        <v>7</v>
      </c>
    </row>
    <row r="817" spans="1:10" hidden="1">
      <c r="A817" t="s">
        <v>2322</v>
      </c>
      <c r="B817" t="s">
        <v>1255</v>
      </c>
      <c r="C817" t="s">
        <v>2325</v>
      </c>
      <c r="D817" t="s">
        <v>2325</v>
      </c>
      <c r="E817" t="s">
        <v>2326</v>
      </c>
      <c r="F817" t="s">
        <v>2325</v>
      </c>
      <c r="J817">
        <f>LEN(Table13[[#This Row],[REFERENCE_DESCR1]])</f>
        <v>7</v>
      </c>
    </row>
    <row r="818" spans="1:10" hidden="1">
      <c r="A818" t="s">
        <v>2322</v>
      </c>
      <c r="B818" t="s">
        <v>1257</v>
      </c>
      <c r="C818" t="s">
        <v>2323</v>
      </c>
      <c r="D818" t="s">
        <v>2323</v>
      </c>
      <c r="E818" t="s">
        <v>2323</v>
      </c>
      <c r="F818" t="s">
        <v>2324</v>
      </c>
      <c r="J818">
        <f>LEN(Table13[[#This Row],[REFERENCE_DESCR1]])</f>
        <v>8</v>
      </c>
    </row>
    <row r="819" spans="1:10" hidden="1">
      <c r="A819" t="s">
        <v>2322</v>
      </c>
      <c r="B819" t="s">
        <v>1259</v>
      </c>
      <c r="C819" t="s">
        <v>2325</v>
      </c>
      <c r="D819" t="s">
        <v>2325</v>
      </c>
      <c r="E819" t="s">
        <v>2326</v>
      </c>
      <c r="F819" t="s">
        <v>2325</v>
      </c>
      <c r="J819">
        <f>LEN(Table13[[#This Row],[REFERENCE_DESCR1]])</f>
        <v>7</v>
      </c>
    </row>
    <row r="820" spans="1:10" hidden="1">
      <c r="A820" t="s">
        <v>2322</v>
      </c>
      <c r="B820" t="s">
        <v>1261</v>
      </c>
      <c r="C820" t="s">
        <v>2323</v>
      </c>
      <c r="D820" t="s">
        <v>2323</v>
      </c>
      <c r="E820" t="s">
        <v>2323</v>
      </c>
      <c r="F820" t="s">
        <v>2324</v>
      </c>
      <c r="J820">
        <f>LEN(Table13[[#This Row],[REFERENCE_DESCR1]])</f>
        <v>8</v>
      </c>
    </row>
    <row r="821" spans="1:10" hidden="1">
      <c r="A821" t="s">
        <v>2322</v>
      </c>
      <c r="B821" t="s">
        <v>1263</v>
      </c>
      <c r="C821" t="s">
        <v>2323</v>
      </c>
      <c r="D821" t="s">
        <v>2323</v>
      </c>
      <c r="E821" t="s">
        <v>2323</v>
      </c>
      <c r="F821" t="s">
        <v>2324</v>
      </c>
      <c r="J821">
        <f>LEN(Table13[[#This Row],[REFERENCE_DESCR1]])</f>
        <v>8</v>
      </c>
    </row>
    <row r="822" spans="1:10" hidden="1">
      <c r="A822" t="s">
        <v>2322</v>
      </c>
      <c r="B822" t="s">
        <v>1279</v>
      </c>
      <c r="C822" t="s">
        <v>2323</v>
      </c>
      <c r="D822" t="s">
        <v>2323</v>
      </c>
      <c r="E822" t="s">
        <v>2323</v>
      </c>
      <c r="F822" t="s">
        <v>2324</v>
      </c>
      <c r="J822">
        <f>LEN(Table13[[#This Row],[REFERENCE_DESCR1]])</f>
        <v>8</v>
      </c>
    </row>
    <row r="823" spans="1:10" hidden="1">
      <c r="A823" t="s">
        <v>2322</v>
      </c>
      <c r="B823" t="s">
        <v>1281</v>
      </c>
      <c r="C823" t="s">
        <v>2323</v>
      </c>
      <c r="D823" t="s">
        <v>2323</v>
      </c>
      <c r="E823" t="s">
        <v>2323</v>
      </c>
      <c r="F823" t="s">
        <v>2324</v>
      </c>
      <c r="J823">
        <f>LEN(Table13[[#This Row],[REFERENCE_DESCR1]])</f>
        <v>8</v>
      </c>
    </row>
    <row r="824" spans="1:10" hidden="1">
      <c r="A824" t="s">
        <v>2322</v>
      </c>
      <c r="B824" t="s">
        <v>2327</v>
      </c>
      <c r="C824" t="s">
        <v>2323</v>
      </c>
      <c r="D824" t="s">
        <v>2323</v>
      </c>
      <c r="E824" t="s">
        <v>2323</v>
      </c>
      <c r="F824" t="s">
        <v>2324</v>
      </c>
      <c r="J824">
        <f>LEN(Table13[[#This Row],[REFERENCE_DESCR1]])</f>
        <v>8</v>
      </c>
    </row>
    <row r="825" spans="1:10" hidden="1">
      <c r="A825" t="s">
        <v>2322</v>
      </c>
      <c r="B825" t="s">
        <v>1285</v>
      </c>
      <c r="C825" t="s">
        <v>2323</v>
      </c>
      <c r="D825" t="s">
        <v>2323</v>
      </c>
      <c r="E825" t="s">
        <v>2323</v>
      </c>
      <c r="F825" t="s">
        <v>2324</v>
      </c>
      <c r="J825">
        <f>LEN(Table13[[#This Row],[REFERENCE_DESCR1]])</f>
        <v>8</v>
      </c>
    </row>
    <row r="826" spans="1:10" hidden="1">
      <c r="A826" t="s">
        <v>2322</v>
      </c>
      <c r="B826" t="s">
        <v>1287</v>
      </c>
      <c r="C826" t="s">
        <v>2323</v>
      </c>
      <c r="D826" t="s">
        <v>2323</v>
      </c>
      <c r="E826" t="s">
        <v>2323</v>
      </c>
      <c r="F826" t="s">
        <v>2324</v>
      </c>
      <c r="J826">
        <f>LEN(Table13[[#This Row],[REFERENCE_DESCR1]])</f>
        <v>8</v>
      </c>
    </row>
    <row r="827" spans="1:10" hidden="1">
      <c r="A827" t="s">
        <v>2322</v>
      </c>
      <c r="B827" t="s">
        <v>1289</v>
      </c>
      <c r="C827" t="s">
        <v>2323</v>
      </c>
      <c r="D827" t="s">
        <v>2323</v>
      </c>
      <c r="E827" t="s">
        <v>2323</v>
      </c>
      <c r="F827" t="s">
        <v>2324</v>
      </c>
      <c r="J827">
        <f>LEN(Table13[[#This Row],[REFERENCE_DESCR1]])</f>
        <v>8</v>
      </c>
    </row>
    <row r="828" spans="1:10" hidden="1">
      <c r="A828" t="s">
        <v>2322</v>
      </c>
      <c r="B828" t="s">
        <v>1291</v>
      </c>
      <c r="C828" t="s">
        <v>2323</v>
      </c>
      <c r="D828" t="s">
        <v>2323</v>
      </c>
      <c r="E828" t="s">
        <v>2323</v>
      </c>
      <c r="F828" t="s">
        <v>2324</v>
      </c>
      <c r="J828">
        <f>LEN(Table13[[#This Row],[REFERENCE_DESCR1]])</f>
        <v>8</v>
      </c>
    </row>
    <row r="829" spans="1:10" hidden="1">
      <c r="A829" t="s">
        <v>2322</v>
      </c>
      <c r="B829" t="s">
        <v>1293</v>
      </c>
      <c r="C829" t="s">
        <v>2323</v>
      </c>
      <c r="D829" t="s">
        <v>2323</v>
      </c>
      <c r="E829" t="s">
        <v>2323</v>
      </c>
      <c r="F829" t="s">
        <v>2324</v>
      </c>
      <c r="J829">
        <f>LEN(Table13[[#This Row],[REFERENCE_DESCR1]])</f>
        <v>8</v>
      </c>
    </row>
    <row r="830" spans="1:10" hidden="1">
      <c r="A830" t="s">
        <v>2322</v>
      </c>
      <c r="B830" t="s">
        <v>1298</v>
      </c>
      <c r="C830" t="s">
        <v>2323</v>
      </c>
      <c r="D830" t="s">
        <v>2323</v>
      </c>
      <c r="E830" t="s">
        <v>2323</v>
      </c>
      <c r="F830" t="s">
        <v>2324</v>
      </c>
      <c r="J830">
        <f>LEN(Table13[[#This Row],[REFERENCE_DESCR1]])</f>
        <v>8</v>
      </c>
    </row>
    <row r="831" spans="1:10" hidden="1">
      <c r="A831" t="s">
        <v>2322</v>
      </c>
      <c r="B831" t="s">
        <v>1300</v>
      </c>
      <c r="C831" t="s">
        <v>2323</v>
      </c>
      <c r="D831" t="s">
        <v>2323</v>
      </c>
      <c r="E831" t="s">
        <v>2323</v>
      </c>
      <c r="F831" t="s">
        <v>2324</v>
      </c>
      <c r="J831">
        <f>LEN(Table13[[#This Row],[REFERENCE_DESCR1]])</f>
        <v>8</v>
      </c>
    </row>
    <row r="832" spans="1:10" hidden="1">
      <c r="A832" t="s">
        <v>2322</v>
      </c>
      <c r="B832" t="s">
        <v>1302</v>
      </c>
      <c r="C832" t="s">
        <v>2323</v>
      </c>
      <c r="D832" t="s">
        <v>2323</v>
      </c>
      <c r="E832" t="s">
        <v>2323</v>
      </c>
      <c r="F832" t="s">
        <v>2324</v>
      </c>
      <c r="J832">
        <f>LEN(Table13[[#This Row],[REFERENCE_DESCR1]])</f>
        <v>8</v>
      </c>
    </row>
    <row r="833" spans="1:10" hidden="1">
      <c r="A833" t="s">
        <v>2322</v>
      </c>
      <c r="B833" t="s">
        <v>1304</v>
      </c>
      <c r="C833" t="s">
        <v>2323</v>
      </c>
      <c r="D833" t="s">
        <v>2323</v>
      </c>
      <c r="E833" t="s">
        <v>2323</v>
      </c>
      <c r="F833" t="s">
        <v>2324</v>
      </c>
      <c r="J833">
        <f>LEN(Table13[[#This Row],[REFERENCE_DESCR1]])</f>
        <v>8</v>
      </c>
    </row>
    <row r="834" spans="1:10" hidden="1">
      <c r="A834" t="s">
        <v>2322</v>
      </c>
      <c r="B834" t="s">
        <v>1306</v>
      </c>
      <c r="C834" t="s">
        <v>2323</v>
      </c>
      <c r="D834" t="s">
        <v>2323</v>
      </c>
      <c r="E834" t="s">
        <v>2323</v>
      </c>
      <c r="F834" t="s">
        <v>2324</v>
      </c>
      <c r="J834">
        <f>LEN(Table13[[#This Row],[REFERENCE_DESCR1]])</f>
        <v>8</v>
      </c>
    </row>
    <row r="835" spans="1:10" hidden="1">
      <c r="A835" t="s">
        <v>2322</v>
      </c>
      <c r="B835" t="s">
        <v>1308</v>
      </c>
      <c r="C835" t="s">
        <v>2323</v>
      </c>
      <c r="D835" t="s">
        <v>2323</v>
      </c>
      <c r="E835" t="s">
        <v>2323</v>
      </c>
      <c r="F835" t="s">
        <v>2324</v>
      </c>
      <c r="J835">
        <f>LEN(Table13[[#This Row],[REFERENCE_DESCR1]])</f>
        <v>8</v>
      </c>
    </row>
    <row r="836" spans="1:10" hidden="1">
      <c r="A836" t="s">
        <v>2322</v>
      </c>
      <c r="B836" t="s">
        <v>1310</v>
      </c>
      <c r="C836" t="s">
        <v>2323</v>
      </c>
      <c r="D836" t="s">
        <v>2323</v>
      </c>
      <c r="E836" t="s">
        <v>2323</v>
      </c>
      <c r="F836" t="s">
        <v>2324</v>
      </c>
      <c r="J836">
        <f>LEN(Table13[[#This Row],[REFERENCE_DESCR1]])</f>
        <v>8</v>
      </c>
    </row>
    <row r="837" spans="1:10" hidden="1">
      <c r="A837" t="s">
        <v>2322</v>
      </c>
      <c r="B837" t="s">
        <v>1312</v>
      </c>
      <c r="C837" t="s">
        <v>2323</v>
      </c>
      <c r="D837" t="s">
        <v>2323</v>
      </c>
      <c r="E837" t="s">
        <v>2323</v>
      </c>
      <c r="F837" t="s">
        <v>2324</v>
      </c>
      <c r="J837">
        <f>LEN(Table13[[#This Row],[REFERENCE_DESCR1]])</f>
        <v>8</v>
      </c>
    </row>
    <row r="838" spans="1:10" hidden="1">
      <c r="A838" t="s">
        <v>2322</v>
      </c>
      <c r="B838" t="s">
        <v>2328</v>
      </c>
      <c r="C838" t="s">
        <v>2323</v>
      </c>
      <c r="D838" t="s">
        <v>2323</v>
      </c>
      <c r="E838" t="s">
        <v>2323</v>
      </c>
      <c r="F838" t="s">
        <v>2324</v>
      </c>
      <c r="J838">
        <f>LEN(Table13[[#This Row],[REFERENCE_DESCR1]])</f>
        <v>8</v>
      </c>
    </row>
    <row r="839" spans="1:10" hidden="1">
      <c r="A839" t="s">
        <v>2322</v>
      </c>
      <c r="B839" t="s">
        <v>1314</v>
      </c>
      <c r="C839" t="s">
        <v>2323</v>
      </c>
      <c r="D839" t="s">
        <v>2323</v>
      </c>
      <c r="E839" t="s">
        <v>2323</v>
      </c>
      <c r="F839" t="s">
        <v>2324</v>
      </c>
      <c r="J839">
        <f>LEN(Table13[[#This Row],[REFERENCE_DESCR1]])</f>
        <v>8</v>
      </c>
    </row>
    <row r="840" spans="1:10" hidden="1">
      <c r="A840" t="s">
        <v>2322</v>
      </c>
      <c r="B840" t="s">
        <v>1316</v>
      </c>
      <c r="C840" t="s">
        <v>2323</v>
      </c>
      <c r="D840" t="s">
        <v>2323</v>
      </c>
      <c r="E840" t="s">
        <v>2323</v>
      </c>
      <c r="F840" t="s">
        <v>2324</v>
      </c>
      <c r="J840">
        <f>LEN(Table13[[#This Row],[REFERENCE_DESCR1]])</f>
        <v>8</v>
      </c>
    </row>
    <row r="841" spans="1:10" hidden="1">
      <c r="A841" t="s">
        <v>2322</v>
      </c>
      <c r="B841" t="s">
        <v>1318</v>
      </c>
      <c r="C841" t="s">
        <v>2329</v>
      </c>
      <c r="D841" t="s">
        <v>2329</v>
      </c>
      <c r="E841" t="s">
        <v>1321</v>
      </c>
      <c r="F841" t="s">
        <v>1321</v>
      </c>
      <c r="J841">
        <f>LEN(Table13[[#This Row],[REFERENCE_DESCR1]])</f>
        <v>5</v>
      </c>
    </row>
    <row r="842" spans="1:10" hidden="1">
      <c r="A842" t="s">
        <v>2322</v>
      </c>
      <c r="B842" t="s">
        <v>2330</v>
      </c>
      <c r="C842" t="s">
        <v>2329</v>
      </c>
      <c r="D842" t="s">
        <v>2329</v>
      </c>
      <c r="E842" t="s">
        <v>1321</v>
      </c>
      <c r="F842" t="s">
        <v>1321</v>
      </c>
      <c r="J842">
        <f>LEN(Table13[[#This Row],[REFERENCE_DESCR1]])</f>
        <v>5</v>
      </c>
    </row>
    <row r="843" spans="1:10" hidden="1">
      <c r="A843" t="s">
        <v>2322</v>
      </c>
      <c r="B843" t="s">
        <v>1320</v>
      </c>
      <c r="C843" t="s">
        <v>2329</v>
      </c>
      <c r="D843" t="s">
        <v>2329</v>
      </c>
      <c r="E843" t="s">
        <v>1321</v>
      </c>
      <c r="F843" t="s">
        <v>1321</v>
      </c>
      <c r="J843">
        <f>LEN(Table13[[#This Row],[REFERENCE_DESCR1]])</f>
        <v>5</v>
      </c>
    </row>
    <row r="844" spans="1:10" hidden="1">
      <c r="A844" t="s">
        <v>2322</v>
      </c>
      <c r="B844" t="s">
        <v>1322</v>
      </c>
      <c r="C844" t="s">
        <v>2329</v>
      </c>
      <c r="D844" t="s">
        <v>2329</v>
      </c>
      <c r="E844" t="s">
        <v>1321</v>
      </c>
      <c r="F844" t="s">
        <v>1321</v>
      </c>
      <c r="J844">
        <f>LEN(Table13[[#This Row],[REFERENCE_DESCR1]])</f>
        <v>5</v>
      </c>
    </row>
    <row r="845" spans="1:10" hidden="1">
      <c r="A845" t="s">
        <v>2322</v>
      </c>
      <c r="B845" t="s">
        <v>1326</v>
      </c>
      <c r="C845" t="s">
        <v>2325</v>
      </c>
      <c r="D845" t="s">
        <v>2325</v>
      </c>
      <c r="E845" t="s">
        <v>2331</v>
      </c>
      <c r="F845" t="s">
        <v>2325</v>
      </c>
      <c r="J845">
        <f>LEN(Table13[[#This Row],[REFERENCE_DESCR1]])</f>
        <v>7</v>
      </c>
    </row>
    <row r="846" spans="1:10" hidden="1">
      <c r="A846" t="s">
        <v>2322</v>
      </c>
      <c r="B846" t="s">
        <v>1328</v>
      </c>
      <c r="C846" t="s">
        <v>2329</v>
      </c>
      <c r="D846" t="s">
        <v>2329</v>
      </c>
      <c r="E846" t="s">
        <v>1321</v>
      </c>
      <c r="F846" t="s">
        <v>1321</v>
      </c>
      <c r="J846">
        <f>LEN(Table13[[#This Row],[REFERENCE_DESCR1]])</f>
        <v>5</v>
      </c>
    </row>
    <row r="847" spans="1:10" hidden="1">
      <c r="A847" t="s">
        <v>2322</v>
      </c>
      <c r="B847" t="s">
        <v>1330</v>
      </c>
      <c r="C847" t="s">
        <v>2329</v>
      </c>
      <c r="D847" t="s">
        <v>2329</v>
      </c>
      <c r="E847" t="s">
        <v>1321</v>
      </c>
      <c r="F847" t="s">
        <v>1321</v>
      </c>
      <c r="J847">
        <f>LEN(Table13[[#This Row],[REFERENCE_DESCR1]])</f>
        <v>5</v>
      </c>
    </row>
    <row r="848" spans="1:10" hidden="1">
      <c r="A848" t="s">
        <v>2322</v>
      </c>
      <c r="B848" t="s">
        <v>1332</v>
      </c>
      <c r="C848" t="s">
        <v>2325</v>
      </c>
      <c r="D848" t="s">
        <v>2325</v>
      </c>
      <c r="E848" t="s">
        <v>2331</v>
      </c>
      <c r="F848" t="s">
        <v>2325</v>
      </c>
      <c r="J848">
        <f>LEN(Table13[[#This Row],[REFERENCE_DESCR1]])</f>
        <v>7</v>
      </c>
    </row>
    <row r="849" spans="1:10" hidden="1">
      <c r="A849" t="s">
        <v>2322</v>
      </c>
      <c r="B849" t="s">
        <v>1334</v>
      </c>
      <c r="C849" t="s">
        <v>2329</v>
      </c>
      <c r="D849" t="s">
        <v>2329</v>
      </c>
      <c r="E849" t="s">
        <v>1321</v>
      </c>
      <c r="F849" t="s">
        <v>1321</v>
      </c>
      <c r="J849">
        <f>LEN(Table13[[#This Row],[REFERENCE_DESCR1]])</f>
        <v>5</v>
      </c>
    </row>
    <row r="850" spans="1:10" hidden="1">
      <c r="A850" t="s">
        <v>2322</v>
      </c>
      <c r="B850" t="s">
        <v>1336</v>
      </c>
      <c r="C850" t="s">
        <v>2329</v>
      </c>
      <c r="D850" t="s">
        <v>2329</v>
      </c>
      <c r="E850" t="s">
        <v>1337</v>
      </c>
      <c r="F850" t="s">
        <v>1321</v>
      </c>
      <c r="J850">
        <f>LEN(Table13[[#This Row],[REFERENCE_DESCR1]])</f>
        <v>5</v>
      </c>
    </row>
    <row r="851" spans="1:10" hidden="1">
      <c r="A851" t="s">
        <v>2322</v>
      </c>
      <c r="B851" t="s">
        <v>1338</v>
      </c>
      <c r="C851" t="s">
        <v>1442</v>
      </c>
      <c r="D851" t="s">
        <v>1442</v>
      </c>
      <c r="E851" t="s">
        <v>1339</v>
      </c>
      <c r="F851" t="s">
        <v>2332</v>
      </c>
      <c r="J851">
        <f>LEN(Table13[[#This Row],[REFERENCE_DESCR1]])</f>
        <v>6</v>
      </c>
    </row>
    <row r="852" spans="1:10" hidden="1">
      <c r="A852" t="s">
        <v>2322</v>
      </c>
      <c r="B852" t="s">
        <v>1340</v>
      </c>
      <c r="C852" t="s">
        <v>1442</v>
      </c>
      <c r="D852" t="s">
        <v>1442</v>
      </c>
      <c r="E852" t="s">
        <v>1339</v>
      </c>
      <c r="F852" t="s">
        <v>2333</v>
      </c>
      <c r="J852">
        <f>LEN(Table13[[#This Row],[REFERENCE_DESCR1]])</f>
        <v>6</v>
      </c>
    </row>
    <row r="853" spans="1:10" hidden="1">
      <c r="A853" t="s">
        <v>2322</v>
      </c>
      <c r="B853" t="s">
        <v>1342</v>
      </c>
      <c r="C853" t="s">
        <v>1442</v>
      </c>
      <c r="D853" t="s">
        <v>1442</v>
      </c>
      <c r="E853" t="s">
        <v>1339</v>
      </c>
      <c r="F853" t="s">
        <v>2332</v>
      </c>
      <c r="J853">
        <f>LEN(Table13[[#This Row],[REFERENCE_DESCR1]])</f>
        <v>6</v>
      </c>
    </row>
    <row r="854" spans="1:10" hidden="1">
      <c r="A854" t="s">
        <v>2322</v>
      </c>
      <c r="B854" t="s">
        <v>1346</v>
      </c>
      <c r="C854" t="s">
        <v>1442</v>
      </c>
      <c r="D854" t="s">
        <v>1442</v>
      </c>
      <c r="E854" t="s">
        <v>1339</v>
      </c>
      <c r="F854" t="s">
        <v>2333</v>
      </c>
      <c r="J854">
        <f>LEN(Table13[[#This Row],[REFERENCE_DESCR1]])</f>
        <v>6</v>
      </c>
    </row>
    <row r="855" spans="1:10" hidden="1">
      <c r="A855" t="s">
        <v>2322</v>
      </c>
      <c r="B855" t="s">
        <v>1348</v>
      </c>
      <c r="C855" t="s">
        <v>1442</v>
      </c>
      <c r="D855" t="s">
        <v>1349</v>
      </c>
      <c r="E855" t="s">
        <v>1349</v>
      </c>
      <c r="F855" t="s">
        <v>2332</v>
      </c>
      <c r="J855">
        <f>LEN(Table13[[#This Row],[REFERENCE_DESCR1]])</f>
        <v>6</v>
      </c>
    </row>
    <row r="856" spans="1:10" hidden="1">
      <c r="A856" t="s">
        <v>2322</v>
      </c>
      <c r="B856" t="s">
        <v>1356</v>
      </c>
      <c r="C856" t="s">
        <v>1442</v>
      </c>
      <c r="D856" t="s">
        <v>1349</v>
      </c>
      <c r="E856" t="s">
        <v>1349</v>
      </c>
      <c r="F856" t="s">
        <v>2332</v>
      </c>
      <c r="J856">
        <f>LEN(Table13[[#This Row],[REFERENCE_DESCR1]])</f>
        <v>6</v>
      </c>
    </row>
    <row r="857" spans="1:10" hidden="1">
      <c r="A857" t="s">
        <v>2334</v>
      </c>
      <c r="B857" t="s">
        <v>1517</v>
      </c>
      <c r="C857" t="s">
        <v>2335</v>
      </c>
      <c r="J857">
        <f>LEN(Table13[[#This Row],[REFERENCE_DESCR1]])</f>
        <v>20</v>
      </c>
    </row>
    <row r="858" spans="1:10" hidden="1">
      <c r="A858" t="s">
        <v>2334</v>
      </c>
      <c r="B858" t="s">
        <v>1152</v>
      </c>
      <c r="C858" t="s">
        <v>2336</v>
      </c>
      <c r="J858">
        <f>LEN(Table13[[#This Row],[REFERENCE_DESCR1]])</f>
        <v>9</v>
      </c>
    </row>
    <row r="859" spans="1:10" hidden="1">
      <c r="A859" t="s">
        <v>2334</v>
      </c>
      <c r="B859" t="s">
        <v>1363</v>
      </c>
      <c r="C859" t="s">
        <v>1166</v>
      </c>
      <c r="J859">
        <f>LEN(Table13[[#This Row],[REFERENCE_DESCR1]])</f>
        <v>35</v>
      </c>
    </row>
    <row r="860" spans="1:10" hidden="1">
      <c r="A860" t="s">
        <v>2334</v>
      </c>
      <c r="B860" t="s">
        <v>1239</v>
      </c>
      <c r="C860" t="s">
        <v>1240</v>
      </c>
      <c r="J860">
        <f>LEN(Table13[[#This Row],[REFERENCE_DESCR1]])</f>
        <v>10</v>
      </c>
    </row>
    <row r="861" spans="1:10" hidden="1">
      <c r="A861" t="s">
        <v>2334</v>
      </c>
      <c r="B861" t="s">
        <v>1438</v>
      </c>
      <c r="C861" t="s">
        <v>2337</v>
      </c>
      <c r="J861">
        <f>LEN(Table13[[#This Row],[REFERENCE_DESCR1]])</f>
        <v>24</v>
      </c>
    </row>
    <row r="862" spans="1:10" hidden="1">
      <c r="A862" t="s">
        <v>2338</v>
      </c>
      <c r="B862" t="s">
        <v>2339</v>
      </c>
      <c r="C862" t="s">
        <v>2339</v>
      </c>
      <c r="D862" t="s">
        <v>2339</v>
      </c>
      <c r="J862">
        <f>LEN(Table13[[#This Row],[REFERENCE_DESCR1]])</f>
        <v>21</v>
      </c>
    </row>
    <row r="863" spans="1:10" hidden="1">
      <c r="A863" t="s">
        <v>2338</v>
      </c>
      <c r="B863" t="s">
        <v>2340</v>
      </c>
      <c r="C863" t="s">
        <v>2340</v>
      </c>
      <c r="F863" t="s">
        <v>2340</v>
      </c>
      <c r="J863">
        <f>LEN(Table13[[#This Row],[REFERENCE_DESCR1]])</f>
        <v>11</v>
      </c>
    </row>
    <row r="864" spans="1:10" hidden="1">
      <c r="A864" t="s">
        <v>2338</v>
      </c>
      <c r="B864" t="s">
        <v>2341</v>
      </c>
      <c r="F864" t="s">
        <v>2341</v>
      </c>
      <c r="J864">
        <f>LEN(Table13[[#This Row],[REFERENCE_DESCR1]])</f>
        <v>0</v>
      </c>
    </row>
    <row r="865" spans="1:10" hidden="1">
      <c r="A865" t="s">
        <v>2338</v>
      </c>
      <c r="B865" t="s">
        <v>2342</v>
      </c>
      <c r="C865" t="s">
        <v>2343</v>
      </c>
      <c r="J865">
        <f>LEN(Table13[[#This Row],[REFERENCE_DESCR1]])</f>
        <v>19</v>
      </c>
    </row>
    <row r="866" spans="1:10" hidden="1">
      <c r="A866" t="s">
        <v>2338</v>
      </c>
      <c r="B866" t="s">
        <v>2344</v>
      </c>
      <c r="C866" t="s">
        <v>2344</v>
      </c>
      <c r="F866" t="s">
        <v>2344</v>
      </c>
      <c r="J866">
        <f>LEN(Table13[[#This Row],[REFERENCE_DESCR1]])</f>
        <v>8</v>
      </c>
    </row>
    <row r="867" spans="1:10" hidden="1">
      <c r="A867" t="s">
        <v>2338</v>
      </c>
      <c r="B867" t="s">
        <v>2345</v>
      </c>
      <c r="F867" t="s">
        <v>2345</v>
      </c>
      <c r="J867">
        <f>LEN(Table13[[#This Row],[REFERENCE_DESCR1]])</f>
        <v>0</v>
      </c>
    </row>
    <row r="868" spans="1:10" hidden="1">
      <c r="A868" t="s">
        <v>2338</v>
      </c>
      <c r="B868" t="s">
        <v>2346</v>
      </c>
      <c r="C868" t="s">
        <v>2346</v>
      </c>
      <c r="F868" t="s">
        <v>2346</v>
      </c>
      <c r="J868">
        <f>LEN(Table13[[#This Row],[REFERENCE_DESCR1]])</f>
        <v>5</v>
      </c>
    </row>
    <row r="869" spans="1:10" hidden="1">
      <c r="A869" t="s">
        <v>2338</v>
      </c>
      <c r="B869" t="s">
        <v>2347</v>
      </c>
      <c r="C869" t="s">
        <v>2348</v>
      </c>
      <c r="J869">
        <f>LEN(Table13[[#This Row],[REFERENCE_DESCR1]])</f>
        <v>21</v>
      </c>
    </row>
    <row r="870" spans="1:10" hidden="1">
      <c r="A870" t="s">
        <v>2338</v>
      </c>
      <c r="B870" t="s">
        <v>2349</v>
      </c>
      <c r="C870" t="s">
        <v>2349</v>
      </c>
      <c r="E870" t="s">
        <v>2349</v>
      </c>
      <c r="J870">
        <f>LEN(Table13[[#This Row],[REFERENCE_DESCR1]])</f>
        <v>5</v>
      </c>
    </row>
    <row r="871" spans="1:10" hidden="1">
      <c r="A871" t="s">
        <v>2338</v>
      </c>
      <c r="B871" t="s">
        <v>2350</v>
      </c>
      <c r="D871" t="s">
        <v>2350</v>
      </c>
      <c r="E871" t="s">
        <v>2350</v>
      </c>
      <c r="J871">
        <f>LEN(Table13[[#This Row],[REFERENCE_DESCR1]])</f>
        <v>0</v>
      </c>
    </row>
    <row r="872" spans="1:10" hidden="1">
      <c r="A872" t="s">
        <v>2338</v>
      </c>
      <c r="B872" t="s">
        <v>2351</v>
      </c>
      <c r="C872" t="s">
        <v>2352</v>
      </c>
      <c r="J872">
        <f>LEN(Table13[[#This Row],[REFERENCE_DESCR1]])</f>
        <v>14</v>
      </c>
    </row>
    <row r="873" spans="1:10" hidden="1">
      <c r="A873" t="s">
        <v>2338</v>
      </c>
      <c r="B873" t="s">
        <v>2353</v>
      </c>
      <c r="C873" t="s">
        <v>2353</v>
      </c>
      <c r="J873">
        <f>LEN(Table13[[#This Row],[REFERENCE_DESCR1]])</f>
        <v>19</v>
      </c>
    </row>
    <row r="874" spans="1:10" hidden="1">
      <c r="A874" t="s">
        <v>2338</v>
      </c>
      <c r="B874" t="s">
        <v>2354</v>
      </c>
      <c r="C874" t="s">
        <v>2354</v>
      </c>
      <c r="F874" t="s">
        <v>2354</v>
      </c>
      <c r="J874">
        <f>LEN(Table13[[#This Row],[REFERENCE_DESCR1]])</f>
        <v>8</v>
      </c>
    </row>
    <row r="875" spans="1:10" hidden="1">
      <c r="A875" t="s">
        <v>2338</v>
      </c>
      <c r="B875" t="s">
        <v>2355</v>
      </c>
      <c r="C875" t="s">
        <v>2355</v>
      </c>
      <c r="J875">
        <f>LEN(Table13[[#This Row],[REFERENCE_DESCR1]])</f>
        <v>5</v>
      </c>
    </row>
    <row r="876" spans="1:10" hidden="1">
      <c r="A876" t="s">
        <v>2338</v>
      </c>
      <c r="B876" t="s">
        <v>2356</v>
      </c>
      <c r="C876" t="s">
        <v>2356</v>
      </c>
      <c r="J876">
        <f>LEN(Table13[[#This Row],[REFERENCE_DESCR1]])</f>
        <v>12</v>
      </c>
    </row>
    <row r="877" spans="1:10" hidden="1">
      <c r="A877" t="s">
        <v>2338</v>
      </c>
      <c r="B877" t="s">
        <v>2357</v>
      </c>
      <c r="C877" t="s">
        <v>2357</v>
      </c>
      <c r="F877" t="s">
        <v>2357</v>
      </c>
      <c r="J877">
        <f>LEN(Table13[[#This Row],[REFERENCE_DESCR1]])</f>
        <v>8</v>
      </c>
    </row>
    <row r="878" spans="1:10" hidden="1">
      <c r="A878" t="s">
        <v>2338</v>
      </c>
      <c r="B878" t="s">
        <v>2358</v>
      </c>
      <c r="C878" t="s">
        <v>2358</v>
      </c>
      <c r="J878">
        <f>LEN(Table13[[#This Row],[REFERENCE_DESCR1]])</f>
        <v>10</v>
      </c>
    </row>
    <row r="879" spans="1:10" hidden="1">
      <c r="A879" t="s">
        <v>2338</v>
      </c>
      <c r="B879" t="s">
        <v>2359</v>
      </c>
      <c r="D879" t="s">
        <v>2359</v>
      </c>
      <c r="J879">
        <f>LEN(Table13[[#This Row],[REFERENCE_DESCR1]])</f>
        <v>0</v>
      </c>
    </row>
    <row r="880" spans="1:10" hidden="1">
      <c r="A880" t="s">
        <v>2338</v>
      </c>
      <c r="B880" t="s">
        <v>2360</v>
      </c>
      <c r="C880" t="s">
        <v>2360</v>
      </c>
      <c r="J880">
        <f>LEN(Table13[[#This Row],[REFERENCE_DESCR1]])</f>
        <v>8</v>
      </c>
    </row>
    <row r="881" spans="1:10" hidden="1">
      <c r="A881" t="s">
        <v>2338</v>
      </c>
      <c r="B881" t="s">
        <v>2361</v>
      </c>
      <c r="C881" t="s">
        <v>2361</v>
      </c>
      <c r="J881">
        <f>LEN(Table13[[#This Row],[REFERENCE_DESCR1]])</f>
        <v>14</v>
      </c>
    </row>
    <row r="882" spans="1:10" hidden="1">
      <c r="A882" t="s">
        <v>2338</v>
      </c>
      <c r="B882" t="s">
        <v>2362</v>
      </c>
      <c r="C882" t="s">
        <v>2362</v>
      </c>
      <c r="J882">
        <f>LEN(Table13[[#This Row],[REFERENCE_DESCR1]])</f>
        <v>18</v>
      </c>
    </row>
    <row r="883" spans="1:10" hidden="1">
      <c r="A883" t="s">
        <v>2338</v>
      </c>
      <c r="B883" t="s">
        <v>2363</v>
      </c>
      <c r="D883" t="s">
        <v>2363</v>
      </c>
      <c r="J883">
        <f>LEN(Table13[[#This Row],[REFERENCE_DESCR1]])</f>
        <v>0</v>
      </c>
    </row>
    <row r="884" spans="1:10" hidden="1">
      <c r="A884" t="s">
        <v>2338</v>
      </c>
      <c r="B884" t="s">
        <v>2364</v>
      </c>
      <c r="C884" t="s">
        <v>2365</v>
      </c>
      <c r="F884" t="s">
        <v>2365</v>
      </c>
      <c r="J884">
        <f>LEN(Table13[[#This Row],[REFERENCE_DESCR1]])</f>
        <v>18</v>
      </c>
    </row>
    <row r="885" spans="1:10" hidden="1">
      <c r="A885" t="s">
        <v>2338</v>
      </c>
      <c r="B885" t="s">
        <v>2366</v>
      </c>
      <c r="C885" t="s">
        <v>2367</v>
      </c>
      <c r="J885">
        <f>LEN(Table13[[#This Row],[REFERENCE_DESCR1]])</f>
        <v>25</v>
      </c>
    </row>
    <row r="886" spans="1:10" hidden="1">
      <c r="A886" t="s">
        <v>2338</v>
      </c>
      <c r="B886" t="s">
        <v>2368</v>
      </c>
      <c r="C886" t="s">
        <v>2368</v>
      </c>
      <c r="J886">
        <f>LEN(Table13[[#This Row],[REFERENCE_DESCR1]])</f>
        <v>16</v>
      </c>
    </row>
    <row r="887" spans="1:10" hidden="1">
      <c r="A887" t="s">
        <v>2338</v>
      </c>
      <c r="B887" t="s">
        <v>2369</v>
      </c>
      <c r="F887" t="s">
        <v>2369</v>
      </c>
      <c r="J887">
        <f>LEN(Table13[[#This Row],[REFERENCE_DESCR1]])</f>
        <v>0</v>
      </c>
    </row>
    <row r="888" spans="1:10" hidden="1">
      <c r="A888" t="s">
        <v>2338</v>
      </c>
      <c r="B888" t="s">
        <v>2370</v>
      </c>
      <c r="C888" t="s">
        <v>2370</v>
      </c>
      <c r="F888" t="s">
        <v>2370</v>
      </c>
      <c r="J888">
        <f>LEN(Table13[[#This Row],[REFERENCE_DESCR1]])</f>
        <v>6</v>
      </c>
    </row>
    <row r="889" spans="1:10" hidden="1">
      <c r="A889" t="s">
        <v>2338</v>
      </c>
      <c r="B889" t="s">
        <v>2371</v>
      </c>
      <c r="F889" t="s">
        <v>2371</v>
      </c>
      <c r="J889">
        <f>LEN(Table13[[#This Row],[REFERENCE_DESCR1]])</f>
        <v>0</v>
      </c>
    </row>
    <row r="890" spans="1:10" hidden="1">
      <c r="A890" t="s">
        <v>2338</v>
      </c>
      <c r="B890" t="s">
        <v>2372</v>
      </c>
      <c r="D890" t="s">
        <v>2372</v>
      </c>
      <c r="J890">
        <f>LEN(Table13[[#This Row],[REFERENCE_DESCR1]])</f>
        <v>0</v>
      </c>
    </row>
    <row r="891" spans="1:10" hidden="1">
      <c r="A891" t="s">
        <v>2338</v>
      </c>
      <c r="B891" t="s">
        <v>2373</v>
      </c>
      <c r="J891">
        <f>LEN(Table13[[#This Row],[REFERENCE_DESCR1]])</f>
        <v>0</v>
      </c>
    </row>
    <row r="892" spans="1:10" hidden="1">
      <c r="A892" t="s">
        <v>2338</v>
      </c>
      <c r="B892" t="s">
        <v>2374</v>
      </c>
      <c r="F892" t="s">
        <v>2374</v>
      </c>
      <c r="J892">
        <f>LEN(Table13[[#This Row],[REFERENCE_DESCR1]])</f>
        <v>0</v>
      </c>
    </row>
    <row r="893" spans="1:10" hidden="1">
      <c r="A893" t="s">
        <v>2338</v>
      </c>
      <c r="B893" t="s">
        <v>2375</v>
      </c>
      <c r="F893" t="s">
        <v>2376</v>
      </c>
      <c r="J893">
        <f>LEN(Table13[[#This Row],[REFERENCE_DESCR1]])</f>
        <v>0</v>
      </c>
    </row>
    <row r="894" spans="1:10" hidden="1">
      <c r="A894" t="s">
        <v>2338</v>
      </c>
      <c r="B894" t="s">
        <v>2377</v>
      </c>
      <c r="C894" t="s">
        <v>2377</v>
      </c>
      <c r="J894">
        <f>LEN(Table13[[#This Row],[REFERENCE_DESCR1]])</f>
        <v>6</v>
      </c>
    </row>
    <row r="895" spans="1:10" hidden="1">
      <c r="A895" t="s">
        <v>2338</v>
      </c>
      <c r="B895" t="s">
        <v>2378</v>
      </c>
      <c r="C895" t="s">
        <v>2378</v>
      </c>
      <c r="J895">
        <f>LEN(Table13[[#This Row],[REFERENCE_DESCR1]])</f>
        <v>19</v>
      </c>
    </row>
    <row r="896" spans="1:10" hidden="1">
      <c r="A896" t="s">
        <v>2338</v>
      </c>
      <c r="B896" t="s">
        <v>2379</v>
      </c>
      <c r="C896" t="s">
        <v>2379</v>
      </c>
      <c r="F896" t="s">
        <v>2379</v>
      </c>
      <c r="J896">
        <f>LEN(Table13[[#This Row],[REFERENCE_DESCR1]])</f>
        <v>5</v>
      </c>
    </row>
    <row r="897" spans="1:10" hidden="1">
      <c r="A897" t="s">
        <v>2338</v>
      </c>
      <c r="B897" t="s">
        <v>2380</v>
      </c>
      <c r="C897" t="s">
        <v>2380</v>
      </c>
      <c r="F897" t="s">
        <v>2380</v>
      </c>
      <c r="J897">
        <f>LEN(Table13[[#This Row],[REFERENCE_DESCR1]])</f>
        <v>4</v>
      </c>
    </row>
    <row r="898" spans="1:10" hidden="1">
      <c r="A898" t="s">
        <v>2338</v>
      </c>
      <c r="B898" t="s">
        <v>2381</v>
      </c>
      <c r="C898" t="s">
        <v>2381</v>
      </c>
      <c r="F898" t="s">
        <v>2381</v>
      </c>
      <c r="J898">
        <f>LEN(Table13[[#This Row],[REFERENCE_DESCR1]])</f>
        <v>8</v>
      </c>
    </row>
    <row r="899" spans="1:10" hidden="1">
      <c r="A899" t="s">
        <v>2338</v>
      </c>
      <c r="B899" t="s">
        <v>2382</v>
      </c>
      <c r="C899" t="s">
        <v>2382</v>
      </c>
      <c r="J899">
        <f>LEN(Table13[[#This Row],[REFERENCE_DESCR1]])</f>
        <v>11</v>
      </c>
    </row>
    <row r="900" spans="1:10" hidden="1">
      <c r="A900" t="s">
        <v>2338</v>
      </c>
      <c r="B900" t="s">
        <v>2383</v>
      </c>
      <c r="C900" t="s">
        <v>2383</v>
      </c>
      <c r="J900">
        <f>LEN(Table13[[#This Row],[REFERENCE_DESCR1]])</f>
        <v>16</v>
      </c>
    </row>
    <row r="901" spans="1:10" hidden="1">
      <c r="A901" t="s">
        <v>2338</v>
      </c>
      <c r="B901" t="s">
        <v>2384</v>
      </c>
      <c r="F901" t="s">
        <v>2384</v>
      </c>
      <c r="J901">
        <f>LEN(Table13[[#This Row],[REFERENCE_DESCR1]])</f>
        <v>0</v>
      </c>
    </row>
    <row r="902" spans="1:10" hidden="1">
      <c r="A902" t="s">
        <v>2338</v>
      </c>
      <c r="B902" t="s">
        <v>2385</v>
      </c>
      <c r="C902" t="s">
        <v>2385</v>
      </c>
      <c r="J902">
        <f>LEN(Table13[[#This Row],[REFERENCE_DESCR1]])</f>
        <v>9</v>
      </c>
    </row>
    <row r="903" spans="1:10" hidden="1">
      <c r="A903" t="s">
        <v>2338</v>
      </c>
      <c r="B903" t="s">
        <v>2386</v>
      </c>
      <c r="F903" t="s">
        <v>2386</v>
      </c>
      <c r="J903">
        <f>LEN(Table13[[#This Row],[REFERENCE_DESCR1]])</f>
        <v>0</v>
      </c>
    </row>
    <row r="904" spans="1:10" hidden="1">
      <c r="A904" t="s">
        <v>2338</v>
      </c>
      <c r="B904" t="s">
        <v>2387</v>
      </c>
      <c r="F904" t="s">
        <v>2387</v>
      </c>
      <c r="J904">
        <f>LEN(Table13[[#This Row],[REFERENCE_DESCR1]])</f>
        <v>0</v>
      </c>
    </row>
    <row r="905" spans="1:10" hidden="1">
      <c r="A905" t="s">
        <v>2338</v>
      </c>
      <c r="B905" t="s">
        <v>2388</v>
      </c>
      <c r="E905" t="s">
        <v>2388</v>
      </c>
      <c r="J905">
        <f>LEN(Table13[[#This Row],[REFERENCE_DESCR1]])</f>
        <v>0</v>
      </c>
    </row>
    <row r="906" spans="1:10" hidden="1">
      <c r="A906" t="s">
        <v>2338</v>
      </c>
      <c r="B906" t="s">
        <v>2389</v>
      </c>
      <c r="D906" t="s">
        <v>2389</v>
      </c>
      <c r="J906">
        <f>LEN(Table13[[#This Row],[REFERENCE_DESCR1]])</f>
        <v>0</v>
      </c>
    </row>
    <row r="907" spans="1:10" hidden="1">
      <c r="A907" t="s">
        <v>2338</v>
      </c>
      <c r="B907" t="s">
        <v>2390</v>
      </c>
      <c r="C907" t="s">
        <v>2390</v>
      </c>
      <c r="J907">
        <f>LEN(Table13[[#This Row],[REFERENCE_DESCR1]])</f>
        <v>6</v>
      </c>
    </row>
    <row r="908" spans="1:10" hidden="1">
      <c r="A908" t="s">
        <v>2338</v>
      </c>
      <c r="B908" t="s">
        <v>2391</v>
      </c>
      <c r="C908" t="s">
        <v>2391</v>
      </c>
      <c r="J908">
        <f>LEN(Table13[[#This Row],[REFERENCE_DESCR1]])</f>
        <v>11</v>
      </c>
    </row>
    <row r="909" spans="1:10" hidden="1">
      <c r="A909" t="s">
        <v>2338</v>
      </c>
      <c r="B909" t="s">
        <v>2392</v>
      </c>
      <c r="F909" t="s">
        <v>2392</v>
      </c>
      <c r="J909">
        <f>LEN(Table13[[#This Row],[REFERENCE_DESCR1]])</f>
        <v>0</v>
      </c>
    </row>
    <row r="910" spans="1:10" hidden="1">
      <c r="A910" t="s">
        <v>2338</v>
      </c>
      <c r="B910" t="s">
        <v>2393</v>
      </c>
      <c r="C910" t="s">
        <v>2393</v>
      </c>
      <c r="F910" t="s">
        <v>2393</v>
      </c>
      <c r="J910">
        <f>LEN(Table13[[#This Row],[REFERENCE_DESCR1]])</f>
        <v>5</v>
      </c>
    </row>
    <row r="911" spans="1:10" hidden="1">
      <c r="A911" t="s">
        <v>2338</v>
      </c>
      <c r="B911" t="s">
        <v>2394</v>
      </c>
      <c r="C911" t="s">
        <v>2394</v>
      </c>
      <c r="J911">
        <f>LEN(Table13[[#This Row],[REFERENCE_DESCR1]])</f>
        <v>15</v>
      </c>
    </row>
    <row r="912" spans="1:10" hidden="1">
      <c r="A912" t="s">
        <v>2338</v>
      </c>
      <c r="B912" t="s">
        <v>2395</v>
      </c>
      <c r="C912" t="s">
        <v>2395</v>
      </c>
      <c r="J912">
        <f>LEN(Table13[[#This Row],[REFERENCE_DESCR1]])</f>
        <v>20</v>
      </c>
    </row>
    <row r="913" spans="1:10" hidden="1">
      <c r="A913" t="s">
        <v>2338</v>
      </c>
      <c r="B913" t="s">
        <v>2396</v>
      </c>
      <c r="C913" t="s">
        <v>2396</v>
      </c>
      <c r="J913">
        <f>LEN(Table13[[#This Row],[REFERENCE_DESCR1]])</f>
        <v>6</v>
      </c>
    </row>
    <row r="914" spans="1:10" hidden="1">
      <c r="A914" t="s">
        <v>2338</v>
      </c>
      <c r="B914" t="s">
        <v>2397</v>
      </c>
      <c r="C914" t="s">
        <v>2397</v>
      </c>
      <c r="J914">
        <f>LEN(Table13[[#This Row],[REFERENCE_DESCR1]])</f>
        <v>6</v>
      </c>
    </row>
    <row r="915" spans="1:10" hidden="1">
      <c r="A915" t="s">
        <v>2338</v>
      </c>
      <c r="B915" t="s">
        <v>2398</v>
      </c>
      <c r="C915" t="s">
        <v>2398</v>
      </c>
      <c r="J915">
        <f>LEN(Table13[[#This Row],[REFERENCE_DESCR1]])</f>
        <v>16</v>
      </c>
    </row>
    <row r="916" spans="1:10" hidden="1">
      <c r="A916" t="s">
        <v>2338</v>
      </c>
      <c r="B916" t="s">
        <v>2399</v>
      </c>
      <c r="C916" t="s">
        <v>2400</v>
      </c>
      <c r="J916">
        <f>LEN(Table13[[#This Row],[REFERENCE_DESCR1]])</f>
        <v>10</v>
      </c>
    </row>
    <row r="917" spans="1:10" hidden="1">
      <c r="A917" t="s">
        <v>2338</v>
      </c>
      <c r="B917" t="s">
        <v>2401</v>
      </c>
      <c r="C917" t="s">
        <v>2401</v>
      </c>
      <c r="F917" t="s">
        <v>2401</v>
      </c>
      <c r="J917">
        <f>LEN(Table13[[#This Row],[REFERENCE_DESCR1]])</f>
        <v>4</v>
      </c>
    </row>
    <row r="918" spans="1:10" hidden="1">
      <c r="A918" t="s">
        <v>2338</v>
      </c>
      <c r="B918" t="s">
        <v>2402</v>
      </c>
      <c r="C918" t="s">
        <v>2402</v>
      </c>
      <c r="J918">
        <f>LEN(Table13[[#This Row],[REFERENCE_DESCR1]])</f>
        <v>9</v>
      </c>
    </row>
    <row r="919" spans="1:10" hidden="1">
      <c r="A919" t="s">
        <v>2338</v>
      </c>
      <c r="B919" t="s">
        <v>2403</v>
      </c>
      <c r="C919" t="s">
        <v>2404</v>
      </c>
      <c r="J919">
        <f>LEN(Table13[[#This Row],[REFERENCE_DESCR1]])</f>
        <v>26</v>
      </c>
    </row>
    <row r="920" spans="1:10" hidden="1">
      <c r="A920" t="s">
        <v>2338</v>
      </c>
      <c r="B920" t="s">
        <v>2405</v>
      </c>
      <c r="F920" t="s">
        <v>2405</v>
      </c>
      <c r="J920">
        <f>LEN(Table13[[#This Row],[REFERENCE_DESCR1]])</f>
        <v>0</v>
      </c>
    </row>
    <row r="921" spans="1:10" hidden="1">
      <c r="A921" t="s">
        <v>2338</v>
      </c>
      <c r="B921" t="s">
        <v>2406</v>
      </c>
      <c r="C921" t="s">
        <v>2406</v>
      </c>
      <c r="F921" t="s">
        <v>2406</v>
      </c>
      <c r="J921">
        <f>LEN(Table13[[#This Row],[REFERENCE_DESCR1]])</f>
        <v>6</v>
      </c>
    </row>
    <row r="922" spans="1:10" hidden="1">
      <c r="A922" t="s">
        <v>2338</v>
      </c>
      <c r="B922" t="s">
        <v>2407</v>
      </c>
      <c r="F922" t="s">
        <v>2407</v>
      </c>
      <c r="J922">
        <f>LEN(Table13[[#This Row],[REFERENCE_DESCR1]])</f>
        <v>0</v>
      </c>
    </row>
    <row r="923" spans="1:10" hidden="1">
      <c r="A923" t="s">
        <v>2338</v>
      </c>
      <c r="B923" t="s">
        <v>2408</v>
      </c>
      <c r="C923" t="s">
        <v>2408</v>
      </c>
      <c r="F923" t="s">
        <v>2408</v>
      </c>
      <c r="J923">
        <f>LEN(Table13[[#This Row],[REFERENCE_DESCR1]])</f>
        <v>7</v>
      </c>
    </row>
    <row r="924" spans="1:10" hidden="1">
      <c r="A924" t="s">
        <v>2338</v>
      </c>
      <c r="B924" t="s">
        <v>2409</v>
      </c>
      <c r="C924" t="s">
        <v>2409</v>
      </c>
      <c r="J924">
        <f>LEN(Table13[[#This Row],[REFERENCE_DESCR1]])</f>
        <v>5</v>
      </c>
    </row>
    <row r="925" spans="1:10" hidden="1">
      <c r="A925" t="s">
        <v>2338</v>
      </c>
      <c r="B925" t="s">
        <v>2410</v>
      </c>
      <c r="C925" t="s">
        <v>2410</v>
      </c>
      <c r="J925">
        <f>LEN(Table13[[#This Row],[REFERENCE_DESCR1]])</f>
        <v>17</v>
      </c>
    </row>
    <row r="926" spans="1:10" hidden="1">
      <c r="A926" t="s">
        <v>2338</v>
      </c>
      <c r="B926" t="s">
        <v>2411</v>
      </c>
      <c r="C926" t="s">
        <v>2411</v>
      </c>
      <c r="J926">
        <f>LEN(Table13[[#This Row],[REFERENCE_DESCR1]])</f>
        <v>10</v>
      </c>
    </row>
    <row r="927" spans="1:10" hidden="1">
      <c r="A927" t="s">
        <v>2338</v>
      </c>
      <c r="B927" t="s">
        <v>2412</v>
      </c>
      <c r="D927" t="s">
        <v>2412</v>
      </c>
      <c r="J927">
        <f>LEN(Table13[[#This Row],[REFERENCE_DESCR1]])</f>
        <v>0</v>
      </c>
    </row>
    <row r="928" spans="1:10" hidden="1">
      <c r="A928" t="s">
        <v>2338</v>
      </c>
      <c r="B928" t="s">
        <v>2413</v>
      </c>
      <c r="D928" t="s">
        <v>2413</v>
      </c>
      <c r="J928">
        <f>LEN(Table13[[#This Row],[REFERENCE_DESCR1]])</f>
        <v>0</v>
      </c>
    </row>
    <row r="929" spans="1:10" hidden="1">
      <c r="A929" t="s">
        <v>2338</v>
      </c>
      <c r="B929" t="s">
        <v>2414</v>
      </c>
      <c r="D929" t="s">
        <v>2414</v>
      </c>
      <c r="J929">
        <f>LEN(Table13[[#This Row],[REFERENCE_DESCR1]])</f>
        <v>0</v>
      </c>
    </row>
    <row r="930" spans="1:10" hidden="1">
      <c r="A930" t="s">
        <v>2338</v>
      </c>
      <c r="B930" t="s">
        <v>2415</v>
      </c>
      <c r="F930" t="s">
        <v>2415</v>
      </c>
      <c r="J930">
        <f>LEN(Table13[[#This Row],[REFERENCE_DESCR1]])</f>
        <v>0</v>
      </c>
    </row>
    <row r="931" spans="1:10" hidden="1">
      <c r="A931" t="s">
        <v>2338</v>
      </c>
      <c r="B931" t="s">
        <v>2416</v>
      </c>
      <c r="D931" t="s">
        <v>2416</v>
      </c>
      <c r="J931">
        <f>LEN(Table13[[#This Row],[REFERENCE_DESCR1]])</f>
        <v>0</v>
      </c>
    </row>
    <row r="932" spans="1:10" hidden="1">
      <c r="A932" t="s">
        <v>2338</v>
      </c>
      <c r="B932" t="s">
        <v>2417</v>
      </c>
      <c r="D932" t="s">
        <v>2417</v>
      </c>
      <c r="J932">
        <f>LEN(Table13[[#This Row],[REFERENCE_DESCR1]])</f>
        <v>0</v>
      </c>
    </row>
    <row r="933" spans="1:10" hidden="1">
      <c r="A933" t="s">
        <v>2338</v>
      </c>
      <c r="B933" t="s">
        <v>2418</v>
      </c>
      <c r="F933" t="s">
        <v>2418</v>
      </c>
      <c r="J933">
        <f>LEN(Table13[[#This Row],[REFERENCE_DESCR1]])</f>
        <v>0</v>
      </c>
    </row>
    <row r="934" spans="1:10" hidden="1">
      <c r="A934" t="s">
        <v>2338</v>
      </c>
      <c r="B934" t="s">
        <v>2419</v>
      </c>
      <c r="D934" t="s">
        <v>2419</v>
      </c>
      <c r="J934">
        <f>LEN(Table13[[#This Row],[REFERENCE_DESCR1]])</f>
        <v>0</v>
      </c>
    </row>
    <row r="935" spans="1:10" hidden="1">
      <c r="A935" t="s">
        <v>2338</v>
      </c>
      <c r="B935" t="s">
        <v>2420</v>
      </c>
      <c r="C935" t="s">
        <v>2420</v>
      </c>
      <c r="J935">
        <f>LEN(Table13[[#This Row],[REFERENCE_DESCR1]])</f>
        <v>8</v>
      </c>
    </row>
    <row r="936" spans="1:10" hidden="1">
      <c r="A936" t="s">
        <v>2338</v>
      </c>
      <c r="B936" t="s">
        <v>2421</v>
      </c>
      <c r="F936" t="s">
        <v>2421</v>
      </c>
      <c r="J936">
        <f>LEN(Table13[[#This Row],[REFERENCE_DESCR1]])</f>
        <v>0</v>
      </c>
    </row>
    <row r="937" spans="1:10" hidden="1">
      <c r="A937" t="s">
        <v>2338</v>
      </c>
      <c r="B937" t="s">
        <v>2422</v>
      </c>
      <c r="D937" t="s">
        <v>2422</v>
      </c>
      <c r="J937">
        <f>LEN(Table13[[#This Row],[REFERENCE_DESCR1]])</f>
        <v>0</v>
      </c>
    </row>
    <row r="938" spans="1:10" hidden="1">
      <c r="A938" t="s">
        <v>2338</v>
      </c>
      <c r="B938" t="s">
        <v>2423</v>
      </c>
      <c r="F938" t="s">
        <v>2424</v>
      </c>
      <c r="J938">
        <f>LEN(Table13[[#This Row],[REFERENCE_DESCR1]])</f>
        <v>0</v>
      </c>
    </row>
    <row r="939" spans="1:10" hidden="1">
      <c r="A939" t="s">
        <v>2338</v>
      </c>
      <c r="B939" t="s">
        <v>2425</v>
      </c>
      <c r="C939" t="s">
        <v>2425</v>
      </c>
      <c r="J939">
        <f>LEN(Table13[[#This Row],[REFERENCE_DESCR1]])</f>
        <v>5</v>
      </c>
    </row>
    <row r="940" spans="1:10" hidden="1">
      <c r="A940" t="s">
        <v>2338</v>
      </c>
      <c r="B940" t="s">
        <v>2426</v>
      </c>
      <c r="F940" t="s">
        <v>2426</v>
      </c>
      <c r="J940">
        <f>LEN(Table13[[#This Row],[REFERENCE_DESCR1]])</f>
        <v>0</v>
      </c>
    </row>
    <row r="941" spans="1:10" hidden="1">
      <c r="A941" t="s">
        <v>2338</v>
      </c>
      <c r="B941" t="s">
        <v>2427</v>
      </c>
      <c r="C941" t="s">
        <v>2427</v>
      </c>
      <c r="D941" t="s">
        <v>2427</v>
      </c>
      <c r="E941" t="s">
        <v>2427</v>
      </c>
      <c r="F941" t="s">
        <v>2427</v>
      </c>
      <c r="J941">
        <f>LEN(Table13[[#This Row],[REFERENCE_DESCR1]])</f>
        <v>14</v>
      </c>
    </row>
    <row r="942" spans="1:10" hidden="1">
      <c r="A942" t="s">
        <v>2338</v>
      </c>
      <c r="B942" t="s">
        <v>2428</v>
      </c>
      <c r="F942" t="s">
        <v>2428</v>
      </c>
      <c r="J942">
        <f>LEN(Table13[[#This Row],[REFERENCE_DESCR1]])</f>
        <v>0</v>
      </c>
    </row>
    <row r="943" spans="1:10" hidden="1">
      <c r="A943" t="s">
        <v>2429</v>
      </c>
      <c r="B943" t="s">
        <v>1835</v>
      </c>
      <c r="C943" t="s">
        <v>2430</v>
      </c>
      <c r="J943">
        <f>LEN(Table13[[#This Row],[REFERENCE_DESCR1]])</f>
        <v>15</v>
      </c>
    </row>
    <row r="944" spans="1:10" hidden="1">
      <c r="A944" t="s">
        <v>2429</v>
      </c>
      <c r="B944" t="s">
        <v>1838</v>
      </c>
      <c r="C944" t="s">
        <v>2431</v>
      </c>
      <c r="J944">
        <f>LEN(Table13[[#This Row],[REFERENCE_DESCR1]])</f>
        <v>13</v>
      </c>
    </row>
    <row r="945" spans="1:10" hidden="1">
      <c r="A945" t="s">
        <v>2429</v>
      </c>
      <c r="B945" t="s">
        <v>2432</v>
      </c>
      <c r="C945" t="s">
        <v>2432</v>
      </c>
      <c r="J945">
        <f>LEN(Table13[[#This Row],[REFERENCE_DESCR1]])</f>
        <v>3</v>
      </c>
    </row>
    <row r="946" spans="1:10" hidden="1">
      <c r="A946" t="s">
        <v>2429</v>
      </c>
      <c r="B946" t="s">
        <v>2433</v>
      </c>
      <c r="C946" t="s">
        <v>2434</v>
      </c>
      <c r="J946">
        <f>LEN(Table13[[#This Row],[REFERENCE_DESCR1]])</f>
        <v>7</v>
      </c>
    </row>
    <row r="947" spans="1:10" hidden="1">
      <c r="A947" t="s">
        <v>2429</v>
      </c>
      <c r="B947" t="s">
        <v>2435</v>
      </c>
      <c r="C947" t="s">
        <v>2436</v>
      </c>
      <c r="J947">
        <f>LEN(Table13[[#This Row],[REFERENCE_DESCR1]])</f>
        <v>7</v>
      </c>
    </row>
    <row r="948" spans="1:10" hidden="1">
      <c r="A948" t="s">
        <v>2429</v>
      </c>
      <c r="B948" t="s">
        <v>1152</v>
      </c>
      <c r="C948" t="s">
        <v>2437</v>
      </c>
      <c r="J948">
        <f>LEN(Table13[[#This Row],[REFERENCE_DESCR1]])</f>
        <v>19</v>
      </c>
    </row>
    <row r="949" spans="1:10" hidden="1">
      <c r="A949" t="s">
        <v>2429</v>
      </c>
      <c r="B949" t="s">
        <v>1373</v>
      </c>
      <c r="C949" t="s">
        <v>2438</v>
      </c>
      <c r="J949">
        <f>LEN(Table13[[#This Row],[REFERENCE_DESCR1]])</f>
        <v>6</v>
      </c>
    </row>
    <row r="950" spans="1:10" hidden="1">
      <c r="A950" t="s">
        <v>2429</v>
      </c>
      <c r="B950" t="s">
        <v>2439</v>
      </c>
      <c r="C950" t="s">
        <v>2440</v>
      </c>
      <c r="J950">
        <f>LEN(Table13[[#This Row],[REFERENCE_DESCR1]])</f>
        <v>6</v>
      </c>
    </row>
    <row r="951" spans="1:10" hidden="1">
      <c r="A951" t="s">
        <v>2429</v>
      </c>
      <c r="B951" t="s">
        <v>1156</v>
      </c>
      <c r="C951" t="s">
        <v>2441</v>
      </c>
      <c r="J951">
        <f>LEN(Table13[[#This Row],[REFERENCE_DESCR1]])</f>
        <v>17</v>
      </c>
    </row>
    <row r="952" spans="1:10" hidden="1">
      <c r="A952" t="s">
        <v>2442</v>
      </c>
      <c r="B952" t="s">
        <v>1152</v>
      </c>
      <c r="C952" t="s">
        <v>2443</v>
      </c>
      <c r="J952">
        <f>LEN(Table13[[#This Row],[REFERENCE_DESCR1]])</f>
        <v>6</v>
      </c>
    </row>
    <row r="953" spans="1:10" hidden="1">
      <c r="A953" t="s">
        <v>2442</v>
      </c>
      <c r="B953" t="s">
        <v>2444</v>
      </c>
      <c r="C953" t="s">
        <v>2445</v>
      </c>
      <c r="J953">
        <f>LEN(Table13[[#This Row],[REFERENCE_DESCR1]])</f>
        <v>11</v>
      </c>
    </row>
    <row r="954" spans="1:10" hidden="1">
      <c r="A954" t="s">
        <v>2446</v>
      </c>
      <c r="B954" t="s">
        <v>1148</v>
      </c>
      <c r="C954" t="s">
        <v>2447</v>
      </c>
      <c r="J954">
        <f>LEN(Table13[[#This Row],[REFERENCE_DESCR1]])</f>
        <v>12</v>
      </c>
    </row>
    <row r="955" spans="1:10" hidden="1">
      <c r="A955" t="s">
        <v>2446</v>
      </c>
      <c r="B955" t="s">
        <v>1369</v>
      </c>
      <c r="C955" t="s">
        <v>2448</v>
      </c>
      <c r="J955">
        <f>LEN(Table13[[#This Row],[REFERENCE_DESCR1]])</f>
        <v>9</v>
      </c>
    </row>
    <row r="956" spans="1:10" hidden="1">
      <c r="A956" t="s">
        <v>2446</v>
      </c>
      <c r="B956" t="s">
        <v>1363</v>
      </c>
      <c r="C956" t="s">
        <v>2449</v>
      </c>
      <c r="J956">
        <f>LEN(Table13[[#This Row],[REFERENCE_DESCR1]])</f>
        <v>21</v>
      </c>
    </row>
    <row r="957" spans="1:10" hidden="1">
      <c r="A957" t="s">
        <v>2446</v>
      </c>
      <c r="B957" t="s">
        <v>1154</v>
      </c>
      <c r="C957" t="s">
        <v>2450</v>
      </c>
      <c r="J957">
        <f>LEN(Table13[[#This Row],[REFERENCE_DESCR1]])</f>
        <v>10</v>
      </c>
    </row>
    <row r="958" spans="1:10" hidden="1">
      <c r="A958" t="s">
        <v>2451</v>
      </c>
      <c r="B958" t="s">
        <v>1146</v>
      </c>
      <c r="C958" t="s">
        <v>2452</v>
      </c>
      <c r="J958">
        <f>LEN(Table13[[#This Row],[REFERENCE_DESCR1]])</f>
        <v>23</v>
      </c>
    </row>
    <row r="959" spans="1:10" hidden="1">
      <c r="A959" t="s">
        <v>2451</v>
      </c>
      <c r="B959" t="s">
        <v>1150</v>
      </c>
      <c r="C959" t="s">
        <v>2453</v>
      </c>
      <c r="J959">
        <f>LEN(Table13[[#This Row],[REFERENCE_DESCR1]])</f>
        <v>18</v>
      </c>
    </row>
    <row r="960" spans="1:10" hidden="1">
      <c r="A960" t="s">
        <v>2451</v>
      </c>
      <c r="B960" t="s">
        <v>1367</v>
      </c>
      <c r="C960" t="s">
        <v>2454</v>
      </c>
      <c r="J960">
        <f>LEN(Table13[[#This Row],[REFERENCE_DESCR1]])</f>
        <v>38</v>
      </c>
    </row>
    <row r="961" spans="1:10" hidden="1">
      <c r="A961" t="s">
        <v>2451</v>
      </c>
      <c r="B961" t="s">
        <v>1363</v>
      </c>
      <c r="C961" t="s">
        <v>2455</v>
      </c>
      <c r="J961">
        <f>LEN(Table13[[#This Row],[REFERENCE_DESCR1]])</f>
        <v>35</v>
      </c>
    </row>
    <row r="962" spans="1:10" hidden="1">
      <c r="A962" t="s">
        <v>2451</v>
      </c>
      <c r="B962" t="s">
        <v>1239</v>
      </c>
      <c r="C962" t="s">
        <v>2456</v>
      </c>
      <c r="J962">
        <f>LEN(Table13[[#This Row],[REFERENCE_DESCR1]])</f>
        <v>17</v>
      </c>
    </row>
    <row r="963" spans="1:10" hidden="1">
      <c r="A963" t="s">
        <v>2451</v>
      </c>
      <c r="B963" t="s">
        <v>1154</v>
      </c>
      <c r="C963" t="s">
        <v>2457</v>
      </c>
      <c r="J963">
        <f>LEN(Table13[[#This Row],[REFERENCE_DESCR1]])</f>
        <v>38</v>
      </c>
    </row>
    <row r="964" spans="1:10" hidden="1">
      <c r="A964" t="s">
        <v>2451</v>
      </c>
      <c r="B964" t="s">
        <v>1381</v>
      </c>
      <c r="C964" t="s">
        <v>2458</v>
      </c>
      <c r="J964">
        <f>LEN(Table13[[#This Row],[REFERENCE_DESCR1]])</f>
        <v>17</v>
      </c>
    </row>
    <row r="965" spans="1:10" hidden="1">
      <c r="A965" t="s">
        <v>582</v>
      </c>
      <c r="B965" t="s">
        <v>2459</v>
      </c>
      <c r="C965" t="s">
        <v>2460</v>
      </c>
      <c r="J965">
        <f>LEN(Table13[[#This Row],[REFERENCE_DESCR1]])</f>
        <v>39</v>
      </c>
    </row>
    <row r="966" spans="1:10" hidden="1">
      <c r="A966" t="s">
        <v>582</v>
      </c>
      <c r="B966" t="s">
        <v>2461</v>
      </c>
      <c r="C966" t="s">
        <v>2462</v>
      </c>
      <c r="J966">
        <f>LEN(Table13[[#This Row],[REFERENCE_DESCR1]])</f>
        <v>41</v>
      </c>
    </row>
    <row r="967" spans="1:10" hidden="1">
      <c r="A967" t="s">
        <v>582</v>
      </c>
      <c r="B967" t="s">
        <v>2463</v>
      </c>
      <c r="C967" t="s">
        <v>2464</v>
      </c>
      <c r="J967">
        <f>LEN(Table13[[#This Row],[REFERENCE_DESCR1]])</f>
        <v>34</v>
      </c>
    </row>
    <row r="968" spans="1:10" hidden="1">
      <c r="A968" t="s">
        <v>582</v>
      </c>
      <c r="B968" t="s">
        <v>2465</v>
      </c>
      <c r="C968" t="s">
        <v>2466</v>
      </c>
      <c r="J968">
        <f>LEN(Table13[[#This Row],[REFERENCE_DESCR1]])</f>
        <v>43</v>
      </c>
    </row>
    <row r="969" spans="1:10" hidden="1">
      <c r="A969" t="s">
        <v>582</v>
      </c>
      <c r="B969" t="s">
        <v>2467</v>
      </c>
      <c r="C969" t="s">
        <v>2468</v>
      </c>
      <c r="J969">
        <f>LEN(Table13[[#This Row],[REFERENCE_DESCR1]])</f>
        <v>45</v>
      </c>
    </row>
    <row r="970" spans="1:10" hidden="1">
      <c r="A970" t="s">
        <v>582</v>
      </c>
      <c r="B970" t="s">
        <v>2469</v>
      </c>
      <c r="C970" t="s">
        <v>2470</v>
      </c>
      <c r="J970">
        <f>LEN(Table13[[#This Row],[REFERENCE_DESCR1]])</f>
        <v>38</v>
      </c>
    </row>
    <row r="971" spans="1:10" hidden="1">
      <c r="A971" t="s">
        <v>582</v>
      </c>
      <c r="B971" t="s">
        <v>2471</v>
      </c>
      <c r="C971" t="s">
        <v>2472</v>
      </c>
      <c r="J971">
        <f>LEN(Table13[[#This Row],[REFERENCE_DESCR1]])</f>
        <v>43</v>
      </c>
    </row>
    <row r="972" spans="1:10" hidden="1">
      <c r="A972" t="s">
        <v>582</v>
      </c>
      <c r="B972" t="s">
        <v>2473</v>
      </c>
      <c r="C972" t="s">
        <v>2474</v>
      </c>
      <c r="J972">
        <f>LEN(Table13[[#This Row],[REFERENCE_DESCR1]])</f>
        <v>45</v>
      </c>
    </row>
    <row r="973" spans="1:10" hidden="1">
      <c r="A973" t="s">
        <v>582</v>
      </c>
      <c r="B973" t="s">
        <v>2475</v>
      </c>
      <c r="C973" t="s">
        <v>2476</v>
      </c>
      <c r="J973">
        <f>LEN(Table13[[#This Row],[REFERENCE_DESCR1]])</f>
        <v>38</v>
      </c>
    </row>
    <row r="974" spans="1:10" hidden="1">
      <c r="A974" t="s">
        <v>2477</v>
      </c>
      <c r="B974">
        <v>1</v>
      </c>
      <c r="C974" t="s">
        <v>2478</v>
      </c>
      <c r="D974">
        <v>1</v>
      </c>
      <c r="J974">
        <f>LEN(Table13[[#This Row],[REFERENCE_DESCR1]])</f>
        <v>8</v>
      </c>
    </row>
    <row r="975" spans="1:10" hidden="1">
      <c r="A975" t="s">
        <v>2477</v>
      </c>
      <c r="B975">
        <v>2</v>
      </c>
      <c r="C975" t="s">
        <v>2479</v>
      </c>
      <c r="D975">
        <v>2</v>
      </c>
      <c r="J975">
        <f>LEN(Table13[[#This Row],[REFERENCE_DESCR1]])</f>
        <v>11</v>
      </c>
    </row>
    <row r="976" spans="1:10" hidden="1">
      <c r="A976" t="s">
        <v>2477</v>
      </c>
      <c r="B976">
        <v>3</v>
      </c>
      <c r="C976" t="s">
        <v>2480</v>
      </c>
      <c r="D976">
        <v>3</v>
      </c>
      <c r="J976">
        <f>LEN(Table13[[#This Row],[REFERENCE_DESCR1]])</f>
        <v>9</v>
      </c>
    </row>
    <row r="977" spans="1:10" hidden="1">
      <c r="A977" t="s">
        <v>2477</v>
      </c>
      <c r="B977">
        <v>4</v>
      </c>
      <c r="C977" t="s">
        <v>2481</v>
      </c>
      <c r="D977">
        <v>4</v>
      </c>
      <c r="J977">
        <f>LEN(Table13[[#This Row],[REFERENCE_DESCR1]])</f>
        <v>6</v>
      </c>
    </row>
    <row r="978" spans="1:10" hidden="1">
      <c r="A978" t="s">
        <v>2482</v>
      </c>
      <c r="B978">
        <v>1</v>
      </c>
      <c r="C978" t="s">
        <v>1681</v>
      </c>
      <c r="D978">
        <v>1</v>
      </c>
      <c r="J978">
        <f>LEN(Table13[[#This Row],[REFERENCE_DESCR1]])</f>
        <v>8</v>
      </c>
    </row>
    <row r="979" spans="1:10" hidden="1">
      <c r="A979" t="s">
        <v>2482</v>
      </c>
      <c r="B979">
        <v>2</v>
      </c>
      <c r="C979" t="s">
        <v>1682</v>
      </c>
      <c r="D979">
        <v>1</v>
      </c>
      <c r="J979">
        <f>LEN(Table13[[#This Row],[REFERENCE_DESCR1]])</f>
        <v>4</v>
      </c>
    </row>
    <row r="980" spans="1:10" hidden="1">
      <c r="A980" t="s">
        <v>2482</v>
      </c>
      <c r="B980">
        <v>3</v>
      </c>
      <c r="C980" t="s">
        <v>1683</v>
      </c>
      <c r="D980">
        <v>1</v>
      </c>
      <c r="J980">
        <f>LEN(Table13[[#This Row],[REFERENCE_DESCR1]])</f>
        <v>4</v>
      </c>
    </row>
    <row r="981" spans="1:10" hidden="1">
      <c r="A981" t="s">
        <v>2482</v>
      </c>
      <c r="B981">
        <v>4</v>
      </c>
      <c r="C981" t="s">
        <v>1684</v>
      </c>
      <c r="D981">
        <v>5</v>
      </c>
      <c r="J981">
        <f>LEN(Table13[[#This Row],[REFERENCE_DESCR1]])</f>
        <v>4</v>
      </c>
    </row>
    <row r="982" spans="1:10" hidden="1">
      <c r="A982" t="s">
        <v>2483</v>
      </c>
      <c r="B982">
        <v>1</v>
      </c>
      <c r="C982" t="s">
        <v>2484</v>
      </c>
      <c r="D982">
        <v>1</v>
      </c>
      <c r="E982">
        <v>40</v>
      </c>
      <c r="J982">
        <f>LEN(Table13[[#This Row],[REFERENCE_DESCR1]])</f>
        <v>15</v>
      </c>
    </row>
    <row r="983" spans="1:10" hidden="1">
      <c r="A983" t="s">
        <v>2483</v>
      </c>
      <c r="B983">
        <v>2</v>
      </c>
      <c r="C983" t="s">
        <v>2485</v>
      </c>
      <c r="D983">
        <v>41</v>
      </c>
      <c r="E983">
        <v>270</v>
      </c>
      <c r="J983">
        <f>LEN(Table13[[#This Row],[REFERENCE_DESCR1]])</f>
        <v>11</v>
      </c>
    </row>
    <row r="984" spans="1:10" hidden="1">
      <c r="A984" t="s">
        <v>2483</v>
      </c>
      <c r="B984">
        <v>3</v>
      </c>
      <c r="C984" t="s">
        <v>2486</v>
      </c>
      <c r="D984">
        <v>271</v>
      </c>
      <c r="E984">
        <v>2650</v>
      </c>
      <c r="J984">
        <f>LEN(Table13[[#This Row],[REFERENCE_DESCR1]])</f>
        <v>12</v>
      </c>
    </row>
    <row r="985" spans="1:10" hidden="1">
      <c r="A985" t="s">
        <v>2483</v>
      </c>
      <c r="B985">
        <v>4</v>
      </c>
      <c r="C985" t="s">
        <v>2487</v>
      </c>
      <c r="D985">
        <v>2651</v>
      </c>
      <c r="E985">
        <v>17500</v>
      </c>
      <c r="J985">
        <f>LEN(Table13[[#This Row],[REFERENCE_DESCR1]])</f>
        <v>20</v>
      </c>
    </row>
    <row r="986" spans="1:10" hidden="1">
      <c r="A986" t="s">
        <v>2483</v>
      </c>
      <c r="B986">
        <v>5</v>
      </c>
      <c r="C986" t="s">
        <v>2488</v>
      </c>
      <c r="D986">
        <v>17501</v>
      </c>
      <c r="E986">
        <v>1000000</v>
      </c>
      <c r="J986">
        <f>LEN(Table13[[#This Row],[REFERENCE_DESCR1]])</f>
        <v>13</v>
      </c>
    </row>
    <row r="987" spans="1:10" hidden="1">
      <c r="A987" t="s">
        <v>2489</v>
      </c>
      <c r="B987">
        <v>1</v>
      </c>
      <c r="C987" t="s">
        <v>2490</v>
      </c>
      <c r="D987">
        <v>1</v>
      </c>
      <c r="E987">
        <v>2</v>
      </c>
      <c r="J987">
        <f>LEN(Table13[[#This Row],[REFERENCE_DESCR1]])</f>
        <v>31</v>
      </c>
    </row>
    <row r="988" spans="1:10" hidden="1">
      <c r="A988" t="s">
        <v>2489</v>
      </c>
      <c r="B988">
        <v>2</v>
      </c>
      <c r="C988" t="s">
        <v>2491</v>
      </c>
      <c r="D988">
        <v>3</v>
      </c>
      <c r="E988">
        <v>5</v>
      </c>
      <c r="J988">
        <f>LEN(Table13[[#This Row],[REFERENCE_DESCR1]])</f>
        <v>34</v>
      </c>
    </row>
    <row r="989" spans="1:10" hidden="1">
      <c r="A989" t="s">
        <v>2489</v>
      </c>
      <c r="B989">
        <v>3</v>
      </c>
      <c r="C989" t="s">
        <v>2492</v>
      </c>
      <c r="D989">
        <v>6</v>
      </c>
      <c r="E989">
        <v>10</v>
      </c>
      <c r="J989">
        <f>LEN(Table13[[#This Row],[REFERENCE_DESCR1]])</f>
        <v>38</v>
      </c>
    </row>
    <row r="990" spans="1:10" hidden="1">
      <c r="A990" t="s">
        <v>2489</v>
      </c>
      <c r="B990">
        <v>4</v>
      </c>
      <c r="C990" t="s">
        <v>2493</v>
      </c>
      <c r="D990">
        <v>11</v>
      </c>
      <c r="E990">
        <v>100000</v>
      </c>
      <c r="J990">
        <f>LEN(Table13[[#This Row],[REFERENCE_DESCR1]])</f>
        <v>35</v>
      </c>
    </row>
    <row r="991" spans="1:10" hidden="1">
      <c r="A991" t="s">
        <v>2494</v>
      </c>
      <c r="B991" t="s">
        <v>2495</v>
      </c>
      <c r="C991" t="s">
        <v>2496</v>
      </c>
      <c r="J991">
        <f>LEN(Table13[[#This Row],[REFERENCE_DESCR1]])</f>
        <v>9</v>
      </c>
    </row>
    <row r="992" spans="1:10" hidden="1">
      <c r="A992" t="s">
        <v>2494</v>
      </c>
      <c r="B992" t="s">
        <v>2497</v>
      </c>
      <c r="C992" t="s">
        <v>2498</v>
      </c>
      <c r="J992">
        <f>LEN(Table13[[#This Row],[REFERENCE_DESCR1]])</f>
        <v>6</v>
      </c>
    </row>
    <row r="993" spans="1:10" hidden="1">
      <c r="A993" t="s">
        <v>2494</v>
      </c>
      <c r="B993" t="s">
        <v>2499</v>
      </c>
      <c r="C993" t="s">
        <v>2500</v>
      </c>
      <c r="J993">
        <f>LEN(Table13[[#This Row],[REFERENCE_DESCR1]])</f>
        <v>7</v>
      </c>
    </row>
    <row r="994" spans="1:10" hidden="1">
      <c r="A994" t="s">
        <v>771</v>
      </c>
      <c r="B994" t="s">
        <v>1517</v>
      </c>
      <c r="C994" t="s">
        <v>2501</v>
      </c>
      <c r="J994">
        <f>LEN(Table13[[#This Row],[REFERENCE_DESCR1]])</f>
        <v>10</v>
      </c>
    </row>
    <row r="995" spans="1:10" hidden="1">
      <c r="A995" t="s">
        <v>771</v>
      </c>
      <c r="B995" t="s">
        <v>1369</v>
      </c>
      <c r="C995" t="s">
        <v>2502</v>
      </c>
      <c r="J995">
        <f>LEN(Table13[[#This Row],[REFERENCE_DESCR1]])</f>
        <v>15</v>
      </c>
    </row>
    <row r="996" spans="1:10" hidden="1">
      <c r="A996" t="s">
        <v>771</v>
      </c>
      <c r="B996" t="s">
        <v>1363</v>
      </c>
      <c r="C996" t="s">
        <v>2503</v>
      </c>
      <c r="J996">
        <f>LEN(Table13[[#This Row],[REFERENCE_DESCR1]])</f>
        <v>10</v>
      </c>
    </row>
    <row r="997" spans="1:10" hidden="1">
      <c r="A997" t="s">
        <v>771</v>
      </c>
      <c r="B997" t="s">
        <v>1438</v>
      </c>
      <c r="C997" t="s">
        <v>2504</v>
      </c>
      <c r="J997">
        <f>LEN(Table13[[#This Row],[REFERENCE_DESCR1]])</f>
        <v>18</v>
      </c>
    </row>
    <row r="998" spans="1:10" hidden="1">
      <c r="A998" t="s">
        <v>2505</v>
      </c>
      <c r="B998" t="s">
        <v>2506</v>
      </c>
      <c r="C998" t="s">
        <v>2507</v>
      </c>
      <c r="J998">
        <f>LEN(Table13[[#This Row],[REFERENCE_DESCR1]])</f>
        <v>27</v>
      </c>
    </row>
    <row r="999" spans="1:10" hidden="1">
      <c r="A999" t="s">
        <v>2505</v>
      </c>
      <c r="B999" t="s">
        <v>2508</v>
      </c>
      <c r="C999" t="s">
        <v>2509</v>
      </c>
      <c r="J999">
        <f>LEN(Table13[[#This Row],[REFERENCE_DESCR1]])</f>
        <v>6</v>
      </c>
    </row>
    <row r="1000" spans="1:10" hidden="1">
      <c r="A1000" t="s">
        <v>2505</v>
      </c>
      <c r="B1000" t="s">
        <v>2510</v>
      </c>
      <c r="C1000" t="s">
        <v>2511</v>
      </c>
      <c r="J1000">
        <f>LEN(Table13[[#This Row],[REFERENCE_DESCR1]])</f>
        <v>10</v>
      </c>
    </row>
    <row r="1001" spans="1:10" hidden="1">
      <c r="A1001" t="s">
        <v>2505</v>
      </c>
      <c r="B1001" t="s">
        <v>2512</v>
      </c>
      <c r="C1001" t="s">
        <v>2513</v>
      </c>
      <c r="J1001">
        <f>LEN(Table13[[#This Row],[REFERENCE_DESCR1]])</f>
        <v>10</v>
      </c>
    </row>
    <row r="1002" spans="1:10" hidden="1">
      <c r="A1002" t="s">
        <v>2505</v>
      </c>
      <c r="B1002" t="s">
        <v>2514</v>
      </c>
      <c r="C1002" t="s">
        <v>2515</v>
      </c>
      <c r="J1002">
        <f>LEN(Table13[[#This Row],[REFERENCE_DESCR1]])</f>
        <v>11</v>
      </c>
    </row>
    <row r="1003" spans="1:10" hidden="1">
      <c r="A1003" t="s">
        <v>2505</v>
      </c>
      <c r="B1003" t="s">
        <v>2516</v>
      </c>
      <c r="C1003" t="s">
        <v>2517</v>
      </c>
      <c r="J1003">
        <f>LEN(Table13[[#This Row],[REFERENCE_DESCR1]])</f>
        <v>28</v>
      </c>
    </row>
    <row r="1004" spans="1:10" hidden="1">
      <c r="A1004" t="s">
        <v>2505</v>
      </c>
      <c r="B1004" t="s">
        <v>2518</v>
      </c>
      <c r="C1004" t="s">
        <v>2519</v>
      </c>
      <c r="J1004">
        <f>LEN(Table13[[#This Row],[REFERENCE_DESCR1]])</f>
        <v>20</v>
      </c>
    </row>
    <row r="1005" spans="1:10" hidden="1">
      <c r="A1005" t="s">
        <v>2505</v>
      </c>
      <c r="B1005" t="s">
        <v>2520</v>
      </c>
      <c r="C1005" t="s">
        <v>2521</v>
      </c>
      <c r="J1005">
        <f>LEN(Table13[[#This Row],[REFERENCE_DESCR1]])</f>
        <v>26</v>
      </c>
    </row>
    <row r="1006" spans="1:10" hidden="1">
      <c r="A1006" t="s">
        <v>2505</v>
      </c>
      <c r="B1006" t="s">
        <v>2522</v>
      </c>
      <c r="C1006" t="s">
        <v>2523</v>
      </c>
      <c r="J1006">
        <f>LEN(Table13[[#This Row],[REFERENCE_DESCR1]])</f>
        <v>18</v>
      </c>
    </row>
    <row r="1007" spans="1:10" hidden="1">
      <c r="A1007" t="s">
        <v>2524</v>
      </c>
      <c r="B1007" t="s">
        <v>1146</v>
      </c>
      <c r="C1007" t="s">
        <v>2525</v>
      </c>
      <c r="D1007" t="s">
        <v>2526</v>
      </c>
      <c r="J1007">
        <f>LEN(Table13[[#This Row],[REFERENCE_DESCR1]])</f>
        <v>13</v>
      </c>
    </row>
    <row r="1008" spans="1:10" hidden="1">
      <c r="A1008" t="s">
        <v>2524</v>
      </c>
      <c r="B1008" t="s">
        <v>1369</v>
      </c>
      <c r="C1008" t="s">
        <v>2527</v>
      </c>
      <c r="D1008" t="s">
        <v>2527</v>
      </c>
      <c r="J1008">
        <f>LEN(Table13[[#This Row],[REFERENCE_DESCR1]])</f>
        <v>11</v>
      </c>
    </row>
    <row r="1009" spans="1:10" hidden="1">
      <c r="A1009" t="s">
        <v>2524</v>
      </c>
      <c r="B1009" t="s">
        <v>1373</v>
      </c>
      <c r="C1009" t="s">
        <v>2528</v>
      </c>
      <c r="D1009" t="s">
        <v>2528</v>
      </c>
      <c r="J1009">
        <f>LEN(Table13[[#This Row],[REFERENCE_DESCR1]])</f>
        <v>14</v>
      </c>
    </row>
    <row r="1010" spans="1:10" hidden="1">
      <c r="A1010" t="s">
        <v>2524</v>
      </c>
      <c r="B1010" t="s">
        <v>1154</v>
      </c>
      <c r="C1010" t="s">
        <v>2526</v>
      </c>
      <c r="D1010" t="s">
        <v>2526</v>
      </c>
      <c r="J1010">
        <f>LEN(Table13[[#This Row],[REFERENCE_DESCR1]])</f>
        <v>11</v>
      </c>
    </row>
    <row r="1011" spans="1:10" hidden="1">
      <c r="A1011" t="s">
        <v>307</v>
      </c>
      <c r="B1011">
        <v>1</v>
      </c>
      <c r="C1011" t="s">
        <v>2529</v>
      </c>
      <c r="J1011">
        <f>LEN(Table13[[#This Row],[REFERENCE_DESCR1]])</f>
        <v>18</v>
      </c>
    </row>
    <row r="1012" spans="1:10" hidden="1">
      <c r="A1012" t="s">
        <v>307</v>
      </c>
      <c r="B1012">
        <v>2</v>
      </c>
      <c r="C1012" t="s">
        <v>2530</v>
      </c>
      <c r="J1012">
        <f>LEN(Table13[[#This Row],[REFERENCE_DESCR1]])</f>
        <v>28</v>
      </c>
    </row>
    <row r="1013" spans="1:10" hidden="1">
      <c r="A1013" t="s">
        <v>307</v>
      </c>
      <c r="B1013">
        <v>3</v>
      </c>
      <c r="C1013" t="s">
        <v>2531</v>
      </c>
      <c r="J1013">
        <f>LEN(Table13[[#This Row],[REFERENCE_DESCR1]])</f>
        <v>21</v>
      </c>
    </row>
    <row r="1014" spans="1:10" hidden="1">
      <c r="A1014" t="s">
        <v>307</v>
      </c>
      <c r="B1014">
        <v>4</v>
      </c>
      <c r="C1014" t="s">
        <v>2532</v>
      </c>
      <c r="J1014">
        <f>LEN(Table13[[#This Row],[REFERENCE_DESCR1]])</f>
        <v>31</v>
      </c>
    </row>
    <row r="1015" spans="1:10" hidden="1">
      <c r="A1015" t="s">
        <v>307</v>
      </c>
      <c r="B1015">
        <v>5</v>
      </c>
      <c r="C1015" t="s">
        <v>2533</v>
      </c>
      <c r="J1015">
        <f>LEN(Table13[[#This Row],[REFERENCE_DESCR1]])</f>
        <v>19</v>
      </c>
    </row>
    <row r="1016" spans="1:10" hidden="1">
      <c r="A1016" t="s">
        <v>307</v>
      </c>
      <c r="B1016">
        <v>6</v>
      </c>
      <c r="C1016" t="s">
        <v>2534</v>
      </c>
      <c r="J1016">
        <f>LEN(Table13[[#This Row],[REFERENCE_DESCR1]])</f>
        <v>22</v>
      </c>
    </row>
    <row r="1017" spans="1:10" hidden="1">
      <c r="A1017" t="s">
        <v>2535</v>
      </c>
      <c r="B1017" t="s">
        <v>1146</v>
      </c>
      <c r="C1017" t="s">
        <v>2536</v>
      </c>
      <c r="J1017">
        <f>LEN(Table13[[#This Row],[REFERENCE_DESCR1]])</f>
        <v>12</v>
      </c>
    </row>
    <row r="1018" spans="1:10" hidden="1">
      <c r="A1018" t="s">
        <v>2535</v>
      </c>
      <c r="B1018" t="s">
        <v>1369</v>
      </c>
      <c r="C1018" t="s">
        <v>2537</v>
      </c>
      <c r="J1018">
        <f>LEN(Table13[[#This Row],[REFERENCE_DESCR1]])</f>
        <v>10</v>
      </c>
    </row>
    <row r="1019" spans="1:10" hidden="1">
      <c r="A1019" t="s">
        <v>2535</v>
      </c>
      <c r="B1019" t="s">
        <v>1373</v>
      </c>
      <c r="C1019" t="s">
        <v>2538</v>
      </c>
      <c r="J1019">
        <f>LEN(Table13[[#This Row],[REFERENCE_DESCR1]])</f>
        <v>13</v>
      </c>
    </row>
    <row r="1020" spans="1:10" hidden="1">
      <c r="A1020" t="s">
        <v>2535</v>
      </c>
      <c r="B1020" t="s">
        <v>1154</v>
      </c>
      <c r="C1020" t="s">
        <v>2539</v>
      </c>
      <c r="J1020">
        <f>LEN(Table13[[#This Row],[REFERENCE_DESCR1]])</f>
        <v>10</v>
      </c>
    </row>
    <row r="1021" spans="1:10" hidden="1">
      <c r="A1021" t="s">
        <v>2540</v>
      </c>
      <c r="B1021">
        <v>1</v>
      </c>
      <c r="C1021" t="s">
        <v>2541</v>
      </c>
      <c r="D1021" t="s">
        <v>2542</v>
      </c>
      <c r="J1021">
        <f>LEN(Table13[[#This Row],[REFERENCE_DESCR1]])</f>
        <v>3</v>
      </c>
    </row>
    <row r="1022" spans="1:10" hidden="1">
      <c r="A1022" t="s">
        <v>2540</v>
      </c>
      <c r="B1022">
        <v>2</v>
      </c>
      <c r="C1022" t="s">
        <v>2543</v>
      </c>
      <c r="D1022" t="s">
        <v>2544</v>
      </c>
      <c r="J1022">
        <f>LEN(Table13[[#This Row],[REFERENCE_DESCR1]])</f>
        <v>6</v>
      </c>
    </row>
    <row r="1023" spans="1:10" hidden="1">
      <c r="A1023" t="s">
        <v>2540</v>
      </c>
      <c r="B1023">
        <v>3</v>
      </c>
      <c r="C1023" t="s">
        <v>2545</v>
      </c>
      <c r="D1023" s="16">
        <v>42644</v>
      </c>
      <c r="J1023">
        <f>LEN(Table13[[#This Row],[REFERENCE_DESCR1]])</f>
        <v>4</v>
      </c>
    </row>
    <row r="1024" spans="1:10" hidden="1">
      <c r="A1024" t="s">
        <v>2540</v>
      </c>
      <c r="B1024">
        <v>4</v>
      </c>
      <c r="C1024" t="s">
        <v>2481</v>
      </c>
      <c r="D1024" t="s">
        <v>2546</v>
      </c>
      <c r="J1024">
        <f>LEN(Table13[[#This Row],[REFERENCE_DESCR1]])</f>
        <v>6</v>
      </c>
    </row>
    <row r="1025" spans="1:10" hidden="1">
      <c r="A1025" t="s">
        <v>2547</v>
      </c>
      <c r="B1025" t="s">
        <v>2548</v>
      </c>
      <c r="C1025" t="s">
        <v>2549</v>
      </c>
      <c r="D1025" t="s">
        <v>2550</v>
      </c>
      <c r="J1025">
        <f>LEN(Table13[[#This Row],[REFERENCE_DESCR1]])</f>
        <v>8</v>
      </c>
    </row>
    <row r="1026" spans="1:10" hidden="1">
      <c r="A1026" t="s">
        <v>2547</v>
      </c>
      <c r="B1026" t="s">
        <v>2551</v>
      </c>
      <c r="C1026" t="s">
        <v>2552</v>
      </c>
      <c r="D1026" t="s">
        <v>2553</v>
      </c>
      <c r="J1026">
        <f>LEN(Table13[[#This Row],[REFERENCE_DESCR1]])</f>
        <v>13</v>
      </c>
    </row>
    <row r="1027" spans="1:10" hidden="1">
      <c r="A1027" t="s">
        <v>2547</v>
      </c>
      <c r="B1027" t="s">
        <v>2554</v>
      </c>
      <c r="C1027" t="s">
        <v>2555</v>
      </c>
      <c r="D1027" t="s">
        <v>2556</v>
      </c>
      <c r="J1027">
        <f>LEN(Table13[[#This Row],[REFERENCE_DESCR1]])</f>
        <v>31</v>
      </c>
    </row>
    <row r="1028" spans="1:10" hidden="1">
      <c r="A1028" t="s">
        <v>2547</v>
      </c>
      <c r="B1028" t="s">
        <v>2557</v>
      </c>
      <c r="C1028" t="s">
        <v>2558</v>
      </c>
      <c r="D1028" t="s">
        <v>2559</v>
      </c>
      <c r="J1028">
        <f>LEN(Table13[[#This Row],[REFERENCE_DESCR1]])</f>
        <v>12</v>
      </c>
    </row>
    <row r="1029" spans="1:10" hidden="1">
      <c r="A1029" t="s">
        <v>2547</v>
      </c>
      <c r="B1029" t="s">
        <v>1824</v>
      </c>
      <c r="C1029" t="s">
        <v>2560</v>
      </c>
      <c r="D1029" t="s">
        <v>2561</v>
      </c>
      <c r="J1029">
        <f>LEN(Table13[[#This Row],[REFERENCE_DESCR1]])</f>
        <v>13</v>
      </c>
    </row>
    <row r="1030" spans="1:10" hidden="1">
      <c r="A1030" t="s">
        <v>2547</v>
      </c>
      <c r="B1030" t="s">
        <v>2562</v>
      </c>
      <c r="C1030" t="s">
        <v>2563</v>
      </c>
      <c r="D1030" t="s">
        <v>2564</v>
      </c>
      <c r="J1030">
        <f>LEN(Table13[[#This Row],[REFERENCE_DESCR1]])</f>
        <v>15</v>
      </c>
    </row>
    <row r="1031" spans="1:10" hidden="1">
      <c r="A1031" t="s">
        <v>2547</v>
      </c>
      <c r="B1031" t="s">
        <v>2565</v>
      </c>
      <c r="C1031" t="s">
        <v>2566</v>
      </c>
      <c r="D1031" t="s">
        <v>2567</v>
      </c>
      <c r="J1031">
        <f>LEN(Table13[[#This Row],[REFERENCE_DESCR1]])</f>
        <v>19</v>
      </c>
    </row>
    <row r="1032" spans="1:10" hidden="1">
      <c r="A1032" t="s">
        <v>2547</v>
      </c>
      <c r="B1032" t="s">
        <v>2568</v>
      </c>
      <c r="C1032" t="s">
        <v>2569</v>
      </c>
      <c r="D1032" t="s">
        <v>2570</v>
      </c>
      <c r="J1032">
        <f>LEN(Table13[[#This Row],[REFERENCE_DESCR1]])</f>
        <v>32</v>
      </c>
    </row>
    <row r="1033" spans="1:10" hidden="1">
      <c r="A1033" t="s">
        <v>2547</v>
      </c>
      <c r="B1033" t="s">
        <v>2571</v>
      </c>
      <c r="C1033" t="s">
        <v>2572</v>
      </c>
      <c r="D1033" t="s">
        <v>2573</v>
      </c>
      <c r="J1033">
        <f>LEN(Table13[[#This Row],[REFERENCE_DESCR1]])</f>
        <v>15</v>
      </c>
    </row>
    <row r="1034" spans="1:10" hidden="1">
      <c r="A1034" t="s">
        <v>2547</v>
      </c>
      <c r="B1034" t="s">
        <v>2574</v>
      </c>
      <c r="C1034" t="s">
        <v>2575</v>
      </c>
      <c r="D1034" t="s">
        <v>2576</v>
      </c>
      <c r="J1034">
        <f>LEN(Table13[[#This Row],[REFERENCE_DESCR1]])</f>
        <v>25</v>
      </c>
    </row>
    <row r="1035" spans="1:10" hidden="1">
      <c r="A1035" t="s">
        <v>2547</v>
      </c>
      <c r="B1035" t="s">
        <v>2577</v>
      </c>
      <c r="C1035" t="s">
        <v>2578</v>
      </c>
      <c r="D1035" t="s">
        <v>2579</v>
      </c>
      <c r="J1035">
        <f>LEN(Table13[[#This Row],[REFERENCE_DESCR1]])</f>
        <v>13</v>
      </c>
    </row>
    <row r="1036" spans="1:10" hidden="1">
      <c r="A1036" t="s">
        <v>2547</v>
      </c>
      <c r="B1036" t="s">
        <v>2580</v>
      </c>
      <c r="C1036" t="s">
        <v>2581</v>
      </c>
      <c r="D1036" t="s">
        <v>2582</v>
      </c>
      <c r="J1036">
        <f>LEN(Table13[[#This Row],[REFERENCE_DESCR1]])</f>
        <v>20</v>
      </c>
    </row>
    <row r="1037" spans="1:10" hidden="1">
      <c r="A1037" t="s">
        <v>2547</v>
      </c>
      <c r="B1037" t="s">
        <v>2583</v>
      </c>
      <c r="C1037" t="s">
        <v>2584</v>
      </c>
      <c r="D1037" t="s">
        <v>2585</v>
      </c>
      <c r="J1037">
        <f>LEN(Table13[[#This Row],[REFERENCE_DESCR1]])</f>
        <v>11</v>
      </c>
    </row>
    <row r="1038" spans="1:10" hidden="1">
      <c r="A1038" t="s">
        <v>2547</v>
      </c>
      <c r="B1038" t="s">
        <v>2586</v>
      </c>
      <c r="C1038" t="s">
        <v>2587</v>
      </c>
      <c r="D1038" t="s">
        <v>2588</v>
      </c>
      <c r="J1038">
        <f>LEN(Table13[[#This Row],[REFERENCE_DESCR1]])</f>
        <v>15</v>
      </c>
    </row>
    <row r="1039" spans="1:10" hidden="1">
      <c r="A1039" t="s">
        <v>2547</v>
      </c>
      <c r="B1039" t="s">
        <v>2589</v>
      </c>
      <c r="C1039" t="s">
        <v>2590</v>
      </c>
      <c r="D1039" t="s">
        <v>2591</v>
      </c>
      <c r="J1039">
        <f>LEN(Table13[[#This Row],[REFERENCE_DESCR1]])</f>
        <v>12</v>
      </c>
    </row>
    <row r="1040" spans="1:10" hidden="1">
      <c r="A1040" t="s">
        <v>2547</v>
      </c>
      <c r="B1040" t="s">
        <v>2592</v>
      </c>
      <c r="C1040" t="s">
        <v>2593</v>
      </c>
      <c r="D1040" t="s">
        <v>2594</v>
      </c>
      <c r="J1040">
        <f>LEN(Table13[[#This Row],[REFERENCE_DESCR1]])</f>
        <v>5</v>
      </c>
    </row>
    <row r="1041" spans="1:10" hidden="1">
      <c r="A1041" t="s">
        <v>2547</v>
      </c>
      <c r="B1041" t="s">
        <v>2595</v>
      </c>
      <c r="C1041" t="s">
        <v>2596</v>
      </c>
      <c r="D1041" t="s">
        <v>2597</v>
      </c>
      <c r="J1041">
        <f>LEN(Table13[[#This Row],[REFERENCE_DESCR1]])</f>
        <v>20</v>
      </c>
    </row>
    <row r="1042" spans="1:10" hidden="1">
      <c r="A1042" t="s">
        <v>2547</v>
      </c>
      <c r="B1042" t="s">
        <v>2598</v>
      </c>
      <c r="C1042" t="s">
        <v>2599</v>
      </c>
      <c r="D1042" t="s">
        <v>2600</v>
      </c>
      <c r="J1042">
        <f>LEN(Table13[[#This Row],[REFERENCE_DESCR1]])</f>
        <v>22</v>
      </c>
    </row>
    <row r="1043" spans="1:10" hidden="1">
      <c r="A1043" t="s">
        <v>2547</v>
      </c>
      <c r="B1043" t="s">
        <v>2601</v>
      </c>
      <c r="C1043" t="s">
        <v>2602</v>
      </c>
      <c r="D1043" t="s">
        <v>2603</v>
      </c>
      <c r="J1043">
        <f>LEN(Table13[[#This Row],[REFERENCE_DESCR1]])</f>
        <v>35</v>
      </c>
    </row>
    <row r="1044" spans="1:10" hidden="1">
      <c r="A1044" t="s">
        <v>2547</v>
      </c>
      <c r="B1044" t="s">
        <v>2604</v>
      </c>
      <c r="C1044" t="s">
        <v>2605</v>
      </c>
      <c r="D1044" t="s">
        <v>2606</v>
      </c>
      <c r="J1044">
        <f>LEN(Table13[[#This Row],[REFERENCE_DESCR1]])</f>
        <v>12</v>
      </c>
    </row>
    <row r="1045" spans="1:10" hidden="1">
      <c r="A1045" t="s">
        <v>2547</v>
      </c>
      <c r="B1045" t="s">
        <v>2607</v>
      </c>
      <c r="C1045" t="s">
        <v>2608</v>
      </c>
      <c r="D1045" t="s">
        <v>2609</v>
      </c>
      <c r="J1045">
        <f>LEN(Table13[[#This Row],[REFERENCE_DESCR1]])</f>
        <v>51</v>
      </c>
    </row>
    <row r="1046" spans="1:10" hidden="1">
      <c r="A1046" t="s">
        <v>2547</v>
      </c>
      <c r="B1046" t="s">
        <v>2610</v>
      </c>
      <c r="C1046" t="s">
        <v>2611</v>
      </c>
      <c r="D1046" t="s">
        <v>2612</v>
      </c>
      <c r="J1046">
        <f>LEN(Table13[[#This Row],[REFERENCE_DESCR1]])</f>
        <v>30</v>
      </c>
    </row>
    <row r="1047" spans="1:10" hidden="1">
      <c r="A1047" t="s">
        <v>2547</v>
      </c>
      <c r="B1047" t="s">
        <v>2613</v>
      </c>
      <c r="C1047" t="s">
        <v>2614</v>
      </c>
      <c r="D1047" t="s">
        <v>2615</v>
      </c>
      <c r="J1047">
        <f>LEN(Table13[[#This Row],[REFERENCE_DESCR1]])</f>
        <v>22</v>
      </c>
    </row>
    <row r="1048" spans="1:10" hidden="1">
      <c r="A1048" t="s">
        <v>2547</v>
      </c>
      <c r="B1048" t="s">
        <v>2616</v>
      </c>
      <c r="C1048" t="s">
        <v>2617</v>
      </c>
      <c r="D1048" t="s">
        <v>2618</v>
      </c>
      <c r="J1048">
        <f>LEN(Table13[[#This Row],[REFERENCE_DESCR1]])</f>
        <v>12</v>
      </c>
    </row>
    <row r="1049" spans="1:10" hidden="1">
      <c r="A1049" t="s">
        <v>2547</v>
      </c>
      <c r="B1049" t="s">
        <v>2619</v>
      </c>
      <c r="C1049" t="s">
        <v>2620</v>
      </c>
      <c r="D1049" t="s">
        <v>2621</v>
      </c>
      <c r="J1049">
        <f>LEN(Table13[[#This Row],[REFERENCE_DESCR1]])</f>
        <v>18</v>
      </c>
    </row>
    <row r="1050" spans="1:10" hidden="1">
      <c r="A1050" t="s">
        <v>2547</v>
      </c>
      <c r="B1050" t="s">
        <v>2622</v>
      </c>
      <c r="C1050" t="s">
        <v>2623</v>
      </c>
      <c r="D1050" t="s">
        <v>2624</v>
      </c>
      <c r="J1050">
        <f>LEN(Table13[[#This Row],[REFERENCE_DESCR1]])</f>
        <v>20</v>
      </c>
    </row>
    <row r="1051" spans="1:10" hidden="1">
      <c r="A1051" t="s">
        <v>2173</v>
      </c>
      <c r="B1051" t="s">
        <v>1363</v>
      </c>
      <c r="C1051" t="s">
        <v>2625</v>
      </c>
      <c r="J1051">
        <f>LEN(Table13[[#This Row],[REFERENCE_DESCR1]])</f>
        <v>16</v>
      </c>
    </row>
    <row r="1052" spans="1:10" hidden="1">
      <c r="A1052" t="s">
        <v>2626</v>
      </c>
      <c r="B1052" t="s">
        <v>2627</v>
      </c>
      <c r="C1052" t="s">
        <v>2628</v>
      </c>
      <c r="J1052">
        <f>LEN(Table13[[#This Row],[REFERENCE_DESCR1]])</f>
        <v>4</v>
      </c>
    </row>
    <row r="1053" spans="1:10" hidden="1">
      <c r="A1053" t="s">
        <v>2626</v>
      </c>
      <c r="B1053" t="s">
        <v>2629</v>
      </c>
      <c r="C1053" t="s">
        <v>2630</v>
      </c>
      <c r="J1053">
        <f>LEN(Table13[[#This Row],[REFERENCE_DESCR1]])</f>
        <v>7</v>
      </c>
    </row>
    <row r="1054" spans="1:10" hidden="1">
      <c r="A1054" t="s">
        <v>2626</v>
      </c>
      <c r="B1054" t="s">
        <v>2631</v>
      </c>
      <c r="C1054" t="s">
        <v>2632</v>
      </c>
      <c r="J1054">
        <f>LEN(Table13[[#This Row],[REFERENCE_DESCR1]])</f>
        <v>30</v>
      </c>
    </row>
    <row r="1055" spans="1:10" hidden="1">
      <c r="A1055" t="s">
        <v>2626</v>
      </c>
      <c r="B1055" t="s">
        <v>2633</v>
      </c>
      <c r="C1055" t="s">
        <v>2634</v>
      </c>
      <c r="J1055">
        <f>LEN(Table13[[#This Row],[REFERENCE_DESCR1]])</f>
        <v>19</v>
      </c>
    </row>
    <row r="1056" spans="1:10" hidden="1">
      <c r="A1056" t="s">
        <v>2626</v>
      </c>
      <c r="B1056" t="s">
        <v>2635</v>
      </c>
      <c r="C1056" t="s">
        <v>2636</v>
      </c>
      <c r="J1056">
        <f>LEN(Table13[[#This Row],[REFERENCE_DESCR1]])</f>
        <v>10</v>
      </c>
    </row>
    <row r="1057" spans="1:10" hidden="1">
      <c r="A1057" t="s">
        <v>2626</v>
      </c>
      <c r="B1057" t="s">
        <v>2637</v>
      </c>
      <c r="C1057" t="s">
        <v>2638</v>
      </c>
      <c r="J1057">
        <f>LEN(Table13[[#This Row],[REFERENCE_DESCR1]])</f>
        <v>15</v>
      </c>
    </row>
    <row r="1058" spans="1:10" hidden="1">
      <c r="A1058" t="s">
        <v>2626</v>
      </c>
      <c r="B1058" t="s">
        <v>2639</v>
      </c>
      <c r="C1058" t="s">
        <v>2640</v>
      </c>
      <c r="J1058">
        <f>LEN(Table13[[#This Row],[REFERENCE_DESCR1]])</f>
        <v>12</v>
      </c>
    </row>
    <row r="1059" spans="1:10" hidden="1">
      <c r="A1059" t="s">
        <v>2626</v>
      </c>
      <c r="B1059" t="s">
        <v>2641</v>
      </c>
      <c r="C1059" t="s">
        <v>2642</v>
      </c>
      <c r="J1059">
        <f>LEN(Table13[[#This Row],[REFERENCE_DESCR1]])</f>
        <v>24</v>
      </c>
    </row>
    <row r="1060" spans="1:10" hidden="1">
      <c r="A1060" t="s">
        <v>2626</v>
      </c>
      <c r="B1060" t="s">
        <v>2643</v>
      </c>
      <c r="C1060" t="s">
        <v>2644</v>
      </c>
      <c r="J1060">
        <f>LEN(Table13[[#This Row],[REFERENCE_DESCR1]])</f>
        <v>16</v>
      </c>
    </row>
    <row r="1061" spans="1:10" hidden="1">
      <c r="A1061" t="s">
        <v>2626</v>
      </c>
      <c r="B1061" t="s">
        <v>1231</v>
      </c>
      <c r="C1061" t="s">
        <v>2645</v>
      </c>
      <c r="J1061">
        <f>LEN(Table13[[#This Row],[REFERENCE_DESCR1]])</f>
        <v>22</v>
      </c>
    </row>
    <row r="1062" spans="1:10" hidden="1">
      <c r="A1062" t="s">
        <v>2626</v>
      </c>
      <c r="B1062" t="s">
        <v>2646</v>
      </c>
      <c r="C1062" t="s">
        <v>2647</v>
      </c>
      <c r="J1062">
        <f>LEN(Table13[[#This Row],[REFERENCE_DESCR1]])</f>
        <v>19</v>
      </c>
    </row>
    <row r="1063" spans="1:10" hidden="1">
      <c r="A1063" t="s">
        <v>2626</v>
      </c>
      <c r="B1063" t="s">
        <v>2648</v>
      </c>
      <c r="C1063" t="s">
        <v>2649</v>
      </c>
      <c r="J1063">
        <f>LEN(Table13[[#This Row],[REFERENCE_DESCR1]])</f>
        <v>5</v>
      </c>
    </row>
    <row r="1064" spans="1:10" hidden="1">
      <c r="A1064" t="s">
        <v>2626</v>
      </c>
      <c r="B1064" t="s">
        <v>2650</v>
      </c>
      <c r="C1064" t="s">
        <v>2651</v>
      </c>
      <c r="J1064">
        <f>LEN(Table13[[#This Row],[REFERENCE_DESCR1]])</f>
        <v>36</v>
      </c>
    </row>
    <row r="1065" spans="1:10" hidden="1">
      <c r="A1065" t="s">
        <v>2626</v>
      </c>
      <c r="B1065" t="s">
        <v>2652</v>
      </c>
      <c r="C1065" t="s">
        <v>2653</v>
      </c>
      <c r="J1065">
        <f>LEN(Table13[[#This Row],[REFERENCE_DESCR1]])</f>
        <v>33</v>
      </c>
    </row>
    <row r="1066" spans="1:10" hidden="1">
      <c r="A1066" t="s">
        <v>2626</v>
      </c>
      <c r="B1066" t="s">
        <v>2654</v>
      </c>
      <c r="C1066" t="s">
        <v>2655</v>
      </c>
      <c r="J1066">
        <f>LEN(Table13[[#This Row],[REFERENCE_DESCR1]])</f>
        <v>13</v>
      </c>
    </row>
    <row r="1067" spans="1:10" hidden="1">
      <c r="A1067" t="s">
        <v>2626</v>
      </c>
      <c r="B1067" t="s">
        <v>2656</v>
      </c>
      <c r="C1067" t="s">
        <v>2657</v>
      </c>
      <c r="J1067">
        <f>LEN(Table13[[#This Row],[REFERENCE_DESCR1]])</f>
        <v>21</v>
      </c>
    </row>
    <row r="1068" spans="1:10" hidden="1">
      <c r="A1068" t="s">
        <v>2626</v>
      </c>
      <c r="B1068" t="s">
        <v>2658</v>
      </c>
      <c r="C1068" t="s">
        <v>2659</v>
      </c>
      <c r="J1068">
        <f>LEN(Table13[[#This Row],[REFERENCE_DESCR1]])</f>
        <v>4</v>
      </c>
    </row>
    <row r="1069" spans="1:10" hidden="1">
      <c r="A1069" t="s">
        <v>2626</v>
      </c>
      <c r="B1069" t="s">
        <v>2660</v>
      </c>
      <c r="C1069" t="s">
        <v>1305</v>
      </c>
      <c r="J1069">
        <f>LEN(Table13[[#This Row],[REFERENCE_DESCR1]])</f>
        <v>9</v>
      </c>
    </row>
    <row r="1070" spans="1:10" hidden="1">
      <c r="A1070" t="s">
        <v>2626</v>
      </c>
      <c r="B1070" t="s">
        <v>2661</v>
      </c>
      <c r="C1070" t="s">
        <v>2662</v>
      </c>
      <c r="J1070">
        <f>LEN(Table13[[#This Row],[REFERENCE_DESCR1]])</f>
        <v>28</v>
      </c>
    </row>
    <row r="1071" spans="1:10" hidden="1">
      <c r="A1071" t="s">
        <v>2626</v>
      </c>
      <c r="B1071" t="s">
        <v>2663</v>
      </c>
      <c r="C1071" t="s">
        <v>2664</v>
      </c>
      <c r="J1071">
        <f>LEN(Table13[[#This Row],[REFERENCE_DESCR1]])</f>
        <v>19</v>
      </c>
    </row>
    <row r="1072" spans="1:10" hidden="1">
      <c r="A1072" t="s">
        <v>2626</v>
      </c>
      <c r="B1072" t="s">
        <v>2665</v>
      </c>
      <c r="C1072" t="s">
        <v>2666</v>
      </c>
      <c r="J1072">
        <f>LEN(Table13[[#This Row],[REFERENCE_DESCR1]])</f>
        <v>21</v>
      </c>
    </row>
    <row r="1073" spans="1:10" hidden="1">
      <c r="A1073" t="s">
        <v>2626</v>
      </c>
      <c r="B1073" t="s">
        <v>2667</v>
      </c>
      <c r="C1073" t="s">
        <v>2668</v>
      </c>
      <c r="J1073">
        <f>LEN(Table13[[#This Row],[REFERENCE_DESCR1]])</f>
        <v>13</v>
      </c>
    </row>
    <row r="1074" spans="1:10" hidden="1">
      <c r="A1074" t="s">
        <v>2626</v>
      </c>
      <c r="B1074" t="s">
        <v>2669</v>
      </c>
      <c r="C1074" t="s">
        <v>2670</v>
      </c>
      <c r="J1074">
        <f>LEN(Table13[[#This Row],[REFERENCE_DESCR1]])</f>
        <v>10</v>
      </c>
    </row>
    <row r="1075" spans="1:10" hidden="1">
      <c r="A1075" t="s">
        <v>2626</v>
      </c>
      <c r="B1075" t="s">
        <v>2671</v>
      </c>
      <c r="C1075" t="s">
        <v>2672</v>
      </c>
      <c r="J1075">
        <f>LEN(Table13[[#This Row],[REFERENCE_DESCR1]])</f>
        <v>16</v>
      </c>
    </row>
    <row r="1076" spans="1:10" hidden="1">
      <c r="A1076" t="s">
        <v>2626</v>
      </c>
      <c r="B1076" t="s">
        <v>2673</v>
      </c>
      <c r="C1076" t="s">
        <v>2674</v>
      </c>
      <c r="J1076">
        <f>LEN(Table13[[#This Row],[REFERENCE_DESCR1]])</f>
        <v>29</v>
      </c>
    </row>
    <row r="1077" spans="1:10" hidden="1">
      <c r="A1077" t="s">
        <v>2626</v>
      </c>
      <c r="B1077" t="s">
        <v>2675</v>
      </c>
      <c r="C1077" t="s">
        <v>2676</v>
      </c>
      <c r="J1077">
        <f>LEN(Table13[[#This Row],[REFERENCE_DESCR1]])</f>
        <v>13</v>
      </c>
    </row>
    <row r="1078" spans="1:10" hidden="1">
      <c r="A1078" t="s">
        <v>2626</v>
      </c>
      <c r="B1078" t="s">
        <v>2677</v>
      </c>
      <c r="C1078" t="s">
        <v>2678</v>
      </c>
      <c r="J1078">
        <f>LEN(Table13[[#This Row],[REFERENCE_DESCR1]])</f>
        <v>5</v>
      </c>
    </row>
    <row r="1079" spans="1:10" hidden="1">
      <c r="A1079" t="s">
        <v>2626</v>
      </c>
      <c r="B1079" t="s">
        <v>2679</v>
      </c>
      <c r="C1079" t="s">
        <v>2680</v>
      </c>
      <c r="J1079">
        <f>LEN(Table13[[#This Row],[REFERENCE_DESCR1]])</f>
        <v>15</v>
      </c>
    </row>
    <row r="1080" spans="1:10" hidden="1">
      <c r="A1080" t="s">
        <v>2626</v>
      </c>
      <c r="B1080" t="s">
        <v>2681</v>
      </c>
      <c r="C1080" t="s">
        <v>2682</v>
      </c>
      <c r="J1080">
        <f>LEN(Table13[[#This Row],[REFERENCE_DESCR1]])</f>
        <v>11</v>
      </c>
    </row>
    <row r="1081" spans="1:10" hidden="1">
      <c r="A1081" t="s">
        <v>2683</v>
      </c>
      <c r="B1081" t="s">
        <v>1148</v>
      </c>
      <c r="C1081" t="s">
        <v>1430</v>
      </c>
      <c r="J1081">
        <f>LEN(Table13[[#This Row],[REFERENCE_DESCR1]])</f>
        <v>5</v>
      </c>
    </row>
    <row r="1082" spans="1:10" hidden="1">
      <c r="A1082" t="s">
        <v>2683</v>
      </c>
      <c r="B1082" t="s">
        <v>1150</v>
      </c>
      <c r="C1082" t="s">
        <v>2684</v>
      </c>
      <c r="J1082">
        <f>LEN(Table13[[#This Row],[REFERENCE_DESCR1]])</f>
        <v>19</v>
      </c>
    </row>
    <row r="1083" spans="1:10" hidden="1">
      <c r="A1083" t="s">
        <v>2683</v>
      </c>
      <c r="B1083" t="s">
        <v>1237</v>
      </c>
      <c r="C1083" t="s">
        <v>2685</v>
      </c>
      <c r="J1083">
        <f>LEN(Table13[[#This Row],[REFERENCE_DESCR1]])</f>
        <v>24</v>
      </c>
    </row>
    <row r="1084" spans="1:10" hidden="1">
      <c r="A1084" t="s">
        <v>2683</v>
      </c>
      <c r="B1084" t="s">
        <v>1369</v>
      </c>
      <c r="C1084" t="s">
        <v>2686</v>
      </c>
      <c r="J1084">
        <f>LEN(Table13[[#This Row],[REFERENCE_DESCR1]])</f>
        <v>33</v>
      </c>
    </row>
    <row r="1085" spans="1:10" hidden="1">
      <c r="A1085" t="s">
        <v>2683</v>
      </c>
      <c r="B1085" t="s">
        <v>1152</v>
      </c>
      <c r="C1085" t="s">
        <v>1436</v>
      </c>
      <c r="J1085">
        <f>LEN(Table13[[#This Row],[REFERENCE_DESCR1]])</f>
        <v>7</v>
      </c>
    </row>
    <row r="1086" spans="1:10" hidden="1">
      <c r="A1086" t="s">
        <v>2683</v>
      </c>
      <c r="B1086" t="s">
        <v>1363</v>
      </c>
      <c r="C1086" t="s">
        <v>2687</v>
      </c>
      <c r="J1086">
        <f>LEN(Table13[[#This Row],[REFERENCE_DESCR1]])</f>
        <v>34</v>
      </c>
    </row>
    <row r="1087" spans="1:10" hidden="1">
      <c r="A1087" t="s">
        <v>2683</v>
      </c>
      <c r="B1087" t="s">
        <v>1438</v>
      </c>
      <c r="C1087" t="s">
        <v>1439</v>
      </c>
      <c r="J1087">
        <f>LEN(Table13[[#This Row],[REFERENCE_DESCR1]])</f>
        <v>20</v>
      </c>
    </row>
    <row r="1088" spans="1:10" hidden="1">
      <c r="A1088" t="s">
        <v>2683</v>
      </c>
      <c r="B1088" t="s">
        <v>1154</v>
      </c>
      <c r="C1088" t="s">
        <v>2329</v>
      </c>
      <c r="J1088">
        <f>LEN(Table13[[#This Row],[REFERENCE_DESCR1]])</f>
        <v>5</v>
      </c>
    </row>
    <row r="1089" spans="1:10" hidden="1">
      <c r="A1089" t="s">
        <v>2683</v>
      </c>
      <c r="B1089" t="s">
        <v>1156</v>
      </c>
      <c r="C1089" t="s">
        <v>1442</v>
      </c>
      <c r="J1089">
        <f>LEN(Table13[[#This Row],[REFERENCE_DESCR1]])</f>
        <v>6</v>
      </c>
    </row>
    <row r="1090" spans="1:10" hidden="1">
      <c r="A1090" t="s">
        <v>2683</v>
      </c>
      <c r="B1090" t="s">
        <v>1381</v>
      </c>
      <c r="C1090" t="s">
        <v>2688</v>
      </c>
      <c r="J1090">
        <f>LEN(Table13[[#This Row],[REFERENCE_DESCR1]])</f>
        <v>40</v>
      </c>
    </row>
    <row r="1091" spans="1:10" hidden="1">
      <c r="A1091" t="s">
        <v>2689</v>
      </c>
      <c r="B1091">
        <v>1</v>
      </c>
      <c r="C1091" t="s">
        <v>2690</v>
      </c>
      <c r="J1091">
        <f>LEN(Table13[[#This Row],[REFERENCE_DESCR1]])</f>
        <v>6</v>
      </c>
    </row>
    <row r="1092" spans="1:10" hidden="1">
      <c r="A1092" t="s">
        <v>2689</v>
      </c>
      <c r="B1092">
        <v>2</v>
      </c>
      <c r="C1092" t="s">
        <v>2691</v>
      </c>
      <c r="J1092">
        <f>LEN(Table13[[#This Row],[REFERENCE_DESCR1]])</f>
        <v>6</v>
      </c>
    </row>
    <row r="1093" spans="1:10" hidden="1">
      <c r="A1093" t="s">
        <v>2689</v>
      </c>
      <c r="B1093">
        <v>3</v>
      </c>
      <c r="C1093" t="s">
        <v>2692</v>
      </c>
      <c r="J1093">
        <f>LEN(Table13[[#This Row],[REFERENCE_DESCR1]])</f>
        <v>7</v>
      </c>
    </row>
    <row r="1094" spans="1:10" hidden="1">
      <c r="A1094" t="s">
        <v>2689</v>
      </c>
      <c r="B1094">
        <v>4</v>
      </c>
      <c r="C1094" t="s">
        <v>2693</v>
      </c>
      <c r="J1094">
        <f>LEN(Table13[[#This Row],[REFERENCE_DESCR1]])</f>
        <v>7</v>
      </c>
    </row>
    <row r="1095" spans="1:10" hidden="1">
      <c r="A1095" t="s">
        <v>2689</v>
      </c>
      <c r="B1095">
        <v>5</v>
      </c>
      <c r="C1095" t="s">
        <v>2694</v>
      </c>
      <c r="J1095">
        <f>LEN(Table13[[#This Row],[REFERENCE_DESCR1]])</f>
        <v>9</v>
      </c>
    </row>
    <row r="1096" spans="1:10" hidden="1">
      <c r="A1096" t="s">
        <v>2689</v>
      </c>
      <c r="B1096">
        <v>6</v>
      </c>
      <c r="C1096" t="s">
        <v>2695</v>
      </c>
      <c r="J1096">
        <f>LEN(Table13[[#This Row],[REFERENCE_DESCR1]])</f>
        <v>6</v>
      </c>
    </row>
    <row r="1097" spans="1:10" hidden="1">
      <c r="A1097" t="s">
        <v>2689</v>
      </c>
      <c r="B1097">
        <v>7</v>
      </c>
      <c r="C1097" t="s">
        <v>2696</v>
      </c>
      <c r="J1097">
        <f>LEN(Table13[[#This Row],[REFERENCE_DESCR1]])</f>
        <v>8</v>
      </c>
    </row>
    <row r="1098" spans="1:10" hidden="1">
      <c r="A1098" t="s">
        <v>2689</v>
      </c>
      <c r="B1098">
        <v>8</v>
      </c>
      <c r="C1098" t="s">
        <v>2697</v>
      </c>
      <c r="J1098">
        <f>LEN(Table13[[#This Row],[REFERENCE_DESCR1]])</f>
        <v>14</v>
      </c>
    </row>
    <row r="1099" spans="1:10" hidden="1">
      <c r="A1099" t="s">
        <v>2689</v>
      </c>
      <c r="B1099">
        <v>9</v>
      </c>
      <c r="C1099" t="s">
        <v>2698</v>
      </c>
      <c r="J1099">
        <f>LEN(Table13[[#This Row],[REFERENCE_DESCR1]])</f>
        <v>4</v>
      </c>
    </row>
    <row r="1100" spans="1:10" hidden="1">
      <c r="A1100" t="s">
        <v>2689</v>
      </c>
      <c r="B1100">
        <v>10</v>
      </c>
      <c r="C1100" t="s">
        <v>2699</v>
      </c>
      <c r="J1100">
        <f>LEN(Table13[[#This Row],[REFERENCE_DESCR1]])</f>
        <v>9</v>
      </c>
    </row>
    <row r="1101" spans="1:10" hidden="1">
      <c r="A1101" t="s">
        <v>2689</v>
      </c>
      <c r="B1101">
        <v>11</v>
      </c>
      <c r="C1101" t="s">
        <v>2700</v>
      </c>
      <c r="J1101">
        <f>LEN(Table13[[#This Row],[REFERENCE_DESCR1]])</f>
        <v>14</v>
      </c>
    </row>
    <row r="1102" spans="1:10" hidden="1">
      <c r="A1102" t="s">
        <v>2689</v>
      </c>
      <c r="B1102">
        <v>12</v>
      </c>
      <c r="C1102" t="s">
        <v>2701</v>
      </c>
      <c r="J1102">
        <f>LEN(Table13[[#This Row],[REFERENCE_DESCR1]])</f>
        <v>11</v>
      </c>
    </row>
    <row r="1103" spans="1:10" hidden="1">
      <c r="A1103" t="s">
        <v>2689</v>
      </c>
      <c r="B1103">
        <v>13</v>
      </c>
      <c r="C1103" t="s">
        <v>2702</v>
      </c>
      <c r="J1103">
        <f>LEN(Table13[[#This Row],[REFERENCE_DESCR1]])</f>
        <v>10</v>
      </c>
    </row>
    <row r="1104" spans="1:10" hidden="1">
      <c r="A1104" t="s">
        <v>2689</v>
      </c>
      <c r="B1104">
        <v>14</v>
      </c>
      <c r="C1104" t="s">
        <v>2703</v>
      </c>
      <c r="J1104">
        <f>LEN(Table13[[#This Row],[REFERENCE_DESCR1]])</f>
        <v>6</v>
      </c>
    </row>
    <row r="1105" spans="1:10" hidden="1">
      <c r="A1105" t="s">
        <v>2689</v>
      </c>
      <c r="B1105">
        <v>15</v>
      </c>
      <c r="C1105" t="s">
        <v>2704</v>
      </c>
      <c r="J1105">
        <f>LEN(Table13[[#This Row],[REFERENCE_DESCR1]])</f>
        <v>12</v>
      </c>
    </row>
    <row r="1106" spans="1:10" hidden="1">
      <c r="A1106" t="s">
        <v>2689</v>
      </c>
      <c r="B1106">
        <v>16</v>
      </c>
      <c r="C1106" t="s">
        <v>2705</v>
      </c>
      <c r="J1106">
        <f>LEN(Table13[[#This Row],[REFERENCE_DESCR1]])</f>
        <v>10</v>
      </c>
    </row>
    <row r="1107" spans="1:10" hidden="1">
      <c r="A1107" t="s">
        <v>2689</v>
      </c>
      <c r="B1107">
        <v>17</v>
      </c>
      <c r="C1107" t="s">
        <v>2706</v>
      </c>
      <c r="J1107">
        <f>LEN(Table13[[#This Row],[REFERENCE_DESCR1]])</f>
        <v>11</v>
      </c>
    </row>
    <row r="1108" spans="1:10" hidden="1">
      <c r="A1108" t="s">
        <v>2689</v>
      </c>
      <c r="B1108">
        <v>18</v>
      </c>
      <c r="C1108" t="s">
        <v>2707</v>
      </c>
      <c r="J1108">
        <f>LEN(Table13[[#This Row],[REFERENCE_DESCR1]])</f>
        <v>8</v>
      </c>
    </row>
    <row r="1109" spans="1:10" hidden="1">
      <c r="A1109" t="s">
        <v>2689</v>
      </c>
      <c r="B1109">
        <v>19</v>
      </c>
      <c r="C1109" t="s">
        <v>2708</v>
      </c>
      <c r="J1109">
        <f>LEN(Table13[[#This Row],[REFERENCE_DESCR1]])</f>
        <v>11</v>
      </c>
    </row>
    <row r="1110" spans="1:10" hidden="1">
      <c r="A1110" t="s">
        <v>2689</v>
      </c>
      <c r="B1110">
        <v>20</v>
      </c>
      <c r="C1110" t="s">
        <v>2709</v>
      </c>
      <c r="J1110">
        <f>LEN(Table13[[#This Row],[REFERENCE_DESCR1]])</f>
        <v>8</v>
      </c>
    </row>
    <row r="1111" spans="1:10" hidden="1">
      <c r="A1111" t="s">
        <v>2689</v>
      </c>
      <c r="B1111">
        <v>21</v>
      </c>
      <c r="C1111" t="s">
        <v>2710</v>
      </c>
      <c r="J1111">
        <f>LEN(Table13[[#This Row],[REFERENCE_DESCR1]])</f>
        <v>13</v>
      </c>
    </row>
    <row r="1112" spans="1:10" hidden="1">
      <c r="A1112" t="s">
        <v>2689</v>
      </c>
      <c r="B1112">
        <v>22</v>
      </c>
      <c r="C1112" t="s">
        <v>2711</v>
      </c>
      <c r="J1112">
        <f>LEN(Table13[[#This Row],[REFERENCE_DESCR1]])</f>
        <v>6</v>
      </c>
    </row>
    <row r="1113" spans="1:10" hidden="1">
      <c r="A1113" t="s">
        <v>2689</v>
      </c>
      <c r="B1113">
        <v>23</v>
      </c>
      <c r="C1113" t="s">
        <v>2712</v>
      </c>
      <c r="J1113">
        <f>LEN(Table13[[#This Row],[REFERENCE_DESCR1]])</f>
        <v>8</v>
      </c>
    </row>
    <row r="1114" spans="1:10" hidden="1">
      <c r="A1114" t="s">
        <v>2689</v>
      </c>
      <c r="B1114">
        <v>24</v>
      </c>
      <c r="C1114" t="s">
        <v>2713</v>
      </c>
      <c r="J1114">
        <f>LEN(Table13[[#This Row],[REFERENCE_DESCR1]])</f>
        <v>8</v>
      </c>
    </row>
    <row r="1115" spans="1:10" hidden="1">
      <c r="A1115" t="s">
        <v>2689</v>
      </c>
      <c r="B1115">
        <v>25</v>
      </c>
      <c r="C1115" t="s">
        <v>2714</v>
      </c>
      <c r="J1115">
        <f>LEN(Table13[[#This Row],[REFERENCE_DESCR1]])</f>
        <v>9</v>
      </c>
    </row>
    <row r="1116" spans="1:10" hidden="1">
      <c r="A1116" t="s">
        <v>2689</v>
      </c>
      <c r="B1116">
        <v>26</v>
      </c>
      <c r="C1116" t="s">
        <v>2715</v>
      </c>
      <c r="J1116">
        <f>LEN(Table13[[#This Row],[REFERENCE_DESCR1]])</f>
        <v>5</v>
      </c>
    </row>
    <row r="1117" spans="1:10" hidden="1">
      <c r="A1117" t="s">
        <v>2689</v>
      </c>
      <c r="B1117">
        <v>27</v>
      </c>
      <c r="C1117" t="s">
        <v>2716</v>
      </c>
      <c r="J1117">
        <f>LEN(Table13[[#This Row],[REFERENCE_DESCR1]])</f>
        <v>10</v>
      </c>
    </row>
    <row r="1118" spans="1:10" hidden="1">
      <c r="A1118" t="s">
        <v>2689</v>
      </c>
      <c r="B1118">
        <v>28</v>
      </c>
      <c r="C1118" t="s">
        <v>2717</v>
      </c>
      <c r="J1118">
        <f>LEN(Table13[[#This Row],[REFERENCE_DESCR1]])</f>
        <v>6</v>
      </c>
    </row>
    <row r="1119" spans="1:10" hidden="1">
      <c r="A1119" t="s">
        <v>2689</v>
      </c>
      <c r="B1119">
        <v>29</v>
      </c>
      <c r="C1119" t="s">
        <v>2718</v>
      </c>
      <c r="J1119">
        <f>LEN(Table13[[#This Row],[REFERENCE_DESCR1]])</f>
        <v>9</v>
      </c>
    </row>
    <row r="1120" spans="1:10" hidden="1">
      <c r="A1120" t="s">
        <v>2689</v>
      </c>
      <c r="B1120">
        <v>30</v>
      </c>
      <c r="C1120" t="s">
        <v>2719</v>
      </c>
      <c r="J1120">
        <f>LEN(Table13[[#This Row],[REFERENCE_DESCR1]])</f>
        <v>7</v>
      </c>
    </row>
    <row r="1121" spans="1:10" hidden="1">
      <c r="A1121" t="s">
        <v>2689</v>
      </c>
      <c r="B1121">
        <v>31</v>
      </c>
      <c r="C1121" t="s">
        <v>2720</v>
      </c>
      <c r="J1121">
        <f>LEN(Table13[[#This Row],[REFERENCE_DESCR1]])</f>
        <v>8</v>
      </c>
    </row>
    <row r="1122" spans="1:10" hidden="1">
      <c r="A1122" t="s">
        <v>2689</v>
      </c>
      <c r="B1122">
        <v>32</v>
      </c>
      <c r="C1122" t="s">
        <v>2721</v>
      </c>
      <c r="J1122">
        <f>LEN(Table13[[#This Row],[REFERENCE_DESCR1]])</f>
        <v>9</v>
      </c>
    </row>
    <row r="1123" spans="1:10" hidden="1">
      <c r="A1123" t="s">
        <v>2689</v>
      </c>
      <c r="B1123">
        <v>33</v>
      </c>
      <c r="C1123" t="s">
        <v>2722</v>
      </c>
      <c r="J1123">
        <f>LEN(Table13[[#This Row],[REFERENCE_DESCR1]])</f>
        <v>10</v>
      </c>
    </row>
    <row r="1124" spans="1:10" hidden="1">
      <c r="A1124" t="s">
        <v>2689</v>
      </c>
      <c r="B1124">
        <v>34</v>
      </c>
      <c r="C1124" t="s">
        <v>2723</v>
      </c>
      <c r="J1124">
        <f>LEN(Table13[[#This Row],[REFERENCE_DESCR1]])</f>
        <v>9</v>
      </c>
    </row>
    <row r="1125" spans="1:10" hidden="1">
      <c r="A1125" t="s">
        <v>2689</v>
      </c>
      <c r="B1125">
        <v>35</v>
      </c>
      <c r="C1125" t="s">
        <v>2724</v>
      </c>
      <c r="J1125">
        <f>LEN(Table13[[#This Row],[REFERENCE_DESCR1]])</f>
        <v>7</v>
      </c>
    </row>
    <row r="1126" spans="1:10" hidden="1">
      <c r="A1126" t="s">
        <v>2689</v>
      </c>
      <c r="B1126">
        <v>36</v>
      </c>
      <c r="C1126" t="s">
        <v>2725</v>
      </c>
      <c r="J1126">
        <f>LEN(Table13[[#This Row],[REFERENCE_DESCR1]])</f>
        <v>7</v>
      </c>
    </row>
    <row r="1127" spans="1:10" hidden="1">
      <c r="A1127" t="s">
        <v>2689</v>
      </c>
      <c r="B1127">
        <v>37</v>
      </c>
      <c r="C1127" t="s">
        <v>2726</v>
      </c>
      <c r="J1127">
        <f>LEN(Table13[[#This Row],[REFERENCE_DESCR1]])</f>
        <v>5</v>
      </c>
    </row>
    <row r="1128" spans="1:10" hidden="1">
      <c r="A1128" t="s">
        <v>2689</v>
      </c>
      <c r="B1128">
        <v>38</v>
      </c>
      <c r="C1128" t="s">
        <v>2727</v>
      </c>
      <c r="J1128">
        <f>LEN(Table13[[#This Row],[REFERENCE_DESCR1]])</f>
        <v>5</v>
      </c>
    </row>
    <row r="1129" spans="1:10" hidden="1">
      <c r="A1129" t="s">
        <v>2689</v>
      </c>
      <c r="B1129">
        <v>39</v>
      </c>
      <c r="C1129" t="s">
        <v>2728</v>
      </c>
      <c r="J1129">
        <f>LEN(Table13[[#This Row],[REFERENCE_DESCR1]])</f>
        <v>7</v>
      </c>
    </row>
    <row r="1130" spans="1:10" hidden="1">
      <c r="A1130" t="s">
        <v>2689</v>
      </c>
      <c r="B1130">
        <v>40</v>
      </c>
      <c r="C1130" t="s">
        <v>2729</v>
      </c>
      <c r="J1130">
        <f>LEN(Table13[[#This Row],[REFERENCE_DESCR1]])</f>
        <v>11</v>
      </c>
    </row>
    <row r="1131" spans="1:10" hidden="1">
      <c r="A1131" t="s">
        <v>2689</v>
      </c>
      <c r="B1131">
        <v>41</v>
      </c>
      <c r="C1131" t="s">
        <v>2730</v>
      </c>
      <c r="J1131">
        <f>LEN(Table13[[#This Row],[REFERENCE_DESCR1]])</f>
        <v>14</v>
      </c>
    </row>
    <row r="1132" spans="1:10" hidden="1">
      <c r="A1132" t="s">
        <v>2689</v>
      </c>
      <c r="B1132">
        <v>42</v>
      </c>
      <c r="C1132" t="s">
        <v>2731</v>
      </c>
      <c r="J1132">
        <f>LEN(Table13[[#This Row],[REFERENCE_DESCR1]])</f>
        <v>7</v>
      </c>
    </row>
    <row r="1133" spans="1:10" hidden="1">
      <c r="A1133" t="s">
        <v>2689</v>
      </c>
      <c r="B1133">
        <v>43</v>
      </c>
      <c r="C1133" t="s">
        <v>2732</v>
      </c>
      <c r="J1133">
        <f>LEN(Table13[[#This Row],[REFERENCE_DESCR1]])</f>
        <v>9</v>
      </c>
    </row>
    <row r="1134" spans="1:10" hidden="1">
      <c r="A1134" t="s">
        <v>2689</v>
      </c>
      <c r="B1134">
        <v>44</v>
      </c>
      <c r="C1134" t="s">
        <v>2733</v>
      </c>
      <c r="J1134">
        <f>LEN(Table13[[#This Row],[REFERENCE_DESCR1]])</f>
        <v>7</v>
      </c>
    </row>
    <row r="1135" spans="1:10" hidden="1">
      <c r="A1135" t="s">
        <v>2689</v>
      </c>
      <c r="B1135">
        <v>45</v>
      </c>
      <c r="C1135" t="s">
        <v>2734</v>
      </c>
      <c r="J1135">
        <f>LEN(Table13[[#This Row],[REFERENCE_DESCR1]])</f>
        <v>9</v>
      </c>
    </row>
    <row r="1136" spans="1:10" hidden="1">
      <c r="A1136" t="s">
        <v>2689</v>
      </c>
      <c r="B1136">
        <v>46</v>
      </c>
      <c r="C1136" t="s">
        <v>2735</v>
      </c>
      <c r="J1136">
        <f>LEN(Table13[[#This Row],[REFERENCE_DESCR1]])</f>
        <v>11</v>
      </c>
    </row>
    <row r="1137" spans="1:10" hidden="1">
      <c r="A1137" t="s">
        <v>2689</v>
      </c>
      <c r="B1137">
        <v>47</v>
      </c>
      <c r="C1137" t="s">
        <v>2736</v>
      </c>
      <c r="J1137">
        <f>LEN(Table13[[#This Row],[REFERENCE_DESCR1]])</f>
        <v>16</v>
      </c>
    </row>
    <row r="1138" spans="1:10" hidden="1">
      <c r="A1138" t="s">
        <v>2689</v>
      </c>
      <c r="B1138">
        <v>48</v>
      </c>
      <c r="C1138" t="s">
        <v>2737</v>
      </c>
      <c r="J1138">
        <f>LEN(Table13[[#This Row],[REFERENCE_DESCR1]])</f>
        <v>8</v>
      </c>
    </row>
    <row r="1139" spans="1:10" hidden="1">
      <c r="A1139" t="s">
        <v>2689</v>
      </c>
      <c r="B1139">
        <v>49</v>
      </c>
      <c r="C1139" t="s">
        <v>2738</v>
      </c>
      <c r="J1139">
        <f>LEN(Table13[[#This Row],[REFERENCE_DESCR1]])</f>
        <v>5</v>
      </c>
    </row>
    <row r="1140" spans="1:10" hidden="1">
      <c r="A1140" t="s">
        <v>2689</v>
      </c>
      <c r="B1140">
        <v>50</v>
      </c>
      <c r="C1140" t="s">
        <v>2739</v>
      </c>
      <c r="J1140">
        <f>LEN(Table13[[#This Row],[REFERENCE_DESCR1]])</f>
        <v>8</v>
      </c>
    </row>
    <row r="1141" spans="1:10" hidden="1">
      <c r="A1141" t="s">
        <v>2689</v>
      </c>
      <c r="B1141">
        <v>51</v>
      </c>
      <c r="C1141" t="s">
        <v>2740</v>
      </c>
      <c r="J1141">
        <f>LEN(Table13[[#This Row],[REFERENCE_DESCR1]])</f>
        <v>11</v>
      </c>
    </row>
    <row r="1142" spans="1:10" hidden="1">
      <c r="A1142" t="s">
        <v>2689</v>
      </c>
      <c r="B1142">
        <v>52</v>
      </c>
      <c r="C1142" t="s">
        <v>2741</v>
      </c>
      <c r="J1142">
        <f>LEN(Table13[[#This Row],[REFERENCE_DESCR1]])</f>
        <v>10</v>
      </c>
    </row>
    <row r="1143" spans="1:10" hidden="1">
      <c r="A1143" t="s">
        <v>2689</v>
      </c>
      <c r="B1143">
        <v>53</v>
      </c>
      <c r="C1143" t="s">
        <v>2742</v>
      </c>
      <c r="J1143">
        <f>LEN(Table13[[#This Row],[REFERENCE_DESCR1]])</f>
        <v>7</v>
      </c>
    </row>
    <row r="1144" spans="1:10" hidden="1">
      <c r="A1144" t="s">
        <v>2689</v>
      </c>
      <c r="B1144">
        <v>54</v>
      </c>
      <c r="C1144" t="s">
        <v>2743</v>
      </c>
      <c r="J1144">
        <f>LEN(Table13[[#This Row],[REFERENCE_DESCR1]])</f>
        <v>6</v>
      </c>
    </row>
    <row r="1145" spans="1:10" hidden="1">
      <c r="A1145" t="s">
        <v>2689</v>
      </c>
      <c r="B1145">
        <v>55</v>
      </c>
      <c r="C1145" t="s">
        <v>2744</v>
      </c>
      <c r="J1145">
        <f>LEN(Table13[[#This Row],[REFERENCE_DESCR1]])</f>
        <v>12</v>
      </c>
    </row>
    <row r="1146" spans="1:10" hidden="1">
      <c r="A1146" t="s">
        <v>2689</v>
      </c>
      <c r="B1146">
        <v>56</v>
      </c>
      <c r="C1146" t="s">
        <v>2745</v>
      </c>
      <c r="J1146">
        <f>LEN(Table13[[#This Row],[REFERENCE_DESCR1]])</f>
        <v>6</v>
      </c>
    </row>
    <row r="1147" spans="1:10" hidden="1">
      <c r="A1147" t="s">
        <v>2689</v>
      </c>
      <c r="B1147">
        <v>57</v>
      </c>
      <c r="C1147" t="s">
        <v>2746</v>
      </c>
      <c r="J1147">
        <f>LEN(Table13[[#This Row],[REFERENCE_DESCR1]])</f>
        <v>6</v>
      </c>
    </row>
    <row r="1148" spans="1:10" hidden="1">
      <c r="A1148" t="s">
        <v>2689</v>
      </c>
      <c r="B1148">
        <v>59</v>
      </c>
      <c r="C1148" t="s">
        <v>2747</v>
      </c>
      <c r="J1148">
        <f>LEN(Table13[[#This Row],[REFERENCE_DESCR1]])</f>
        <v>11</v>
      </c>
    </row>
    <row r="1149" spans="1:10" hidden="1">
      <c r="A1149" t="s">
        <v>2689</v>
      </c>
      <c r="B1149">
        <v>60</v>
      </c>
      <c r="C1149" t="s">
        <v>2748</v>
      </c>
      <c r="J1149">
        <f>LEN(Table13[[#This Row],[REFERENCE_DESCR1]])</f>
        <v>9</v>
      </c>
    </row>
    <row r="1150" spans="1:10" hidden="1">
      <c r="A1150" t="s">
        <v>2689</v>
      </c>
      <c r="B1150">
        <v>61</v>
      </c>
      <c r="C1150" t="s">
        <v>2749</v>
      </c>
      <c r="J1150">
        <f>LEN(Table13[[#This Row],[REFERENCE_DESCR1]])</f>
        <v>11</v>
      </c>
    </row>
    <row r="1151" spans="1:10" hidden="1">
      <c r="A1151" t="s">
        <v>2689</v>
      </c>
      <c r="B1151">
        <v>62</v>
      </c>
      <c r="C1151" t="s">
        <v>2750</v>
      </c>
      <c r="J1151">
        <f>LEN(Table13[[#This Row],[REFERENCE_DESCR1]])</f>
        <v>19</v>
      </c>
    </row>
    <row r="1152" spans="1:10" hidden="1">
      <c r="A1152" t="s">
        <v>2689</v>
      </c>
      <c r="B1152">
        <v>63</v>
      </c>
      <c r="C1152" t="s">
        <v>2751</v>
      </c>
      <c r="J1152">
        <f>LEN(Table13[[#This Row],[REFERENCE_DESCR1]])</f>
        <v>6</v>
      </c>
    </row>
    <row r="1153" spans="1:10" hidden="1">
      <c r="A1153" t="s">
        <v>2689</v>
      </c>
      <c r="B1153">
        <v>64</v>
      </c>
      <c r="C1153" t="s">
        <v>2752</v>
      </c>
      <c r="J1153">
        <f>LEN(Table13[[#This Row],[REFERENCE_DESCR1]])</f>
        <v>6</v>
      </c>
    </row>
    <row r="1154" spans="1:10" hidden="1">
      <c r="A1154" t="s">
        <v>2689</v>
      </c>
      <c r="B1154">
        <v>65</v>
      </c>
      <c r="C1154" t="s">
        <v>2753</v>
      </c>
      <c r="J1154">
        <f>LEN(Table13[[#This Row],[REFERENCE_DESCR1]])</f>
        <v>5</v>
      </c>
    </row>
    <row r="1155" spans="1:10" hidden="1">
      <c r="A1155" t="s">
        <v>2689</v>
      </c>
      <c r="B1155">
        <v>66</v>
      </c>
      <c r="C1155" t="s">
        <v>2754</v>
      </c>
      <c r="J1155">
        <f>LEN(Table13[[#This Row],[REFERENCE_DESCR1]])</f>
        <v>10</v>
      </c>
    </row>
    <row r="1156" spans="1:10" hidden="1">
      <c r="A1156" t="s">
        <v>2689</v>
      </c>
      <c r="B1156">
        <v>67</v>
      </c>
      <c r="C1156" t="s">
        <v>2755</v>
      </c>
      <c r="J1156">
        <f>LEN(Table13[[#This Row],[REFERENCE_DESCR1]])</f>
        <v>7</v>
      </c>
    </row>
    <row r="1157" spans="1:10" hidden="1">
      <c r="A1157" t="s">
        <v>2689</v>
      </c>
      <c r="B1157">
        <v>68</v>
      </c>
      <c r="C1157" t="s">
        <v>2756</v>
      </c>
      <c r="J1157">
        <f>LEN(Table13[[#This Row],[REFERENCE_DESCR1]])</f>
        <v>9</v>
      </c>
    </row>
    <row r="1158" spans="1:10" hidden="1">
      <c r="A1158" t="s">
        <v>2689</v>
      </c>
      <c r="B1158">
        <v>69</v>
      </c>
      <c r="C1158" t="s">
        <v>2757</v>
      </c>
      <c r="J1158">
        <f>LEN(Table13[[#This Row],[REFERENCE_DESCR1]])</f>
        <v>14</v>
      </c>
    </row>
    <row r="1159" spans="1:10" hidden="1">
      <c r="A1159" t="s">
        <v>2689</v>
      </c>
      <c r="B1159">
        <v>70</v>
      </c>
      <c r="C1159" t="s">
        <v>2758</v>
      </c>
      <c r="J1159">
        <f>LEN(Table13[[#This Row],[REFERENCE_DESCR1]])</f>
        <v>13</v>
      </c>
    </row>
    <row r="1160" spans="1:10" hidden="1">
      <c r="A1160" t="s">
        <v>2689</v>
      </c>
      <c r="B1160">
        <v>71</v>
      </c>
      <c r="C1160" t="s">
        <v>2759</v>
      </c>
      <c r="J1160">
        <f>LEN(Table13[[#This Row],[REFERENCE_DESCR1]])</f>
        <v>10</v>
      </c>
    </row>
    <row r="1161" spans="1:10" hidden="1">
      <c r="A1161" t="s">
        <v>2689</v>
      </c>
      <c r="B1161">
        <v>72</v>
      </c>
      <c r="C1161" t="s">
        <v>2760</v>
      </c>
      <c r="J1161">
        <f>LEN(Table13[[#This Row],[REFERENCE_DESCR1]])</f>
        <v>8</v>
      </c>
    </row>
    <row r="1162" spans="1:10" hidden="1">
      <c r="A1162" t="s">
        <v>2689</v>
      </c>
      <c r="B1162">
        <v>73</v>
      </c>
      <c r="C1162" t="s">
        <v>2761</v>
      </c>
      <c r="J1162">
        <f>LEN(Table13[[#This Row],[REFERENCE_DESCR1]])</f>
        <v>4</v>
      </c>
    </row>
    <row r="1163" spans="1:10" hidden="1">
      <c r="A1163" t="s">
        <v>2689</v>
      </c>
      <c r="B1163">
        <v>74</v>
      </c>
      <c r="C1163" t="s">
        <v>2762</v>
      </c>
      <c r="J1163">
        <f>LEN(Table13[[#This Row],[REFERENCE_DESCR1]])</f>
        <v>12</v>
      </c>
    </row>
    <row r="1164" spans="1:10" hidden="1">
      <c r="A1164" t="s">
        <v>2689</v>
      </c>
      <c r="B1164">
        <v>75</v>
      </c>
      <c r="C1164" t="s">
        <v>2763</v>
      </c>
      <c r="J1164">
        <f>LEN(Table13[[#This Row],[REFERENCE_DESCR1]])</f>
        <v>8</v>
      </c>
    </row>
    <row r="1165" spans="1:10" hidden="1">
      <c r="A1165" t="s">
        <v>2689</v>
      </c>
      <c r="B1165">
        <v>76</v>
      </c>
      <c r="C1165" t="s">
        <v>2764</v>
      </c>
      <c r="J1165">
        <f>LEN(Table13[[#This Row],[REFERENCE_DESCR1]])</f>
        <v>11</v>
      </c>
    </row>
    <row r="1166" spans="1:10" hidden="1">
      <c r="A1166" t="s">
        <v>2689</v>
      </c>
      <c r="B1166">
        <v>77</v>
      </c>
      <c r="C1166" t="s">
        <v>2765</v>
      </c>
      <c r="J1166">
        <f>LEN(Table13[[#This Row],[REFERENCE_DESCR1]])</f>
        <v>11</v>
      </c>
    </row>
    <row r="1167" spans="1:10" hidden="1">
      <c r="A1167" t="s">
        <v>2689</v>
      </c>
      <c r="B1167">
        <v>78</v>
      </c>
      <c r="C1167" t="s">
        <v>2766</v>
      </c>
      <c r="J1167">
        <f>LEN(Table13[[#This Row],[REFERENCE_DESCR1]])</f>
        <v>7</v>
      </c>
    </row>
    <row r="1168" spans="1:10" hidden="1">
      <c r="A1168" t="s">
        <v>2689</v>
      </c>
      <c r="B1168">
        <v>79</v>
      </c>
      <c r="C1168" t="s">
        <v>2767</v>
      </c>
      <c r="J1168">
        <f>LEN(Table13[[#This Row],[REFERENCE_DESCR1]])</f>
        <v>6</v>
      </c>
    </row>
    <row r="1169" spans="1:10" hidden="1">
      <c r="A1169" t="s">
        <v>2689</v>
      </c>
      <c r="B1169">
        <v>80</v>
      </c>
      <c r="C1169" t="s">
        <v>2768</v>
      </c>
      <c r="J1169">
        <f>LEN(Table13[[#This Row],[REFERENCE_DESCR1]])</f>
        <v>8</v>
      </c>
    </row>
    <row r="1170" spans="1:10" hidden="1">
      <c r="A1170" t="s">
        <v>2689</v>
      </c>
      <c r="B1170">
        <v>81</v>
      </c>
      <c r="C1170" t="s">
        <v>2769</v>
      </c>
      <c r="J1170">
        <f>LEN(Table13[[#This Row],[REFERENCE_DESCR1]])</f>
        <v>8</v>
      </c>
    </row>
    <row r="1171" spans="1:10" hidden="1">
      <c r="A1171" t="s">
        <v>2689</v>
      </c>
      <c r="B1171">
        <v>82</v>
      </c>
      <c r="C1171" t="s">
        <v>2770</v>
      </c>
      <c r="J1171">
        <f>LEN(Table13[[#This Row],[REFERENCE_DESCR1]])</f>
        <v>12</v>
      </c>
    </row>
    <row r="1172" spans="1:10" hidden="1">
      <c r="A1172" t="s">
        <v>2689</v>
      </c>
      <c r="B1172">
        <v>83</v>
      </c>
      <c r="C1172" t="s">
        <v>2771</v>
      </c>
      <c r="J1172">
        <f>LEN(Table13[[#This Row],[REFERENCE_DESCR1]])</f>
        <v>11</v>
      </c>
    </row>
    <row r="1173" spans="1:10" hidden="1">
      <c r="A1173" t="s">
        <v>2689</v>
      </c>
      <c r="B1173">
        <v>84</v>
      </c>
      <c r="C1173" t="s">
        <v>2772</v>
      </c>
      <c r="J1173">
        <f>LEN(Table13[[#This Row],[REFERENCE_DESCR1]])</f>
        <v>5</v>
      </c>
    </row>
    <row r="1174" spans="1:10" hidden="1">
      <c r="A1174" t="s">
        <v>2689</v>
      </c>
      <c r="B1174">
        <v>85</v>
      </c>
      <c r="C1174" t="s">
        <v>2773</v>
      </c>
      <c r="J1174">
        <f>LEN(Table13[[#This Row],[REFERENCE_DESCR1]])</f>
        <v>12</v>
      </c>
    </row>
    <row r="1175" spans="1:10" hidden="1">
      <c r="A1175" t="s">
        <v>2689</v>
      </c>
      <c r="B1175">
        <v>86</v>
      </c>
      <c r="C1175" t="s">
        <v>2774</v>
      </c>
      <c r="J1175">
        <f>LEN(Table13[[#This Row],[REFERENCE_DESCR1]])</f>
        <v>8</v>
      </c>
    </row>
    <row r="1176" spans="1:10" hidden="1">
      <c r="A1176" t="s">
        <v>2689</v>
      </c>
      <c r="B1176">
        <v>87</v>
      </c>
      <c r="C1176" t="s">
        <v>2775</v>
      </c>
      <c r="J1176">
        <f>LEN(Table13[[#This Row],[REFERENCE_DESCR1]])</f>
        <v>11</v>
      </c>
    </row>
    <row r="1177" spans="1:10" hidden="1">
      <c r="A1177" t="s">
        <v>2689</v>
      </c>
      <c r="B1177">
        <v>88</v>
      </c>
      <c r="C1177" t="s">
        <v>2776</v>
      </c>
      <c r="J1177">
        <f>LEN(Table13[[#This Row],[REFERENCE_DESCR1]])</f>
        <v>9</v>
      </c>
    </row>
    <row r="1178" spans="1:10" hidden="1">
      <c r="A1178" t="s">
        <v>2689</v>
      </c>
      <c r="B1178">
        <v>89</v>
      </c>
      <c r="C1178" t="s">
        <v>2777</v>
      </c>
      <c r="J1178">
        <f>LEN(Table13[[#This Row],[REFERENCE_DESCR1]])</f>
        <v>8</v>
      </c>
    </row>
    <row r="1179" spans="1:10" hidden="1">
      <c r="A1179" t="s">
        <v>2689</v>
      </c>
      <c r="B1179">
        <v>90</v>
      </c>
      <c r="C1179" t="s">
        <v>2778</v>
      </c>
      <c r="J1179">
        <f>LEN(Table13[[#This Row],[REFERENCE_DESCR1]])</f>
        <v>10</v>
      </c>
    </row>
    <row r="1180" spans="1:10" hidden="1">
      <c r="A1180" t="s">
        <v>2689</v>
      </c>
      <c r="B1180">
        <v>91</v>
      </c>
      <c r="C1180" t="s">
        <v>2779</v>
      </c>
      <c r="J1180">
        <f>LEN(Table13[[#This Row],[REFERENCE_DESCR1]])</f>
        <v>11</v>
      </c>
    </row>
    <row r="1181" spans="1:10" hidden="1">
      <c r="A1181" t="s">
        <v>2689</v>
      </c>
      <c r="B1181">
        <v>92</v>
      </c>
      <c r="C1181" t="s">
        <v>2780</v>
      </c>
      <c r="J1181">
        <f>LEN(Table13[[#This Row],[REFERENCE_DESCR1]])</f>
        <v>10</v>
      </c>
    </row>
    <row r="1182" spans="1:10" hidden="1">
      <c r="A1182" t="s">
        <v>2689</v>
      </c>
      <c r="B1182">
        <v>93</v>
      </c>
      <c r="C1182" t="s">
        <v>2781</v>
      </c>
      <c r="J1182">
        <f>LEN(Table13[[#This Row],[REFERENCE_DESCR1]])</f>
        <v>5</v>
      </c>
    </row>
    <row r="1183" spans="1:10" hidden="1">
      <c r="A1183" t="s">
        <v>2689</v>
      </c>
      <c r="B1183">
        <v>94</v>
      </c>
      <c r="C1183" t="s">
        <v>2782</v>
      </c>
      <c r="J1183">
        <f>LEN(Table13[[#This Row],[REFERENCE_DESCR1]])</f>
        <v>7</v>
      </c>
    </row>
    <row r="1184" spans="1:10" hidden="1">
      <c r="A1184" t="s">
        <v>2783</v>
      </c>
      <c r="B1184" t="s">
        <v>2784</v>
      </c>
      <c r="C1184" t="s">
        <v>2785</v>
      </c>
      <c r="J1184">
        <f>LEN(Table13[[#This Row],[REFERENCE_DESCR1]])</f>
        <v>10</v>
      </c>
    </row>
    <row r="1185" spans="1:10" hidden="1">
      <c r="A1185" t="s">
        <v>2783</v>
      </c>
      <c r="B1185" t="s">
        <v>2786</v>
      </c>
      <c r="C1185" t="s">
        <v>2787</v>
      </c>
      <c r="J1185">
        <f>LEN(Table13[[#This Row],[REFERENCE_DESCR1]])</f>
        <v>10</v>
      </c>
    </row>
    <row r="1186" spans="1:10" hidden="1">
      <c r="A1186" t="s">
        <v>2783</v>
      </c>
      <c r="B1186" t="s">
        <v>2788</v>
      </c>
      <c r="C1186" t="s">
        <v>2789</v>
      </c>
      <c r="J1186">
        <f>LEN(Table13[[#This Row],[REFERENCE_DESCR1]])</f>
        <v>10</v>
      </c>
    </row>
    <row r="1187" spans="1:10" hidden="1">
      <c r="A1187" t="s">
        <v>2783</v>
      </c>
      <c r="B1187" t="s">
        <v>2790</v>
      </c>
      <c r="C1187" t="s">
        <v>2791</v>
      </c>
      <c r="J1187">
        <f>LEN(Table13[[#This Row],[REFERENCE_DESCR1]])</f>
        <v>26</v>
      </c>
    </row>
    <row r="1188" spans="1:10" hidden="1">
      <c r="A1188" t="s">
        <v>2783</v>
      </c>
      <c r="B1188" t="s">
        <v>2792</v>
      </c>
      <c r="C1188" t="s">
        <v>2793</v>
      </c>
      <c r="J1188">
        <f>LEN(Table13[[#This Row],[REFERENCE_DESCR1]])</f>
        <v>11</v>
      </c>
    </row>
    <row r="1189" spans="1:10" hidden="1">
      <c r="A1189" t="s">
        <v>2783</v>
      </c>
      <c r="B1189" t="s">
        <v>2794</v>
      </c>
      <c r="C1189" t="s">
        <v>2795</v>
      </c>
      <c r="J1189">
        <f>LEN(Table13[[#This Row],[REFERENCE_DESCR1]])</f>
        <v>11</v>
      </c>
    </row>
    <row r="1190" spans="1:10" hidden="1">
      <c r="A1190" t="s">
        <v>2783</v>
      </c>
      <c r="B1190" t="s">
        <v>2796</v>
      </c>
      <c r="C1190" t="s">
        <v>2797</v>
      </c>
      <c r="J1190">
        <f>LEN(Table13[[#This Row],[REFERENCE_DESCR1]])</f>
        <v>11</v>
      </c>
    </row>
    <row r="1191" spans="1:10" hidden="1">
      <c r="A1191" t="s">
        <v>2798</v>
      </c>
      <c r="B1191" t="s">
        <v>2799</v>
      </c>
      <c r="C1191" t="s">
        <v>2800</v>
      </c>
      <c r="J1191">
        <f>LEN(Table13[[#This Row],[REFERENCE_DESCR1]])</f>
        <v>29</v>
      </c>
    </row>
    <row r="1192" spans="1:10" hidden="1">
      <c r="A1192" t="s">
        <v>2798</v>
      </c>
      <c r="B1192" t="s">
        <v>2801</v>
      </c>
      <c r="C1192" t="s">
        <v>684</v>
      </c>
      <c r="J1192">
        <f>LEN(Table13[[#This Row],[REFERENCE_DESCR1]])</f>
        <v>12</v>
      </c>
    </row>
    <row r="1193" spans="1:10" hidden="1">
      <c r="A1193" t="s">
        <v>2798</v>
      </c>
      <c r="B1193" t="s">
        <v>2802</v>
      </c>
      <c r="C1193" t="s">
        <v>2803</v>
      </c>
      <c r="J1193">
        <f>LEN(Table13[[#This Row],[REFERENCE_DESCR1]])</f>
        <v>14</v>
      </c>
    </row>
    <row r="1194" spans="1:10" hidden="1">
      <c r="A1194" t="s">
        <v>2798</v>
      </c>
      <c r="B1194" t="s">
        <v>2804</v>
      </c>
      <c r="C1194" t="s">
        <v>2805</v>
      </c>
      <c r="J1194">
        <f>LEN(Table13[[#This Row],[REFERENCE_DESCR1]])</f>
        <v>11</v>
      </c>
    </row>
    <row r="1195" spans="1:10" hidden="1">
      <c r="A1195" t="s">
        <v>2806</v>
      </c>
      <c r="B1195">
        <v>1926</v>
      </c>
      <c r="C1195" t="s">
        <v>2807</v>
      </c>
      <c r="J1195">
        <f>LEN(Table13[[#This Row],[REFERENCE_DESCR1]])</f>
        <v>12</v>
      </c>
    </row>
    <row r="1196" spans="1:10" hidden="1">
      <c r="A1196" t="s">
        <v>2806</v>
      </c>
      <c r="B1196">
        <v>1927</v>
      </c>
      <c r="C1196" t="s">
        <v>2808</v>
      </c>
      <c r="J1196">
        <f>LEN(Table13[[#This Row],[REFERENCE_DESCR1]])</f>
        <v>8</v>
      </c>
    </row>
    <row r="1197" spans="1:10" hidden="1">
      <c r="A1197" t="s">
        <v>2806</v>
      </c>
      <c r="B1197">
        <v>1938</v>
      </c>
      <c r="C1197" t="s">
        <v>2809</v>
      </c>
      <c r="J1197">
        <f>LEN(Table13[[#This Row],[REFERENCE_DESCR1]])</f>
        <v>8</v>
      </c>
    </row>
    <row r="1198" spans="1:10" hidden="1">
      <c r="A1198" t="s">
        <v>2806</v>
      </c>
      <c r="B1198">
        <v>1948</v>
      </c>
      <c r="C1198" t="s">
        <v>2810</v>
      </c>
      <c r="J1198">
        <f>LEN(Table13[[#This Row],[REFERENCE_DESCR1]])</f>
        <v>8</v>
      </c>
    </row>
    <row r="1199" spans="1:10" hidden="1">
      <c r="A1199" t="s">
        <v>2806</v>
      </c>
      <c r="B1199">
        <v>1970</v>
      </c>
      <c r="C1199" t="s">
        <v>2811</v>
      </c>
      <c r="J1199">
        <f>LEN(Table13[[#This Row],[REFERENCE_DESCR1]])</f>
        <v>11</v>
      </c>
    </row>
    <row r="1200" spans="1:10" hidden="1">
      <c r="A1200" t="s">
        <v>2806</v>
      </c>
      <c r="B1200">
        <v>1976</v>
      </c>
      <c r="C1200" t="s">
        <v>2812</v>
      </c>
      <c r="J1200">
        <f>LEN(Table13[[#This Row],[REFERENCE_DESCR1]])</f>
        <v>11</v>
      </c>
    </row>
    <row r="1201" spans="1:10" hidden="1">
      <c r="A1201" t="s">
        <v>2806</v>
      </c>
      <c r="B1201">
        <v>1992</v>
      </c>
      <c r="C1201" t="s">
        <v>2813</v>
      </c>
      <c r="J1201">
        <f>LEN(Table13[[#This Row],[REFERENCE_DESCR1]])</f>
        <v>14</v>
      </c>
    </row>
    <row r="1202" spans="1:10" hidden="1">
      <c r="A1202" t="s">
        <v>2806</v>
      </c>
      <c r="B1202">
        <v>1996</v>
      </c>
      <c r="C1202" t="s">
        <v>2814</v>
      </c>
      <c r="J1202">
        <f>LEN(Table13[[#This Row],[REFERENCE_DESCR1]])</f>
        <v>14</v>
      </c>
    </row>
    <row r="1203" spans="1:10" hidden="1">
      <c r="A1203" t="s">
        <v>2806</v>
      </c>
      <c r="B1203">
        <v>2004</v>
      </c>
      <c r="C1203" t="s">
        <v>2815</v>
      </c>
      <c r="J1203">
        <f>LEN(Table13[[#This Row],[REFERENCE_DESCR1]])</f>
        <v>29</v>
      </c>
    </row>
    <row r="1204" spans="1:10" hidden="1">
      <c r="A1204" t="s">
        <v>2806</v>
      </c>
      <c r="B1204">
        <v>2017</v>
      </c>
      <c r="C1204" t="s">
        <v>2816</v>
      </c>
      <c r="J1204">
        <f>LEN(Table13[[#This Row],[REFERENCE_DESCR1]])</f>
        <v>28</v>
      </c>
    </row>
    <row r="1205" spans="1:10" hidden="1">
      <c r="A1205" t="s">
        <v>2806</v>
      </c>
      <c r="B1205" t="s">
        <v>2817</v>
      </c>
      <c r="C1205" t="s">
        <v>2818</v>
      </c>
      <c r="J1205">
        <f>LEN(Table13[[#This Row],[REFERENCE_DESCR1]])</f>
        <v>7</v>
      </c>
    </row>
    <row r="1206" spans="1:10" hidden="1">
      <c r="A1206" t="s">
        <v>2819</v>
      </c>
      <c r="B1206" t="s">
        <v>2820</v>
      </c>
      <c r="C1206" t="s">
        <v>2821</v>
      </c>
      <c r="J1206">
        <f>LEN(Table13[[#This Row],[REFERENCE_DESCR1]])</f>
        <v>3</v>
      </c>
    </row>
    <row r="1207" spans="1:10" hidden="1">
      <c r="A1207" t="s">
        <v>2819</v>
      </c>
      <c r="B1207" t="s">
        <v>2822</v>
      </c>
      <c r="C1207" t="s">
        <v>2823</v>
      </c>
      <c r="J1207">
        <f>LEN(Table13[[#This Row],[REFERENCE_DESCR1]])</f>
        <v>9</v>
      </c>
    </row>
    <row r="1208" spans="1:10" hidden="1">
      <c r="A1208" t="s">
        <v>2819</v>
      </c>
      <c r="B1208" t="s">
        <v>2824</v>
      </c>
      <c r="C1208" t="s">
        <v>2825</v>
      </c>
      <c r="J1208">
        <f>LEN(Table13[[#This Row],[REFERENCE_DESCR1]])</f>
        <v>11</v>
      </c>
    </row>
    <row r="1209" spans="1:10" hidden="1">
      <c r="A1209" t="s">
        <v>2819</v>
      </c>
      <c r="B1209" t="s">
        <v>2826</v>
      </c>
      <c r="C1209" t="s">
        <v>2827</v>
      </c>
      <c r="J1209">
        <f>LEN(Table13[[#This Row],[REFERENCE_DESCR1]])</f>
        <v>8</v>
      </c>
    </row>
    <row r="1210" spans="1:10" hidden="1">
      <c r="A1210" t="s">
        <v>2819</v>
      </c>
      <c r="B1210" t="s">
        <v>2828</v>
      </c>
      <c r="C1210" t="s">
        <v>2829</v>
      </c>
      <c r="J1210">
        <f>LEN(Table13[[#This Row],[REFERENCE_DESCR1]])</f>
        <v>5</v>
      </c>
    </row>
    <row r="1211" spans="1:10" hidden="1">
      <c r="A1211" t="s">
        <v>2830</v>
      </c>
      <c r="B1211" t="s">
        <v>2831</v>
      </c>
      <c r="C1211" t="s">
        <v>2832</v>
      </c>
      <c r="J1211">
        <f>LEN(Table13[[#This Row],[REFERENCE_DESCR1]])</f>
        <v>15</v>
      </c>
    </row>
    <row r="1212" spans="1:10" hidden="1">
      <c r="A1212" t="s">
        <v>2830</v>
      </c>
      <c r="B1212" t="s">
        <v>2833</v>
      </c>
      <c r="C1212" t="s">
        <v>2834</v>
      </c>
      <c r="J1212">
        <f>LEN(Table13[[#This Row],[REFERENCE_DESCR1]])</f>
        <v>17</v>
      </c>
    </row>
    <row r="1213" spans="1:10" hidden="1">
      <c r="A1213" t="s">
        <v>2830</v>
      </c>
      <c r="B1213" t="s">
        <v>2835</v>
      </c>
      <c r="C1213" t="s">
        <v>2836</v>
      </c>
      <c r="J1213">
        <f>LEN(Table13[[#This Row],[REFERENCE_DESCR1]])</f>
        <v>17</v>
      </c>
    </row>
    <row r="1214" spans="1:10" hidden="1">
      <c r="A1214" t="s">
        <v>2830</v>
      </c>
      <c r="B1214" t="s">
        <v>2837</v>
      </c>
      <c r="C1214" t="s">
        <v>2838</v>
      </c>
      <c r="J1214">
        <f>LEN(Table13[[#This Row],[REFERENCE_DESCR1]])</f>
        <v>24</v>
      </c>
    </row>
    <row r="1215" spans="1:10" hidden="1">
      <c r="A1215" t="s">
        <v>2830</v>
      </c>
      <c r="B1215" t="s">
        <v>2839</v>
      </c>
      <c r="C1215" t="s">
        <v>2840</v>
      </c>
      <c r="J1215">
        <f>LEN(Table13[[#This Row],[REFERENCE_DESCR1]])</f>
        <v>5</v>
      </c>
    </row>
    <row r="1216" spans="1:10" hidden="1">
      <c r="A1216" t="s">
        <v>2830</v>
      </c>
      <c r="B1216" t="s">
        <v>2841</v>
      </c>
      <c r="C1216" t="s">
        <v>2842</v>
      </c>
      <c r="J1216">
        <f>LEN(Table13[[#This Row],[REFERENCE_DESCR1]])</f>
        <v>27</v>
      </c>
    </row>
    <row r="1217" spans="1:10" hidden="1">
      <c r="A1217" t="s">
        <v>2830</v>
      </c>
      <c r="B1217" t="s">
        <v>2843</v>
      </c>
      <c r="C1217" t="s">
        <v>2844</v>
      </c>
      <c r="J1217">
        <f>LEN(Table13[[#This Row],[REFERENCE_DESCR1]])</f>
        <v>11</v>
      </c>
    </row>
    <row r="1218" spans="1:10" hidden="1">
      <c r="A1218" t="s">
        <v>2845</v>
      </c>
      <c r="B1218" t="s">
        <v>1148</v>
      </c>
      <c r="C1218" t="s">
        <v>1430</v>
      </c>
      <c r="J1218">
        <f>LEN(Table13[[#This Row],[REFERENCE_DESCR1]])</f>
        <v>5</v>
      </c>
    </row>
    <row r="1219" spans="1:10" hidden="1">
      <c r="A1219" t="s">
        <v>2845</v>
      </c>
      <c r="B1219" t="s">
        <v>1150</v>
      </c>
      <c r="C1219" t="s">
        <v>2684</v>
      </c>
      <c r="J1219">
        <f>LEN(Table13[[#This Row],[REFERENCE_DESCR1]])</f>
        <v>19</v>
      </c>
    </row>
    <row r="1220" spans="1:10" hidden="1">
      <c r="A1220" t="s">
        <v>2845</v>
      </c>
      <c r="B1220" t="s">
        <v>1415</v>
      </c>
      <c r="C1220" t="s">
        <v>2846</v>
      </c>
      <c r="J1220">
        <f>LEN(Table13[[#This Row],[REFERENCE_DESCR1]])</f>
        <v>9</v>
      </c>
    </row>
    <row r="1221" spans="1:10" hidden="1">
      <c r="A1221" t="s">
        <v>2845</v>
      </c>
      <c r="B1221" t="s">
        <v>1152</v>
      </c>
      <c r="C1221" t="s">
        <v>1436</v>
      </c>
      <c r="J1221">
        <f>LEN(Table13[[#This Row],[REFERENCE_DESCR1]])</f>
        <v>7</v>
      </c>
    </row>
    <row r="1222" spans="1:10" hidden="1">
      <c r="A1222" t="s">
        <v>2845</v>
      </c>
      <c r="B1222" t="s">
        <v>1239</v>
      </c>
      <c r="C1222" t="s">
        <v>2847</v>
      </c>
      <c r="J1222">
        <f>LEN(Table13[[#This Row],[REFERENCE_DESCR1]])</f>
        <v>14</v>
      </c>
    </row>
    <row r="1223" spans="1:10" hidden="1">
      <c r="A1223" t="s">
        <v>2845</v>
      </c>
      <c r="B1223" t="s">
        <v>1438</v>
      </c>
      <c r="C1223" t="s">
        <v>1439</v>
      </c>
      <c r="J1223">
        <f>LEN(Table13[[#This Row],[REFERENCE_DESCR1]])</f>
        <v>20</v>
      </c>
    </row>
    <row r="1224" spans="1:10" hidden="1">
      <c r="A1224" t="s">
        <v>2845</v>
      </c>
      <c r="B1224" t="s">
        <v>1154</v>
      </c>
      <c r="C1224" t="s">
        <v>2329</v>
      </c>
      <c r="J1224">
        <f>LEN(Table13[[#This Row],[REFERENCE_DESCR1]])</f>
        <v>5</v>
      </c>
    </row>
    <row r="1225" spans="1:10" hidden="1">
      <c r="A1225" t="s">
        <v>2845</v>
      </c>
      <c r="B1225" t="s">
        <v>1156</v>
      </c>
      <c r="C1225" t="s">
        <v>1442</v>
      </c>
      <c r="J1225">
        <f>LEN(Table13[[#This Row],[REFERENCE_DESCR1]])</f>
        <v>6</v>
      </c>
    </row>
    <row r="1226" spans="1:10">
      <c r="A1226" t="s">
        <v>2845</v>
      </c>
      <c r="B1226" t="s">
        <v>1379</v>
      </c>
      <c r="C1226" t="s">
        <v>220</v>
      </c>
      <c r="J1226">
        <f>LEN(Table13[[#This Row],[REFERENCE_DESCR1]])</f>
        <v>12</v>
      </c>
    </row>
    <row r="1227" spans="1:10" hidden="1">
      <c r="A1227" t="s">
        <v>2845</v>
      </c>
      <c r="B1227" t="s">
        <v>447</v>
      </c>
      <c r="C1227" t="s">
        <v>2848</v>
      </c>
      <c r="J1227">
        <f>LEN(Table13[[#This Row],[REFERENCE_DESCR1]])</f>
        <v>13</v>
      </c>
    </row>
    <row r="1228" spans="1:10" hidden="1">
      <c r="A1228" t="s">
        <v>2849</v>
      </c>
      <c r="B1228" t="s">
        <v>2850</v>
      </c>
      <c r="C1228" t="s">
        <v>2851</v>
      </c>
      <c r="J1228">
        <f>LEN(Table13[[#This Row],[REFERENCE_DESCR1]])</f>
        <v>14</v>
      </c>
    </row>
    <row r="1229" spans="1:10" hidden="1">
      <c r="A1229" t="s">
        <v>2849</v>
      </c>
      <c r="B1229" t="s">
        <v>2852</v>
      </c>
      <c r="C1229" t="s">
        <v>2853</v>
      </c>
      <c r="J1229">
        <f>LEN(Table13[[#This Row],[REFERENCE_DESCR1]])</f>
        <v>26</v>
      </c>
    </row>
    <row r="1230" spans="1:10" hidden="1">
      <c r="A1230" t="s">
        <v>2849</v>
      </c>
      <c r="B1230" t="s">
        <v>2854</v>
      </c>
      <c r="C1230" t="s">
        <v>2855</v>
      </c>
      <c r="J1230">
        <f>LEN(Table13[[#This Row],[REFERENCE_DESCR1]])</f>
        <v>17</v>
      </c>
    </row>
    <row r="1231" spans="1:10" hidden="1">
      <c r="A1231" t="s">
        <v>2849</v>
      </c>
      <c r="B1231" t="s">
        <v>2856</v>
      </c>
      <c r="C1231" t="s">
        <v>2857</v>
      </c>
      <c r="J1231">
        <f>LEN(Table13[[#This Row],[REFERENCE_DESCR1]])</f>
        <v>26</v>
      </c>
    </row>
    <row r="1232" spans="1:10" hidden="1">
      <c r="A1232" t="s">
        <v>2849</v>
      </c>
      <c r="B1232" t="s">
        <v>2858</v>
      </c>
      <c r="C1232" t="s">
        <v>2859</v>
      </c>
      <c r="J1232">
        <f>LEN(Table13[[#This Row],[REFERENCE_DESCR1]])</f>
        <v>38</v>
      </c>
    </row>
    <row r="1233" spans="1:10" hidden="1">
      <c r="A1233" t="s">
        <v>2849</v>
      </c>
      <c r="B1233" t="s">
        <v>1175</v>
      </c>
      <c r="C1233" t="s">
        <v>2860</v>
      </c>
      <c r="J1233">
        <f>LEN(Table13[[#This Row],[REFERENCE_DESCR1]])</f>
        <v>11</v>
      </c>
    </row>
    <row r="1234" spans="1:10" hidden="1">
      <c r="A1234" t="s">
        <v>2849</v>
      </c>
      <c r="B1234" t="s">
        <v>2861</v>
      </c>
      <c r="C1234" t="s">
        <v>2862</v>
      </c>
      <c r="J1234">
        <f>LEN(Table13[[#This Row],[REFERENCE_DESCR1]])</f>
        <v>22</v>
      </c>
    </row>
    <row r="1235" spans="1:10" hidden="1">
      <c r="A1235" t="s">
        <v>2849</v>
      </c>
      <c r="B1235" t="s">
        <v>2863</v>
      </c>
      <c r="C1235" t="s">
        <v>2864</v>
      </c>
      <c r="J1235">
        <f>LEN(Table13[[#This Row],[REFERENCE_DESCR1]])</f>
        <v>26</v>
      </c>
    </row>
    <row r="1236" spans="1:10" hidden="1">
      <c r="A1236" t="s">
        <v>2849</v>
      </c>
      <c r="B1236" t="s">
        <v>2865</v>
      </c>
      <c r="C1236" t="s">
        <v>2866</v>
      </c>
      <c r="J1236">
        <f>LEN(Table13[[#This Row],[REFERENCE_DESCR1]])</f>
        <v>28</v>
      </c>
    </row>
    <row r="1237" spans="1:10" hidden="1">
      <c r="A1237" t="s">
        <v>2849</v>
      </c>
      <c r="B1237" t="s">
        <v>2867</v>
      </c>
      <c r="C1237" t="s">
        <v>2868</v>
      </c>
      <c r="J1237">
        <f>LEN(Table13[[#This Row],[REFERENCE_DESCR1]])</f>
        <v>30</v>
      </c>
    </row>
    <row r="1238" spans="1:10" hidden="1">
      <c r="A1238" t="s">
        <v>2849</v>
      </c>
      <c r="B1238" t="s">
        <v>2869</v>
      </c>
      <c r="C1238" t="s">
        <v>2870</v>
      </c>
      <c r="J1238">
        <f>LEN(Table13[[#This Row],[REFERENCE_DESCR1]])</f>
        <v>13</v>
      </c>
    </row>
    <row r="1239" spans="1:10" hidden="1">
      <c r="A1239" t="s">
        <v>2849</v>
      </c>
      <c r="B1239" t="s">
        <v>2871</v>
      </c>
      <c r="C1239" t="s">
        <v>2872</v>
      </c>
      <c r="H1239" t="s">
        <v>2873</v>
      </c>
      <c r="J1239">
        <f>LEN(Table13[[#This Row],[REFERENCE_DESCR1]])</f>
        <v>24</v>
      </c>
    </row>
    <row r="1240" spans="1:10" hidden="1">
      <c r="A1240" t="s">
        <v>2849</v>
      </c>
      <c r="B1240" t="s">
        <v>2874</v>
      </c>
      <c r="C1240" t="s">
        <v>2875</v>
      </c>
      <c r="J1240">
        <f>LEN(Table13[[#This Row],[REFERENCE_DESCR1]])</f>
        <v>36</v>
      </c>
    </row>
    <row r="1241" spans="1:10" hidden="1">
      <c r="A1241" t="s">
        <v>2876</v>
      </c>
      <c r="B1241" t="s">
        <v>2850</v>
      </c>
      <c r="C1241" t="s">
        <v>2877</v>
      </c>
      <c r="D1241" t="s">
        <v>1146</v>
      </c>
      <c r="J1241">
        <f>LEN(Table13[[#This Row],[REFERENCE_DESCR1]])</f>
        <v>14</v>
      </c>
    </row>
    <row r="1242" spans="1:10" hidden="1">
      <c r="A1242" t="s">
        <v>2876</v>
      </c>
      <c r="B1242" t="s">
        <v>2878</v>
      </c>
      <c r="C1242" t="s">
        <v>2879</v>
      </c>
      <c r="D1242" t="s">
        <v>1146</v>
      </c>
      <c r="J1242">
        <f>LEN(Table13[[#This Row],[REFERENCE_DESCR1]])</f>
        <v>25</v>
      </c>
    </row>
    <row r="1243" spans="1:10" hidden="1">
      <c r="A1243" t="s">
        <v>2876</v>
      </c>
      <c r="B1243" t="s">
        <v>2852</v>
      </c>
      <c r="C1243" t="s">
        <v>2880</v>
      </c>
      <c r="D1243" t="s">
        <v>1146</v>
      </c>
      <c r="J1243">
        <f>LEN(Table13[[#This Row],[REFERENCE_DESCR1]])</f>
        <v>26</v>
      </c>
    </row>
    <row r="1244" spans="1:10" hidden="1">
      <c r="A1244" t="s">
        <v>2876</v>
      </c>
      <c r="B1244" t="s">
        <v>2854</v>
      </c>
      <c r="C1244" t="s">
        <v>2881</v>
      </c>
      <c r="D1244" t="s">
        <v>1146</v>
      </c>
      <c r="J1244">
        <f>LEN(Table13[[#This Row],[REFERENCE_DESCR1]])</f>
        <v>17</v>
      </c>
    </row>
    <row r="1245" spans="1:10" hidden="1">
      <c r="A1245" t="s">
        <v>2876</v>
      </c>
      <c r="B1245" t="s">
        <v>2882</v>
      </c>
      <c r="C1245" t="s">
        <v>2883</v>
      </c>
      <c r="D1245" t="s">
        <v>1146</v>
      </c>
      <c r="J1245">
        <f>LEN(Table13[[#This Row],[REFERENCE_DESCR1]])</f>
        <v>22</v>
      </c>
    </row>
    <row r="1246" spans="1:10" hidden="1">
      <c r="A1246" t="s">
        <v>2876</v>
      </c>
      <c r="B1246" t="s">
        <v>2858</v>
      </c>
      <c r="C1246" t="s">
        <v>2884</v>
      </c>
      <c r="D1246" t="s">
        <v>1146</v>
      </c>
      <c r="J1246">
        <f>LEN(Table13[[#This Row],[REFERENCE_DESCR1]])</f>
        <v>27</v>
      </c>
    </row>
    <row r="1247" spans="1:10" hidden="1">
      <c r="A1247" t="s">
        <v>2876</v>
      </c>
      <c r="B1247" t="s">
        <v>1175</v>
      </c>
      <c r="C1247" t="s">
        <v>1176</v>
      </c>
      <c r="D1247" t="s">
        <v>1148</v>
      </c>
      <c r="J1247">
        <f>LEN(Table13[[#This Row],[REFERENCE_DESCR1]])</f>
        <v>11</v>
      </c>
    </row>
    <row r="1248" spans="1:10" hidden="1">
      <c r="A1248" t="s">
        <v>2876</v>
      </c>
      <c r="B1248" t="s">
        <v>2861</v>
      </c>
      <c r="C1248" t="s">
        <v>2885</v>
      </c>
      <c r="D1248" t="s">
        <v>1146</v>
      </c>
      <c r="J1248">
        <f>LEN(Table13[[#This Row],[REFERENCE_DESCR1]])</f>
        <v>22</v>
      </c>
    </row>
    <row r="1249" spans="1:10" hidden="1">
      <c r="A1249" t="s">
        <v>2876</v>
      </c>
      <c r="B1249" t="s">
        <v>2886</v>
      </c>
      <c r="C1249" t="s">
        <v>2887</v>
      </c>
      <c r="D1249" t="s">
        <v>1438</v>
      </c>
      <c r="G1249" t="s">
        <v>2888</v>
      </c>
      <c r="J1249">
        <f>LEN(Table13[[#This Row],[REFERENCE_DESCR1]])</f>
        <v>12</v>
      </c>
    </row>
    <row r="1250" spans="1:10" hidden="1">
      <c r="A1250" t="s">
        <v>2876</v>
      </c>
      <c r="B1250" t="s">
        <v>2863</v>
      </c>
      <c r="C1250" t="s">
        <v>2889</v>
      </c>
      <c r="D1250" t="s">
        <v>1146</v>
      </c>
      <c r="G1250" t="s">
        <v>2888</v>
      </c>
      <c r="J1250">
        <f>LEN(Table13[[#This Row],[REFERENCE_DESCR1]])</f>
        <v>26</v>
      </c>
    </row>
    <row r="1251" spans="1:10" hidden="1">
      <c r="A1251" t="s">
        <v>2876</v>
      </c>
      <c r="B1251" t="s">
        <v>2865</v>
      </c>
      <c r="C1251" t="s">
        <v>2890</v>
      </c>
      <c r="D1251" t="s">
        <v>1146</v>
      </c>
      <c r="G1251" t="s">
        <v>2888</v>
      </c>
      <c r="J1251">
        <f>LEN(Table13[[#This Row],[REFERENCE_DESCR1]])</f>
        <v>28</v>
      </c>
    </row>
    <row r="1252" spans="1:10" hidden="1">
      <c r="A1252" t="s">
        <v>2876</v>
      </c>
      <c r="B1252" t="s">
        <v>2891</v>
      </c>
      <c r="C1252" t="s">
        <v>2892</v>
      </c>
      <c r="D1252" t="s">
        <v>1438</v>
      </c>
      <c r="G1252" t="s">
        <v>2888</v>
      </c>
      <c r="J1252">
        <f>LEN(Table13[[#This Row],[REFERENCE_DESCR1]])</f>
        <v>40</v>
      </c>
    </row>
    <row r="1253" spans="1:10" hidden="1">
      <c r="A1253" t="s">
        <v>2876</v>
      </c>
      <c r="B1253" t="s">
        <v>2893</v>
      </c>
      <c r="C1253" t="s">
        <v>2894</v>
      </c>
      <c r="D1253" t="s">
        <v>1438</v>
      </c>
      <c r="G1253" t="s">
        <v>2888</v>
      </c>
      <c r="J1253">
        <f>LEN(Table13[[#This Row],[REFERENCE_DESCR1]])</f>
        <v>28</v>
      </c>
    </row>
    <row r="1254" spans="1:10" hidden="1">
      <c r="A1254" t="s">
        <v>2876</v>
      </c>
      <c r="B1254" t="s">
        <v>2895</v>
      </c>
      <c r="C1254" t="s">
        <v>2896</v>
      </c>
      <c r="D1254" t="s">
        <v>1438</v>
      </c>
      <c r="G1254" t="s">
        <v>2888</v>
      </c>
      <c r="J1254">
        <f>LEN(Table13[[#This Row],[REFERENCE_DESCR1]])</f>
        <v>13</v>
      </c>
    </row>
    <row r="1255" spans="1:10" hidden="1">
      <c r="A1255" t="s">
        <v>2876</v>
      </c>
      <c r="B1255" t="s">
        <v>2869</v>
      </c>
      <c r="C1255" t="s">
        <v>2897</v>
      </c>
      <c r="D1255" t="s">
        <v>1146</v>
      </c>
      <c r="G1255" t="s">
        <v>2888</v>
      </c>
      <c r="J1255">
        <f>LEN(Table13[[#This Row],[REFERENCE_DESCR1]])</f>
        <v>13</v>
      </c>
    </row>
    <row r="1256" spans="1:10" hidden="1">
      <c r="A1256" t="s">
        <v>2876</v>
      </c>
      <c r="B1256" t="s">
        <v>2871</v>
      </c>
      <c r="C1256" t="s">
        <v>2898</v>
      </c>
      <c r="D1256" t="s">
        <v>1146</v>
      </c>
      <c r="J1256">
        <f>LEN(Table13[[#This Row],[REFERENCE_DESCR1]])</f>
        <v>24</v>
      </c>
    </row>
    <row r="1257" spans="1:10" hidden="1">
      <c r="A1257" t="s">
        <v>2876</v>
      </c>
      <c r="B1257" t="s">
        <v>2899</v>
      </c>
      <c r="C1257" t="s">
        <v>2900</v>
      </c>
      <c r="D1257" t="s">
        <v>1438</v>
      </c>
      <c r="J1257">
        <f>LEN(Table13[[#This Row],[REFERENCE_DESCR1]])</f>
        <v>22</v>
      </c>
    </row>
    <row r="1258" spans="1:10" hidden="1">
      <c r="A1258" t="s">
        <v>2876</v>
      </c>
      <c r="B1258" t="s">
        <v>2874</v>
      </c>
      <c r="C1258" t="s">
        <v>2901</v>
      </c>
      <c r="D1258" t="s">
        <v>1438</v>
      </c>
      <c r="J1258">
        <f>LEN(Table13[[#This Row],[REFERENCE_DESCR1]])</f>
        <v>40</v>
      </c>
    </row>
    <row r="1259" spans="1:10" hidden="1">
      <c r="A1259" t="s">
        <v>2876</v>
      </c>
      <c r="B1259" t="s">
        <v>2902</v>
      </c>
      <c r="C1259" t="s">
        <v>2903</v>
      </c>
      <c r="D1259" t="s">
        <v>1438</v>
      </c>
      <c r="J1259">
        <f>LEN(Table13[[#This Row],[REFERENCE_DESCR1]])</f>
        <v>25</v>
      </c>
    </row>
    <row r="1260" spans="1:10" hidden="1">
      <c r="A1260" t="s">
        <v>2876</v>
      </c>
      <c r="B1260" t="s">
        <v>2904</v>
      </c>
      <c r="C1260" t="s">
        <v>2905</v>
      </c>
      <c r="D1260" t="s">
        <v>1146</v>
      </c>
      <c r="J1260">
        <f>LEN(Table13[[#This Row],[REFERENCE_DESCR1]])</f>
        <v>36</v>
      </c>
    </row>
    <row r="1261" spans="1:10" hidden="1">
      <c r="A1261" t="s">
        <v>2876</v>
      </c>
      <c r="B1261" t="s">
        <v>2906</v>
      </c>
      <c r="C1261" t="s">
        <v>2907</v>
      </c>
      <c r="D1261" t="s">
        <v>1438</v>
      </c>
      <c r="J1261">
        <f>LEN(Table13[[#This Row],[REFERENCE_DESCR1]])</f>
        <v>36</v>
      </c>
    </row>
    <row r="1262" spans="1:10" hidden="1">
      <c r="A1262" t="s">
        <v>2876</v>
      </c>
      <c r="B1262" t="s">
        <v>2908</v>
      </c>
      <c r="C1262" t="s">
        <v>2909</v>
      </c>
      <c r="D1262" t="s">
        <v>1438</v>
      </c>
      <c r="J1262">
        <f>LEN(Table13[[#This Row],[REFERENCE_DESCR1]])</f>
        <v>4</v>
      </c>
    </row>
    <row r="1263" spans="1:10" hidden="1">
      <c r="A1263" t="s">
        <v>2876</v>
      </c>
      <c r="B1263" t="s">
        <v>2910</v>
      </c>
      <c r="C1263" t="s">
        <v>2911</v>
      </c>
      <c r="D1263" t="s">
        <v>1438</v>
      </c>
      <c r="J1263">
        <f>LEN(Table13[[#This Row],[REFERENCE_DESCR1]])</f>
        <v>31</v>
      </c>
    </row>
    <row r="1264" spans="1:10" hidden="1">
      <c r="A1264" t="s">
        <v>2912</v>
      </c>
      <c r="B1264" t="s">
        <v>2913</v>
      </c>
      <c r="C1264" t="s">
        <v>2914</v>
      </c>
      <c r="J1264">
        <f>LEN(Table13[[#This Row],[REFERENCE_DESCR1]])</f>
        <v>17</v>
      </c>
    </row>
    <row r="1265" spans="1:10" hidden="1">
      <c r="A1265" t="s">
        <v>2912</v>
      </c>
      <c r="B1265" t="s">
        <v>2915</v>
      </c>
      <c r="C1265" t="s">
        <v>2916</v>
      </c>
      <c r="J1265">
        <f>LEN(Table13[[#This Row],[REFERENCE_DESCR1]])</f>
        <v>29</v>
      </c>
    </row>
    <row r="1266" spans="1:10" hidden="1">
      <c r="A1266" t="s">
        <v>2912</v>
      </c>
      <c r="B1266" t="s">
        <v>2917</v>
      </c>
      <c r="C1266" t="s">
        <v>2918</v>
      </c>
      <c r="J1266">
        <f>LEN(Table13[[#This Row],[REFERENCE_DESCR1]])</f>
        <v>12</v>
      </c>
    </row>
    <row r="1267" spans="1:10" hidden="1">
      <c r="A1267" t="s">
        <v>2912</v>
      </c>
      <c r="B1267" t="s">
        <v>1595</v>
      </c>
      <c r="C1267" t="s">
        <v>1596</v>
      </c>
      <c r="J1267">
        <f>LEN(Table13[[#This Row],[REFERENCE_DESCR1]])</f>
        <v>19</v>
      </c>
    </row>
    <row r="1268" spans="1:10" hidden="1">
      <c r="A1268" t="s">
        <v>2912</v>
      </c>
      <c r="B1268" t="s">
        <v>2919</v>
      </c>
      <c r="C1268" t="s">
        <v>2920</v>
      </c>
      <c r="J1268">
        <f>LEN(Table13[[#This Row],[REFERENCE_DESCR1]])</f>
        <v>40</v>
      </c>
    </row>
    <row r="1269" spans="1:10" hidden="1">
      <c r="A1269" t="s">
        <v>2912</v>
      </c>
      <c r="B1269" t="s">
        <v>2921</v>
      </c>
      <c r="C1269" t="s">
        <v>2922</v>
      </c>
      <c r="J1269">
        <f>LEN(Table13[[#This Row],[REFERENCE_DESCR1]])</f>
        <v>27</v>
      </c>
    </row>
    <row r="1270" spans="1:10" hidden="1">
      <c r="A1270" t="s">
        <v>2912</v>
      </c>
      <c r="B1270" t="s">
        <v>2923</v>
      </c>
      <c r="C1270" t="s">
        <v>2924</v>
      </c>
      <c r="J1270">
        <f>LEN(Table13[[#This Row],[REFERENCE_DESCR1]])</f>
        <v>5</v>
      </c>
    </row>
    <row r="1271" spans="1:10" hidden="1">
      <c r="A1271" t="s">
        <v>2925</v>
      </c>
      <c r="B1271" t="s">
        <v>1593</v>
      </c>
      <c r="C1271" t="s">
        <v>2926</v>
      </c>
      <c r="J1271">
        <f>LEN(Table13[[#This Row],[REFERENCE_DESCR1]])</f>
        <v>9</v>
      </c>
    </row>
    <row r="1272" spans="1:10" hidden="1">
      <c r="A1272" t="s">
        <v>2925</v>
      </c>
      <c r="B1272" t="s">
        <v>2927</v>
      </c>
      <c r="C1272" t="s">
        <v>2928</v>
      </c>
      <c r="J1272">
        <f>LEN(Table13[[#This Row],[REFERENCE_DESCR1]])</f>
        <v>10</v>
      </c>
    </row>
    <row r="1273" spans="1:10" hidden="1">
      <c r="A1273" t="s">
        <v>2925</v>
      </c>
      <c r="B1273" t="s">
        <v>2929</v>
      </c>
      <c r="C1273" t="s">
        <v>2930</v>
      </c>
      <c r="J1273">
        <f>LEN(Table13[[#This Row],[REFERENCE_DESCR1]])</f>
        <v>17</v>
      </c>
    </row>
    <row r="1274" spans="1:10" hidden="1">
      <c r="A1274" t="s">
        <v>2925</v>
      </c>
      <c r="B1274" t="s">
        <v>2931</v>
      </c>
      <c r="C1274" t="s">
        <v>2932</v>
      </c>
      <c r="J1274">
        <f>LEN(Table13[[#This Row],[REFERENCE_DESCR1]])</f>
        <v>12</v>
      </c>
    </row>
    <row r="1275" spans="1:10" hidden="1">
      <c r="A1275" t="s">
        <v>2925</v>
      </c>
      <c r="B1275" t="s">
        <v>2933</v>
      </c>
      <c r="C1275" t="s">
        <v>2934</v>
      </c>
      <c r="J1275">
        <f>LEN(Table13[[#This Row],[REFERENCE_DESCR1]])</f>
        <v>8</v>
      </c>
    </row>
    <row r="1276" spans="1:10" hidden="1">
      <c r="A1276" t="s">
        <v>2925</v>
      </c>
      <c r="B1276" t="s">
        <v>2935</v>
      </c>
      <c r="C1276" t="s">
        <v>2936</v>
      </c>
      <c r="J1276">
        <f>LEN(Table13[[#This Row],[REFERENCE_DESCR1]])</f>
        <v>21</v>
      </c>
    </row>
    <row r="1277" spans="1:10" hidden="1">
      <c r="A1277" t="s">
        <v>2925</v>
      </c>
      <c r="B1277" t="s">
        <v>2937</v>
      </c>
      <c r="C1277" t="s">
        <v>2938</v>
      </c>
      <c r="J1277">
        <f>LEN(Table13[[#This Row],[REFERENCE_DESCR1]])</f>
        <v>6</v>
      </c>
    </row>
    <row r="1278" spans="1:10" hidden="1">
      <c r="A1278" t="s">
        <v>2925</v>
      </c>
      <c r="B1278" t="s">
        <v>2939</v>
      </c>
      <c r="C1278" t="s">
        <v>2940</v>
      </c>
      <c r="J1278">
        <f>LEN(Table13[[#This Row],[REFERENCE_DESCR1]])</f>
        <v>21</v>
      </c>
    </row>
    <row r="1279" spans="1:10" hidden="1">
      <c r="A1279" t="s">
        <v>2925</v>
      </c>
      <c r="B1279" t="s">
        <v>2941</v>
      </c>
      <c r="C1279" t="s">
        <v>2942</v>
      </c>
      <c r="J1279">
        <f>LEN(Table13[[#This Row],[REFERENCE_DESCR1]])</f>
        <v>12</v>
      </c>
    </row>
    <row r="1280" spans="1:10" hidden="1">
      <c r="A1280" t="s">
        <v>2925</v>
      </c>
      <c r="B1280" t="s">
        <v>2943</v>
      </c>
      <c r="C1280" t="s">
        <v>2944</v>
      </c>
      <c r="J1280">
        <f>LEN(Table13[[#This Row],[REFERENCE_DESCR1]])</f>
        <v>7</v>
      </c>
    </row>
    <row r="1281" spans="1:10" hidden="1">
      <c r="A1281" t="s">
        <v>2925</v>
      </c>
      <c r="B1281" t="s">
        <v>2945</v>
      </c>
      <c r="C1281" t="s">
        <v>2946</v>
      </c>
      <c r="J1281">
        <f>LEN(Table13[[#This Row],[REFERENCE_DESCR1]])</f>
        <v>8</v>
      </c>
    </row>
    <row r="1282" spans="1:10" hidden="1">
      <c r="A1282" t="s">
        <v>2925</v>
      </c>
      <c r="B1282" t="s">
        <v>2947</v>
      </c>
      <c r="C1282" t="s">
        <v>2948</v>
      </c>
      <c r="J1282">
        <f>LEN(Table13[[#This Row],[REFERENCE_DESCR1]])</f>
        <v>14</v>
      </c>
    </row>
    <row r="1283" spans="1:10" hidden="1">
      <c r="A1283" t="s">
        <v>2925</v>
      </c>
      <c r="B1283" t="s">
        <v>2949</v>
      </c>
      <c r="C1283" t="s">
        <v>2950</v>
      </c>
      <c r="J1283">
        <f>LEN(Table13[[#This Row],[REFERENCE_DESCR1]])</f>
        <v>17</v>
      </c>
    </row>
    <row r="1284" spans="1:10" hidden="1">
      <c r="A1284" t="s">
        <v>2925</v>
      </c>
      <c r="B1284" t="s">
        <v>2951</v>
      </c>
      <c r="C1284" t="s">
        <v>2952</v>
      </c>
      <c r="J1284">
        <f>LEN(Table13[[#This Row],[REFERENCE_DESCR1]])</f>
        <v>27</v>
      </c>
    </row>
    <row r="1285" spans="1:10" hidden="1">
      <c r="A1285" t="s">
        <v>2925</v>
      </c>
      <c r="B1285" t="s">
        <v>2953</v>
      </c>
      <c r="C1285" t="s">
        <v>2954</v>
      </c>
      <c r="J1285">
        <f>LEN(Table13[[#This Row],[REFERENCE_DESCR1]])</f>
        <v>14</v>
      </c>
    </row>
    <row r="1286" spans="1:10" hidden="1">
      <c r="A1286" t="s">
        <v>2925</v>
      </c>
      <c r="B1286" t="s">
        <v>2955</v>
      </c>
      <c r="C1286" t="s">
        <v>2956</v>
      </c>
      <c r="J1286">
        <f>LEN(Table13[[#This Row],[REFERENCE_DESCR1]])</f>
        <v>18</v>
      </c>
    </row>
    <row r="1287" spans="1:10" hidden="1">
      <c r="A1287" t="s">
        <v>2925</v>
      </c>
      <c r="B1287" t="s">
        <v>2957</v>
      </c>
      <c r="C1287" t="s">
        <v>2958</v>
      </c>
      <c r="J1287">
        <f>LEN(Table13[[#This Row],[REFERENCE_DESCR1]])</f>
        <v>10</v>
      </c>
    </row>
    <row r="1288" spans="1:10" hidden="1">
      <c r="A1288" t="s">
        <v>2925</v>
      </c>
      <c r="B1288" t="s">
        <v>2959</v>
      </c>
      <c r="C1288" t="s">
        <v>2960</v>
      </c>
      <c r="J1288">
        <f>LEN(Table13[[#This Row],[REFERENCE_DESCR1]])</f>
        <v>7</v>
      </c>
    </row>
    <row r="1289" spans="1:10" hidden="1">
      <c r="A1289" t="s">
        <v>2925</v>
      </c>
      <c r="B1289" t="s">
        <v>2961</v>
      </c>
      <c r="C1289" t="s">
        <v>2962</v>
      </c>
      <c r="J1289">
        <f>LEN(Table13[[#This Row],[REFERENCE_DESCR1]])</f>
        <v>13</v>
      </c>
    </row>
    <row r="1290" spans="1:10" hidden="1">
      <c r="A1290" t="s">
        <v>2925</v>
      </c>
      <c r="B1290" t="s">
        <v>2963</v>
      </c>
      <c r="C1290" t="s">
        <v>2964</v>
      </c>
      <c r="J1290">
        <f>LEN(Table13[[#This Row],[REFERENCE_DESCR1]])</f>
        <v>7</v>
      </c>
    </row>
    <row r="1291" spans="1:10" hidden="1">
      <c r="A1291" t="s">
        <v>2925</v>
      </c>
      <c r="B1291" t="s">
        <v>2965</v>
      </c>
      <c r="C1291" t="s">
        <v>2966</v>
      </c>
      <c r="J1291">
        <f>LEN(Table13[[#This Row],[REFERENCE_DESCR1]])</f>
        <v>5</v>
      </c>
    </row>
    <row r="1292" spans="1:10" hidden="1">
      <c r="A1292" t="s">
        <v>2925</v>
      </c>
      <c r="B1292" t="s">
        <v>2967</v>
      </c>
      <c r="C1292" t="s">
        <v>2968</v>
      </c>
      <c r="J1292">
        <f>LEN(Table13[[#This Row],[REFERENCE_DESCR1]])</f>
        <v>7</v>
      </c>
    </row>
    <row r="1293" spans="1:10" hidden="1">
      <c r="A1293" t="s">
        <v>2925</v>
      </c>
      <c r="B1293" t="s">
        <v>1749</v>
      </c>
      <c r="C1293" t="s">
        <v>2969</v>
      </c>
      <c r="J1293">
        <f>LEN(Table13[[#This Row],[REFERENCE_DESCR1]])</f>
        <v>6</v>
      </c>
    </row>
    <row r="1294" spans="1:10" hidden="1">
      <c r="A1294" t="s">
        <v>2925</v>
      </c>
      <c r="B1294" t="s">
        <v>2970</v>
      </c>
      <c r="C1294" t="s">
        <v>2971</v>
      </c>
      <c r="J1294">
        <f>LEN(Table13[[#This Row],[REFERENCE_DESCR1]])</f>
        <v>13</v>
      </c>
    </row>
    <row r="1295" spans="1:10" hidden="1">
      <c r="A1295" t="s">
        <v>2925</v>
      </c>
      <c r="B1295" t="s">
        <v>2972</v>
      </c>
      <c r="C1295" t="s">
        <v>2973</v>
      </c>
      <c r="J1295">
        <f>LEN(Table13[[#This Row],[REFERENCE_DESCR1]])</f>
        <v>9</v>
      </c>
    </row>
    <row r="1296" spans="1:10" hidden="1">
      <c r="A1296" t="s">
        <v>2925</v>
      </c>
      <c r="B1296" t="s">
        <v>2974</v>
      </c>
      <c r="C1296" t="s">
        <v>2975</v>
      </c>
      <c r="J1296">
        <f>LEN(Table13[[#This Row],[REFERENCE_DESCR1]])</f>
        <v>7</v>
      </c>
    </row>
    <row r="1297" spans="1:10" hidden="1">
      <c r="A1297" t="s">
        <v>2925</v>
      </c>
      <c r="B1297" t="s">
        <v>2976</v>
      </c>
      <c r="C1297" t="s">
        <v>2977</v>
      </c>
      <c r="J1297">
        <f>LEN(Table13[[#This Row],[REFERENCE_DESCR1]])</f>
        <v>6</v>
      </c>
    </row>
    <row r="1298" spans="1:10" hidden="1">
      <c r="A1298" t="s">
        <v>2925</v>
      </c>
      <c r="B1298" t="s">
        <v>2978</v>
      </c>
      <c r="C1298" t="s">
        <v>2979</v>
      </c>
      <c r="J1298">
        <f>LEN(Table13[[#This Row],[REFERENCE_DESCR1]])</f>
        <v>11</v>
      </c>
    </row>
    <row r="1299" spans="1:10" hidden="1">
      <c r="A1299" t="s">
        <v>2925</v>
      </c>
      <c r="B1299" t="s">
        <v>2980</v>
      </c>
      <c r="C1299" t="s">
        <v>2981</v>
      </c>
      <c r="J1299">
        <f>LEN(Table13[[#This Row],[REFERENCE_DESCR1]])</f>
        <v>23</v>
      </c>
    </row>
    <row r="1300" spans="1:10" hidden="1">
      <c r="A1300" t="s">
        <v>2925</v>
      </c>
      <c r="B1300" t="s">
        <v>2982</v>
      </c>
      <c r="C1300" t="s">
        <v>2983</v>
      </c>
      <c r="J1300">
        <f>LEN(Table13[[#This Row],[REFERENCE_DESCR1]])</f>
        <v>17</v>
      </c>
    </row>
    <row r="1301" spans="1:10" hidden="1">
      <c r="A1301" t="s">
        <v>2925</v>
      </c>
      <c r="B1301" t="s">
        <v>2984</v>
      </c>
      <c r="C1301" t="s">
        <v>2985</v>
      </c>
      <c r="J1301">
        <f>LEN(Table13[[#This Row],[REFERENCE_DESCR1]])</f>
        <v>10</v>
      </c>
    </row>
    <row r="1302" spans="1:10" hidden="1">
      <c r="A1302" t="s">
        <v>2925</v>
      </c>
      <c r="B1302" t="s">
        <v>2986</v>
      </c>
      <c r="C1302" t="s">
        <v>2987</v>
      </c>
      <c r="J1302">
        <f>LEN(Table13[[#This Row],[REFERENCE_DESCR1]])</f>
        <v>38</v>
      </c>
    </row>
    <row r="1303" spans="1:10" hidden="1">
      <c r="A1303" t="s">
        <v>2925</v>
      </c>
      <c r="B1303" t="s">
        <v>2988</v>
      </c>
      <c r="C1303" t="s">
        <v>2989</v>
      </c>
      <c r="J1303">
        <f>LEN(Table13[[#This Row],[REFERENCE_DESCR1]])</f>
        <v>11</v>
      </c>
    </row>
    <row r="1304" spans="1:10" hidden="1">
      <c r="A1304" t="s">
        <v>2925</v>
      </c>
      <c r="B1304" t="s">
        <v>2990</v>
      </c>
      <c r="C1304" t="s">
        <v>2991</v>
      </c>
      <c r="J1304">
        <f>LEN(Table13[[#This Row],[REFERENCE_DESCR1]])</f>
        <v>6</v>
      </c>
    </row>
    <row r="1305" spans="1:10" hidden="1">
      <c r="A1305" t="s">
        <v>2925</v>
      </c>
      <c r="B1305" t="s">
        <v>2992</v>
      </c>
      <c r="C1305" t="s">
        <v>2993</v>
      </c>
      <c r="J1305">
        <f>LEN(Table13[[#This Row],[REFERENCE_DESCR1]])</f>
        <v>7</v>
      </c>
    </row>
    <row r="1306" spans="1:10" hidden="1">
      <c r="A1306" t="s">
        <v>2925</v>
      </c>
      <c r="B1306" t="s">
        <v>2994</v>
      </c>
      <c r="C1306" t="s">
        <v>2995</v>
      </c>
      <c r="J1306">
        <f>LEN(Table13[[#This Row],[REFERENCE_DESCR1]])</f>
        <v>7</v>
      </c>
    </row>
    <row r="1307" spans="1:10" hidden="1">
      <c r="A1307" t="s">
        <v>2925</v>
      </c>
      <c r="B1307" t="s">
        <v>2996</v>
      </c>
      <c r="C1307" t="s">
        <v>2997</v>
      </c>
      <c r="J1307">
        <f>LEN(Table13[[#This Row],[REFERENCE_DESCR1]])</f>
        <v>7</v>
      </c>
    </row>
    <row r="1308" spans="1:10" hidden="1">
      <c r="A1308" t="s">
        <v>2925</v>
      </c>
      <c r="B1308" t="s">
        <v>2998</v>
      </c>
      <c r="C1308" t="s">
        <v>2999</v>
      </c>
      <c r="J1308">
        <f>LEN(Table13[[#This Row],[REFERENCE_DESCR1]])</f>
        <v>9</v>
      </c>
    </row>
    <row r="1309" spans="1:10" hidden="1">
      <c r="A1309" t="s">
        <v>2925</v>
      </c>
      <c r="B1309" t="s">
        <v>3000</v>
      </c>
      <c r="C1309" t="s">
        <v>3001</v>
      </c>
      <c r="J1309">
        <f>LEN(Table13[[#This Row],[REFERENCE_DESCR1]])</f>
        <v>11</v>
      </c>
    </row>
    <row r="1310" spans="1:10" hidden="1">
      <c r="A1310" t="s">
        <v>2925</v>
      </c>
      <c r="B1310" t="s">
        <v>3002</v>
      </c>
      <c r="C1310" t="s">
        <v>3003</v>
      </c>
      <c r="J1310">
        <f>LEN(Table13[[#This Row],[REFERENCE_DESCR1]])</f>
        <v>7</v>
      </c>
    </row>
    <row r="1311" spans="1:10" hidden="1">
      <c r="A1311" t="s">
        <v>2925</v>
      </c>
      <c r="B1311" t="s">
        <v>3004</v>
      </c>
      <c r="C1311" t="s">
        <v>3005</v>
      </c>
      <c r="J1311">
        <f>LEN(Table13[[#This Row],[REFERENCE_DESCR1]])</f>
        <v>10</v>
      </c>
    </row>
    <row r="1312" spans="1:10" hidden="1">
      <c r="A1312" t="s">
        <v>2925</v>
      </c>
      <c r="B1312" t="s">
        <v>3006</v>
      </c>
      <c r="C1312" t="s">
        <v>3007</v>
      </c>
      <c r="J1312">
        <f>LEN(Table13[[#This Row],[REFERENCE_DESCR1]])</f>
        <v>6</v>
      </c>
    </row>
    <row r="1313" spans="1:10" hidden="1">
      <c r="A1313" t="s">
        <v>2925</v>
      </c>
      <c r="B1313" t="s">
        <v>3008</v>
      </c>
      <c r="C1313" t="s">
        <v>3009</v>
      </c>
      <c r="J1313">
        <f>LEN(Table13[[#This Row],[REFERENCE_DESCR1]])</f>
        <v>11</v>
      </c>
    </row>
    <row r="1314" spans="1:10" hidden="1">
      <c r="A1314" t="s">
        <v>2925</v>
      </c>
      <c r="B1314" t="s">
        <v>3010</v>
      </c>
      <c r="C1314" t="s">
        <v>3011</v>
      </c>
      <c r="J1314">
        <f>LEN(Table13[[#This Row],[REFERENCE_DESCR1]])</f>
        <v>28</v>
      </c>
    </row>
    <row r="1315" spans="1:10" hidden="1">
      <c r="A1315" t="s">
        <v>2925</v>
      </c>
      <c r="B1315" t="s">
        <v>3012</v>
      </c>
      <c r="C1315" t="s">
        <v>3013</v>
      </c>
      <c r="J1315">
        <f>LEN(Table13[[#This Row],[REFERENCE_DESCR1]])</f>
        <v>38</v>
      </c>
    </row>
    <row r="1316" spans="1:10" hidden="1">
      <c r="A1316" t="s">
        <v>2925</v>
      </c>
      <c r="B1316" t="s">
        <v>3014</v>
      </c>
      <c r="C1316" t="s">
        <v>3015</v>
      </c>
      <c r="J1316">
        <f>LEN(Table13[[#This Row],[REFERENCE_DESCR1]])</f>
        <v>8</v>
      </c>
    </row>
    <row r="1317" spans="1:10" hidden="1">
      <c r="A1317" t="s">
        <v>2925</v>
      </c>
      <c r="B1317" t="s">
        <v>3016</v>
      </c>
      <c r="C1317" t="s">
        <v>3017</v>
      </c>
      <c r="J1317">
        <f>LEN(Table13[[#This Row],[REFERENCE_DESCR1]])</f>
        <v>7</v>
      </c>
    </row>
    <row r="1318" spans="1:10" hidden="1">
      <c r="A1318" t="s">
        <v>2925</v>
      </c>
      <c r="B1318" t="s">
        <v>3018</v>
      </c>
      <c r="C1318" t="s">
        <v>3019</v>
      </c>
      <c r="J1318">
        <f>LEN(Table13[[#This Row],[REFERENCE_DESCR1]])</f>
        <v>9</v>
      </c>
    </row>
    <row r="1319" spans="1:10" hidden="1">
      <c r="A1319" t="s">
        <v>2925</v>
      </c>
      <c r="B1319" t="s">
        <v>3020</v>
      </c>
      <c r="C1319" t="s">
        <v>3021</v>
      </c>
      <c r="J1319">
        <f>LEN(Table13[[#This Row],[REFERENCE_DESCR1]])</f>
        <v>6</v>
      </c>
    </row>
    <row r="1320" spans="1:10" hidden="1">
      <c r="A1320" t="s">
        <v>2925</v>
      </c>
      <c r="B1320" t="s">
        <v>3022</v>
      </c>
      <c r="C1320" t="s">
        <v>3023</v>
      </c>
      <c r="J1320">
        <f>LEN(Table13[[#This Row],[REFERENCE_DESCR1]])</f>
        <v>11</v>
      </c>
    </row>
    <row r="1321" spans="1:10" hidden="1">
      <c r="A1321" t="s">
        <v>2925</v>
      </c>
      <c r="B1321" t="s">
        <v>3024</v>
      </c>
      <c r="C1321" t="s">
        <v>3025</v>
      </c>
      <c r="J1321">
        <f>LEN(Table13[[#This Row],[REFERENCE_DESCR1]])</f>
        <v>14</v>
      </c>
    </row>
    <row r="1322" spans="1:10" hidden="1">
      <c r="A1322" t="s">
        <v>2925</v>
      </c>
      <c r="B1322" t="s">
        <v>3026</v>
      </c>
      <c r="C1322" t="s">
        <v>3027</v>
      </c>
      <c r="J1322">
        <f>LEN(Table13[[#This Row],[REFERENCE_DESCR1]])</f>
        <v>8</v>
      </c>
    </row>
    <row r="1323" spans="1:10" hidden="1">
      <c r="A1323" t="s">
        <v>2925</v>
      </c>
      <c r="B1323" t="s">
        <v>3028</v>
      </c>
      <c r="C1323" t="s">
        <v>3029</v>
      </c>
      <c r="J1323">
        <f>LEN(Table13[[#This Row],[REFERENCE_DESCR1]])</f>
        <v>9</v>
      </c>
    </row>
    <row r="1324" spans="1:10" hidden="1">
      <c r="A1324" t="s">
        <v>2925</v>
      </c>
      <c r="B1324" t="s">
        <v>3030</v>
      </c>
      <c r="C1324" t="s">
        <v>3031</v>
      </c>
      <c r="J1324">
        <f>LEN(Table13[[#This Row],[REFERENCE_DESCR1]])</f>
        <v>9</v>
      </c>
    </row>
    <row r="1325" spans="1:10" hidden="1">
      <c r="A1325" t="s">
        <v>2925</v>
      </c>
      <c r="B1325" t="s">
        <v>3032</v>
      </c>
      <c r="C1325" t="s">
        <v>3033</v>
      </c>
      <c r="J1325">
        <f>LEN(Table13[[#This Row],[REFERENCE_DESCR1]])</f>
        <v>9</v>
      </c>
    </row>
    <row r="1326" spans="1:10" hidden="1">
      <c r="A1326" t="s">
        <v>2925</v>
      </c>
      <c r="B1326" t="s">
        <v>3034</v>
      </c>
      <c r="C1326" t="s">
        <v>3035</v>
      </c>
      <c r="J1326">
        <f>LEN(Table13[[#This Row],[REFERENCE_DESCR1]])</f>
        <v>8</v>
      </c>
    </row>
    <row r="1327" spans="1:10" hidden="1">
      <c r="A1327" t="s">
        <v>2925</v>
      </c>
      <c r="B1327" t="s">
        <v>3036</v>
      </c>
      <c r="C1327" t="s">
        <v>3037</v>
      </c>
      <c r="J1327">
        <f>LEN(Table13[[#This Row],[REFERENCE_DESCR1]])</f>
        <v>20</v>
      </c>
    </row>
    <row r="1328" spans="1:10" hidden="1">
      <c r="A1328" t="s">
        <v>2925</v>
      </c>
      <c r="B1328" t="s">
        <v>3038</v>
      </c>
      <c r="C1328" t="s">
        <v>3039</v>
      </c>
      <c r="J1328">
        <f>LEN(Table13[[#This Row],[REFERENCE_DESCR1]])</f>
        <v>9</v>
      </c>
    </row>
    <row r="1329" spans="1:10" hidden="1">
      <c r="A1329" t="s">
        <v>2925</v>
      </c>
      <c r="B1329" t="s">
        <v>3040</v>
      </c>
      <c r="C1329" t="s">
        <v>3041</v>
      </c>
      <c r="J1329">
        <f>LEN(Table13[[#This Row],[REFERENCE_DESCR1]])</f>
        <v>9</v>
      </c>
    </row>
    <row r="1330" spans="1:10" hidden="1">
      <c r="A1330" t="s">
        <v>2925</v>
      </c>
      <c r="B1330" t="s">
        <v>3042</v>
      </c>
      <c r="C1330" t="s">
        <v>3043</v>
      </c>
      <c r="J1330">
        <f>LEN(Table13[[#This Row],[REFERENCE_DESCR1]])</f>
        <v>8</v>
      </c>
    </row>
    <row r="1331" spans="1:10" hidden="1">
      <c r="A1331" t="s">
        <v>2925</v>
      </c>
      <c r="B1331" t="s">
        <v>3044</v>
      </c>
      <c r="C1331" t="s">
        <v>3045</v>
      </c>
      <c r="J1331">
        <f>LEN(Table13[[#This Row],[REFERENCE_DESCR1]])</f>
        <v>20</v>
      </c>
    </row>
    <row r="1332" spans="1:10" hidden="1">
      <c r="A1332" t="s">
        <v>2925</v>
      </c>
      <c r="B1332" t="s">
        <v>3046</v>
      </c>
      <c r="C1332" t="s">
        <v>3047</v>
      </c>
      <c r="J1332">
        <f>LEN(Table13[[#This Row],[REFERENCE_DESCR1]])</f>
        <v>12</v>
      </c>
    </row>
    <row r="1333" spans="1:10" hidden="1">
      <c r="A1333" t="s">
        <v>2925</v>
      </c>
      <c r="B1333" t="s">
        <v>3048</v>
      </c>
      <c r="C1333" t="s">
        <v>3049</v>
      </c>
      <c r="J1333">
        <f>LEN(Table13[[#This Row],[REFERENCE_DESCR1]])</f>
        <v>7</v>
      </c>
    </row>
    <row r="1334" spans="1:10" hidden="1">
      <c r="A1334" t="s">
        <v>2925</v>
      </c>
      <c r="B1334" t="s">
        <v>3050</v>
      </c>
      <c r="C1334" t="s">
        <v>3051</v>
      </c>
      <c r="J1334">
        <f>LEN(Table13[[#This Row],[REFERENCE_DESCR1]])</f>
        <v>6</v>
      </c>
    </row>
    <row r="1335" spans="1:10" hidden="1">
      <c r="A1335" t="s">
        <v>2925</v>
      </c>
      <c r="B1335" t="s">
        <v>3052</v>
      </c>
      <c r="C1335" t="s">
        <v>3053</v>
      </c>
      <c r="J1335">
        <f>LEN(Table13[[#This Row],[REFERENCE_DESCR1]])</f>
        <v>9</v>
      </c>
    </row>
    <row r="1336" spans="1:10" hidden="1">
      <c r="A1336" t="s">
        <v>2925</v>
      </c>
      <c r="B1336" t="s">
        <v>3054</v>
      </c>
      <c r="C1336" t="s">
        <v>3055</v>
      </c>
      <c r="J1336">
        <f>LEN(Table13[[#This Row],[REFERENCE_DESCR1]])</f>
        <v>5</v>
      </c>
    </row>
    <row r="1337" spans="1:10" hidden="1">
      <c r="A1337" t="s">
        <v>2925</v>
      </c>
      <c r="B1337" t="s">
        <v>3056</v>
      </c>
      <c r="C1337" t="s">
        <v>3057</v>
      </c>
      <c r="J1337">
        <f>LEN(Table13[[#This Row],[REFERENCE_DESCR1]])</f>
        <v>11</v>
      </c>
    </row>
    <row r="1338" spans="1:10" hidden="1">
      <c r="A1338" t="s">
        <v>2925</v>
      </c>
      <c r="B1338" t="s">
        <v>3058</v>
      </c>
      <c r="C1338" t="s">
        <v>3059</v>
      </c>
      <c r="J1338">
        <f>LEN(Table13[[#This Row],[REFERENCE_DESCR1]])</f>
        <v>16</v>
      </c>
    </row>
    <row r="1339" spans="1:10" hidden="1">
      <c r="A1339" t="s">
        <v>2925</v>
      </c>
      <c r="B1339" t="s">
        <v>3060</v>
      </c>
      <c r="C1339" t="s">
        <v>3061</v>
      </c>
      <c r="J1339">
        <f>LEN(Table13[[#This Row],[REFERENCE_DESCR1]])</f>
        <v>7</v>
      </c>
    </row>
    <row r="1340" spans="1:10" hidden="1">
      <c r="A1340" t="s">
        <v>2925</v>
      </c>
      <c r="B1340" t="s">
        <v>3062</v>
      </c>
      <c r="C1340" t="s">
        <v>3063</v>
      </c>
      <c r="J1340">
        <f>LEN(Table13[[#This Row],[REFERENCE_DESCR1]])</f>
        <v>9</v>
      </c>
    </row>
    <row r="1341" spans="1:10" hidden="1">
      <c r="A1341" t="s">
        <v>2925</v>
      </c>
      <c r="B1341" t="s">
        <v>3064</v>
      </c>
      <c r="C1341" t="s">
        <v>3065</v>
      </c>
      <c r="J1341">
        <f>LEN(Table13[[#This Row],[REFERENCE_DESCR1]])</f>
        <v>21</v>
      </c>
    </row>
    <row r="1342" spans="1:10" hidden="1">
      <c r="A1342" t="s">
        <v>2925</v>
      </c>
      <c r="B1342" t="s">
        <v>3066</v>
      </c>
      <c r="C1342" t="s">
        <v>3067</v>
      </c>
      <c r="J1342">
        <f>LEN(Table13[[#This Row],[REFERENCE_DESCR1]])</f>
        <v>6</v>
      </c>
    </row>
    <row r="1343" spans="1:10" hidden="1">
      <c r="A1343" t="s">
        <v>2925</v>
      </c>
      <c r="B1343" t="s">
        <v>3068</v>
      </c>
      <c r="C1343" t="s">
        <v>3069</v>
      </c>
      <c r="J1343">
        <f>LEN(Table13[[#This Row],[REFERENCE_DESCR1]])</f>
        <v>18</v>
      </c>
    </row>
    <row r="1344" spans="1:10" hidden="1">
      <c r="A1344" t="s">
        <v>2925</v>
      </c>
      <c r="B1344" t="s">
        <v>3070</v>
      </c>
      <c r="C1344" t="s">
        <v>3071</v>
      </c>
      <c r="J1344">
        <f>LEN(Table13[[#This Row],[REFERENCE_DESCR1]])</f>
        <v>26</v>
      </c>
    </row>
    <row r="1345" spans="1:10" hidden="1">
      <c r="A1345" t="s">
        <v>2925</v>
      </c>
      <c r="B1345" t="s">
        <v>3072</v>
      </c>
      <c r="C1345" t="s">
        <v>3073</v>
      </c>
      <c r="J1345">
        <f>LEN(Table13[[#This Row],[REFERENCE_DESCR1]])</f>
        <v>40</v>
      </c>
    </row>
    <row r="1346" spans="1:10" hidden="1">
      <c r="A1346" t="s">
        <v>2925</v>
      </c>
      <c r="B1346" t="s">
        <v>3074</v>
      </c>
      <c r="C1346" t="s">
        <v>3075</v>
      </c>
      <c r="J1346">
        <f>LEN(Table13[[#This Row],[REFERENCE_DESCR1]])</f>
        <v>18</v>
      </c>
    </row>
    <row r="1347" spans="1:10" hidden="1">
      <c r="A1347" t="s">
        <v>2925</v>
      </c>
      <c r="B1347" t="s">
        <v>3076</v>
      </c>
      <c r="C1347" t="s">
        <v>3077</v>
      </c>
      <c r="J1347">
        <f>LEN(Table13[[#This Row],[REFERENCE_DESCR1]])</f>
        <v>16</v>
      </c>
    </row>
    <row r="1348" spans="1:10" hidden="1">
      <c r="A1348" t="s">
        <v>2925</v>
      </c>
      <c r="B1348" t="s">
        <v>3078</v>
      </c>
      <c r="C1348" t="s">
        <v>3079</v>
      </c>
      <c r="J1348">
        <f>LEN(Table13[[#This Row],[REFERENCE_DESCR1]])</f>
        <v>31</v>
      </c>
    </row>
    <row r="1349" spans="1:10" hidden="1">
      <c r="A1349" t="s">
        <v>2925</v>
      </c>
      <c r="B1349" t="s">
        <v>3080</v>
      </c>
      <c r="C1349" t="s">
        <v>3081</v>
      </c>
      <c r="J1349">
        <f>LEN(Table13[[#This Row],[REFERENCE_DESCR1]])</f>
        <v>9</v>
      </c>
    </row>
    <row r="1350" spans="1:10" hidden="1">
      <c r="A1350" t="s">
        <v>2925</v>
      </c>
      <c r="B1350" t="s">
        <v>3082</v>
      </c>
      <c r="C1350" t="s">
        <v>3083</v>
      </c>
      <c r="J1350">
        <f>LEN(Table13[[#This Row],[REFERENCE_DESCR1]])</f>
        <v>21</v>
      </c>
    </row>
    <row r="1351" spans="1:10" hidden="1">
      <c r="A1351" t="s">
        <v>2925</v>
      </c>
      <c r="B1351" t="s">
        <v>3084</v>
      </c>
      <c r="C1351" t="s">
        <v>3085</v>
      </c>
      <c r="J1351">
        <f>LEN(Table13[[#This Row],[REFERENCE_DESCR1]])</f>
        <v>29</v>
      </c>
    </row>
    <row r="1352" spans="1:10" hidden="1">
      <c r="A1352" t="s">
        <v>2925</v>
      </c>
      <c r="B1352" t="s">
        <v>3086</v>
      </c>
      <c r="C1352" t="s">
        <v>3087</v>
      </c>
      <c r="J1352">
        <f>LEN(Table13[[#This Row],[REFERENCE_DESCR1]])</f>
        <v>40</v>
      </c>
    </row>
    <row r="1353" spans="1:10" hidden="1">
      <c r="A1353" t="s">
        <v>2925</v>
      </c>
      <c r="B1353" t="s">
        <v>3088</v>
      </c>
      <c r="C1353" t="s">
        <v>3089</v>
      </c>
      <c r="J1353">
        <f>LEN(Table13[[#This Row],[REFERENCE_DESCR1]])</f>
        <v>5</v>
      </c>
    </row>
    <row r="1354" spans="1:10" hidden="1">
      <c r="A1354" t="s">
        <v>2925</v>
      </c>
      <c r="B1354" t="s">
        <v>3090</v>
      </c>
      <c r="C1354" t="s">
        <v>3091</v>
      </c>
      <c r="J1354">
        <f>LEN(Table13[[#This Row],[REFERENCE_DESCR1]])</f>
        <v>17</v>
      </c>
    </row>
    <row r="1355" spans="1:10" hidden="1">
      <c r="A1355" t="s">
        <v>2925</v>
      </c>
      <c r="B1355" t="s">
        <v>3092</v>
      </c>
      <c r="C1355" t="s">
        <v>3093</v>
      </c>
      <c r="J1355">
        <f>LEN(Table13[[#This Row],[REFERENCE_DESCR1]])</f>
        <v>21</v>
      </c>
    </row>
    <row r="1356" spans="1:10" hidden="1">
      <c r="A1356" t="s">
        <v>2925</v>
      </c>
      <c r="B1356" t="s">
        <v>3094</v>
      </c>
      <c r="C1356" t="s">
        <v>3095</v>
      </c>
      <c r="J1356">
        <f>LEN(Table13[[#This Row],[REFERENCE_DESCR1]])</f>
        <v>9</v>
      </c>
    </row>
    <row r="1357" spans="1:10" hidden="1">
      <c r="A1357" t="s">
        <v>2925</v>
      </c>
      <c r="B1357" t="s">
        <v>3096</v>
      </c>
      <c r="C1357" t="s">
        <v>3097</v>
      </c>
      <c r="J1357">
        <f>LEN(Table13[[#This Row],[REFERENCE_DESCR1]])</f>
        <v>17</v>
      </c>
    </row>
    <row r="1358" spans="1:10" hidden="1">
      <c r="A1358" t="s">
        <v>2925</v>
      </c>
      <c r="B1358" t="s">
        <v>3098</v>
      </c>
      <c r="C1358" t="s">
        <v>3099</v>
      </c>
      <c r="J1358">
        <f>LEN(Table13[[#This Row],[REFERENCE_DESCR1]])</f>
        <v>20</v>
      </c>
    </row>
    <row r="1359" spans="1:10" hidden="1">
      <c r="A1359" t="s">
        <v>2925</v>
      </c>
      <c r="B1359" t="s">
        <v>3100</v>
      </c>
      <c r="C1359" t="s">
        <v>3101</v>
      </c>
      <c r="J1359">
        <f>LEN(Table13[[#This Row],[REFERENCE_DESCR1]])</f>
        <v>8</v>
      </c>
    </row>
    <row r="1360" spans="1:10" hidden="1">
      <c r="A1360" t="s">
        <v>2925</v>
      </c>
      <c r="B1360" t="s">
        <v>3102</v>
      </c>
      <c r="C1360" t="s">
        <v>3103</v>
      </c>
      <c r="J1360">
        <f>LEN(Table13[[#This Row],[REFERENCE_DESCR1]])</f>
        <v>18</v>
      </c>
    </row>
    <row r="1361" spans="1:10" hidden="1">
      <c r="A1361" t="s">
        <v>2925</v>
      </c>
      <c r="B1361" t="s">
        <v>2551</v>
      </c>
      <c r="C1361" t="s">
        <v>3104</v>
      </c>
      <c r="J1361">
        <f>LEN(Table13[[#This Row],[REFERENCE_DESCR1]])</f>
        <v>7</v>
      </c>
    </row>
    <row r="1362" spans="1:10" hidden="1">
      <c r="A1362" t="s">
        <v>2925</v>
      </c>
      <c r="B1362" t="s">
        <v>3105</v>
      </c>
      <c r="C1362" t="s">
        <v>3106</v>
      </c>
      <c r="J1362">
        <f>LEN(Table13[[#This Row],[REFERENCE_DESCR1]])</f>
        <v>8</v>
      </c>
    </row>
    <row r="1363" spans="1:10" hidden="1">
      <c r="A1363" t="s">
        <v>2925</v>
      </c>
      <c r="B1363" t="s">
        <v>3107</v>
      </c>
      <c r="C1363" t="s">
        <v>3108</v>
      </c>
      <c r="J1363">
        <f>LEN(Table13[[#This Row],[REFERENCE_DESCR1]])</f>
        <v>7</v>
      </c>
    </row>
    <row r="1364" spans="1:10" hidden="1">
      <c r="A1364" t="s">
        <v>2925</v>
      </c>
      <c r="B1364" t="s">
        <v>3109</v>
      </c>
      <c r="C1364" t="s">
        <v>3110</v>
      </c>
      <c r="J1364">
        <f>LEN(Table13[[#This Row],[REFERENCE_DESCR1]])</f>
        <v>20</v>
      </c>
    </row>
    <row r="1365" spans="1:10" hidden="1">
      <c r="A1365" t="s">
        <v>2925</v>
      </c>
      <c r="B1365" t="s">
        <v>3111</v>
      </c>
      <c r="C1365" t="s">
        <v>3112</v>
      </c>
      <c r="J1365">
        <f>LEN(Table13[[#This Row],[REFERENCE_DESCR1]])</f>
        <v>8</v>
      </c>
    </row>
    <row r="1366" spans="1:10" hidden="1">
      <c r="A1366" t="s">
        <v>2925</v>
      </c>
      <c r="B1366" t="s">
        <v>3113</v>
      </c>
      <c r="C1366" t="s">
        <v>3114</v>
      </c>
      <c r="J1366">
        <f>LEN(Table13[[#This Row],[REFERENCE_DESCR1]])</f>
        <v>13</v>
      </c>
    </row>
    <row r="1367" spans="1:10" hidden="1">
      <c r="A1367" t="s">
        <v>2925</v>
      </c>
      <c r="B1367" t="s">
        <v>3115</v>
      </c>
      <c r="C1367" t="s">
        <v>3116</v>
      </c>
      <c r="J1367">
        <f>LEN(Table13[[#This Row],[REFERENCE_DESCR1]])</f>
        <v>8</v>
      </c>
    </row>
    <row r="1368" spans="1:10" hidden="1">
      <c r="A1368" t="s">
        <v>2925</v>
      </c>
      <c r="B1368" t="s">
        <v>3117</v>
      </c>
      <c r="C1368" t="s">
        <v>3118</v>
      </c>
      <c r="J1368">
        <f>LEN(Table13[[#This Row],[REFERENCE_DESCR1]])</f>
        <v>8</v>
      </c>
    </row>
    <row r="1369" spans="1:10" hidden="1">
      <c r="A1369" t="s">
        <v>2925</v>
      </c>
      <c r="B1369" t="s">
        <v>3119</v>
      </c>
      <c r="C1369" t="s">
        <v>3120</v>
      </c>
      <c r="J1369">
        <f>LEN(Table13[[#This Row],[REFERENCE_DESCR1]])</f>
        <v>9</v>
      </c>
    </row>
    <row r="1370" spans="1:10" hidden="1">
      <c r="A1370" t="s">
        <v>2925</v>
      </c>
      <c r="B1370" t="s">
        <v>3121</v>
      </c>
      <c r="C1370" t="s">
        <v>3122</v>
      </c>
      <c r="J1370">
        <f>LEN(Table13[[#This Row],[REFERENCE_DESCR1]])</f>
        <v>6</v>
      </c>
    </row>
    <row r="1371" spans="1:10" hidden="1">
      <c r="A1371" t="s">
        <v>2925</v>
      </c>
      <c r="B1371" t="s">
        <v>3123</v>
      </c>
      <c r="C1371" t="s">
        <v>3124</v>
      </c>
      <c r="J1371">
        <f>LEN(Table13[[#This Row],[REFERENCE_DESCR1]])</f>
        <v>8</v>
      </c>
    </row>
    <row r="1372" spans="1:10" hidden="1">
      <c r="A1372" t="s">
        <v>2925</v>
      </c>
      <c r="B1372" t="s">
        <v>2083</v>
      </c>
      <c r="C1372" t="s">
        <v>3125</v>
      </c>
      <c r="J1372">
        <f>LEN(Table13[[#This Row],[REFERENCE_DESCR1]])</f>
        <v>7</v>
      </c>
    </row>
    <row r="1373" spans="1:10" hidden="1">
      <c r="A1373" t="s">
        <v>2925</v>
      </c>
      <c r="B1373" t="s">
        <v>3126</v>
      </c>
      <c r="C1373" t="s">
        <v>3127</v>
      </c>
      <c r="J1373">
        <f>LEN(Table13[[#This Row],[REFERENCE_DESCR1]])</f>
        <v>13</v>
      </c>
    </row>
    <row r="1374" spans="1:10" hidden="1">
      <c r="A1374" t="s">
        <v>2925</v>
      </c>
      <c r="B1374" t="s">
        <v>3128</v>
      </c>
      <c r="C1374" t="s">
        <v>3129</v>
      </c>
      <c r="J1374">
        <f>LEN(Table13[[#This Row],[REFERENCE_DESCR1]])</f>
        <v>7</v>
      </c>
    </row>
    <row r="1375" spans="1:10" hidden="1">
      <c r="A1375" t="s">
        <v>2925</v>
      </c>
      <c r="B1375" t="s">
        <v>3130</v>
      </c>
      <c r="C1375" t="s">
        <v>3131</v>
      </c>
      <c r="J1375">
        <f>LEN(Table13[[#This Row],[REFERENCE_DESCR1]])</f>
        <v>8</v>
      </c>
    </row>
    <row r="1376" spans="1:10" hidden="1">
      <c r="A1376" t="s">
        <v>2925</v>
      </c>
      <c r="B1376" t="s">
        <v>3132</v>
      </c>
      <c r="C1376" t="s">
        <v>3133</v>
      </c>
      <c r="J1376">
        <f>LEN(Table13[[#This Row],[REFERENCE_DESCR1]])</f>
        <v>17</v>
      </c>
    </row>
    <row r="1377" spans="1:10" hidden="1">
      <c r="A1377" t="s">
        <v>2925</v>
      </c>
      <c r="B1377" t="s">
        <v>3134</v>
      </c>
      <c r="C1377" t="s">
        <v>3135</v>
      </c>
      <c r="J1377">
        <f>LEN(Table13[[#This Row],[REFERENCE_DESCR1]])</f>
        <v>14</v>
      </c>
    </row>
    <row r="1378" spans="1:10" hidden="1">
      <c r="A1378" t="s">
        <v>2925</v>
      </c>
      <c r="B1378" t="s">
        <v>3136</v>
      </c>
      <c r="C1378" t="s">
        <v>3137</v>
      </c>
      <c r="J1378">
        <f>LEN(Table13[[#This Row],[REFERENCE_DESCR1]])</f>
        <v>13</v>
      </c>
    </row>
    <row r="1379" spans="1:10" hidden="1">
      <c r="A1379" t="s">
        <v>2925</v>
      </c>
      <c r="B1379" t="s">
        <v>3138</v>
      </c>
      <c r="C1379" t="s">
        <v>3139</v>
      </c>
      <c r="J1379">
        <f>LEN(Table13[[#This Row],[REFERENCE_DESCR1]])</f>
        <v>11</v>
      </c>
    </row>
    <row r="1380" spans="1:10" hidden="1">
      <c r="A1380" t="s">
        <v>2925</v>
      </c>
      <c r="B1380" t="s">
        <v>3140</v>
      </c>
      <c r="C1380" t="s">
        <v>3141</v>
      </c>
      <c r="J1380">
        <f>LEN(Table13[[#This Row],[REFERENCE_DESCR1]])</f>
        <v>10</v>
      </c>
    </row>
    <row r="1381" spans="1:10" hidden="1">
      <c r="A1381" t="s">
        <v>2925</v>
      </c>
      <c r="B1381" t="s">
        <v>3142</v>
      </c>
      <c r="C1381" t="s">
        <v>3143</v>
      </c>
      <c r="J1381">
        <f>LEN(Table13[[#This Row],[REFERENCE_DESCR1]])</f>
        <v>13</v>
      </c>
    </row>
    <row r="1382" spans="1:10" hidden="1">
      <c r="A1382" t="s">
        <v>2925</v>
      </c>
      <c r="B1382" t="s">
        <v>3144</v>
      </c>
      <c r="C1382" t="s">
        <v>3145</v>
      </c>
      <c r="J1382">
        <f>LEN(Table13[[#This Row],[REFERENCE_DESCR1]])</f>
        <v>7</v>
      </c>
    </row>
    <row r="1383" spans="1:10" hidden="1">
      <c r="A1383" t="s">
        <v>2925</v>
      </c>
      <c r="B1383" t="s">
        <v>3146</v>
      </c>
      <c r="C1383" t="s">
        <v>3147</v>
      </c>
      <c r="J1383">
        <f>LEN(Table13[[#This Row],[REFERENCE_DESCR1]])</f>
        <v>10</v>
      </c>
    </row>
    <row r="1384" spans="1:10" hidden="1">
      <c r="A1384" t="s">
        <v>2925</v>
      </c>
      <c r="B1384" t="s">
        <v>3148</v>
      </c>
      <c r="C1384" t="s">
        <v>3149</v>
      </c>
      <c r="J1384">
        <f>LEN(Table13[[#This Row],[REFERENCE_DESCR1]])</f>
        <v>6</v>
      </c>
    </row>
    <row r="1385" spans="1:10" hidden="1">
      <c r="A1385" t="s">
        <v>2925</v>
      </c>
      <c r="B1385" t="s">
        <v>3150</v>
      </c>
      <c r="C1385" t="s">
        <v>3151</v>
      </c>
      <c r="J1385">
        <f>LEN(Table13[[#This Row],[REFERENCE_DESCR1]])</f>
        <v>8</v>
      </c>
    </row>
    <row r="1386" spans="1:10" hidden="1">
      <c r="A1386" t="s">
        <v>2925</v>
      </c>
      <c r="B1386" t="s">
        <v>3152</v>
      </c>
      <c r="C1386" t="s">
        <v>3153</v>
      </c>
      <c r="J1386">
        <f>LEN(Table13[[#This Row],[REFERENCE_DESCR1]])</f>
        <v>8</v>
      </c>
    </row>
    <row r="1387" spans="1:10" hidden="1">
      <c r="A1387" t="s">
        <v>2925</v>
      </c>
      <c r="B1387" t="s">
        <v>2554</v>
      </c>
      <c r="C1387" t="s">
        <v>3154</v>
      </c>
      <c r="J1387">
        <f>LEN(Table13[[#This Row],[REFERENCE_DESCR1]])</f>
        <v>7</v>
      </c>
    </row>
    <row r="1388" spans="1:10" hidden="1">
      <c r="A1388" t="s">
        <v>2925</v>
      </c>
      <c r="B1388" t="s">
        <v>3155</v>
      </c>
      <c r="C1388" t="s">
        <v>3156</v>
      </c>
      <c r="J1388">
        <f>LEN(Table13[[#This Row],[REFERENCE_DESCR1]])</f>
        <v>11</v>
      </c>
    </row>
    <row r="1389" spans="1:10" hidden="1">
      <c r="A1389" t="s">
        <v>2925</v>
      </c>
      <c r="B1389" t="s">
        <v>3157</v>
      </c>
      <c r="C1389" t="s">
        <v>3158</v>
      </c>
      <c r="J1389">
        <f>LEN(Table13[[#This Row],[REFERENCE_DESCR1]])</f>
        <v>14</v>
      </c>
    </row>
    <row r="1390" spans="1:10" hidden="1">
      <c r="A1390" t="s">
        <v>2925</v>
      </c>
      <c r="B1390" t="s">
        <v>3159</v>
      </c>
      <c r="C1390" t="s">
        <v>3160</v>
      </c>
      <c r="J1390">
        <f>LEN(Table13[[#This Row],[REFERENCE_DESCR1]])</f>
        <v>7</v>
      </c>
    </row>
    <row r="1391" spans="1:10" hidden="1">
      <c r="A1391" t="s">
        <v>2925</v>
      </c>
      <c r="B1391" t="s">
        <v>3161</v>
      </c>
      <c r="C1391" t="s">
        <v>3162</v>
      </c>
      <c r="J1391">
        <f>LEN(Table13[[#This Row],[REFERENCE_DESCR1]])</f>
        <v>8</v>
      </c>
    </row>
    <row r="1392" spans="1:10" hidden="1">
      <c r="A1392" t="s">
        <v>2925</v>
      </c>
      <c r="B1392" t="s">
        <v>3163</v>
      </c>
      <c r="C1392" t="s">
        <v>3164</v>
      </c>
      <c r="J1392">
        <f>LEN(Table13[[#This Row],[REFERENCE_DESCR1]])</f>
        <v>20</v>
      </c>
    </row>
    <row r="1393" spans="1:10" hidden="1">
      <c r="A1393" t="s">
        <v>2925</v>
      </c>
      <c r="B1393" t="s">
        <v>3165</v>
      </c>
      <c r="C1393" t="s">
        <v>3166</v>
      </c>
      <c r="J1393">
        <f>LEN(Table13[[#This Row],[REFERENCE_DESCR1]])</f>
        <v>13</v>
      </c>
    </row>
    <row r="1394" spans="1:10" hidden="1">
      <c r="A1394" t="s">
        <v>2925</v>
      </c>
      <c r="B1394" t="s">
        <v>3167</v>
      </c>
      <c r="C1394" t="s">
        <v>3168</v>
      </c>
      <c r="J1394">
        <f>LEN(Table13[[#This Row],[REFERENCE_DESCR1]])</f>
        <v>8</v>
      </c>
    </row>
    <row r="1395" spans="1:10" hidden="1">
      <c r="A1395" t="s">
        <v>2925</v>
      </c>
      <c r="B1395" t="s">
        <v>3169</v>
      </c>
      <c r="C1395" t="s">
        <v>3170</v>
      </c>
      <c r="J1395">
        <f>LEN(Table13[[#This Row],[REFERENCE_DESCR1]])</f>
        <v>9</v>
      </c>
    </row>
    <row r="1396" spans="1:10" hidden="1">
      <c r="A1396" t="s">
        <v>2925</v>
      </c>
      <c r="B1396" t="s">
        <v>3171</v>
      </c>
      <c r="C1396" t="s">
        <v>3172</v>
      </c>
      <c r="J1396">
        <f>LEN(Table13[[#This Row],[REFERENCE_DESCR1]])</f>
        <v>5</v>
      </c>
    </row>
    <row r="1397" spans="1:10" hidden="1">
      <c r="A1397" t="s">
        <v>2925</v>
      </c>
      <c r="B1397" t="s">
        <v>3173</v>
      </c>
      <c r="C1397" t="s">
        <v>3174</v>
      </c>
      <c r="J1397">
        <f>LEN(Table13[[#This Row],[REFERENCE_DESCR1]])</f>
        <v>11</v>
      </c>
    </row>
    <row r="1398" spans="1:10" hidden="1">
      <c r="A1398" t="s">
        <v>2925</v>
      </c>
      <c r="B1398" t="s">
        <v>3175</v>
      </c>
      <c r="C1398" t="s">
        <v>3176</v>
      </c>
      <c r="J1398">
        <f>LEN(Table13[[#This Row],[REFERENCE_DESCR1]])</f>
        <v>7</v>
      </c>
    </row>
    <row r="1399" spans="1:10" hidden="1">
      <c r="A1399" t="s">
        <v>2925</v>
      </c>
      <c r="B1399" t="s">
        <v>3177</v>
      </c>
      <c r="C1399" t="s">
        <v>3178</v>
      </c>
      <c r="J1399">
        <f>LEN(Table13[[#This Row],[REFERENCE_DESCR1]])</f>
        <v>11</v>
      </c>
    </row>
    <row r="1400" spans="1:10" hidden="1">
      <c r="A1400" t="s">
        <v>2925</v>
      </c>
      <c r="B1400" t="s">
        <v>3179</v>
      </c>
      <c r="C1400" t="s">
        <v>3180</v>
      </c>
      <c r="J1400">
        <f>LEN(Table13[[#This Row],[REFERENCE_DESCR1]])</f>
        <v>15</v>
      </c>
    </row>
    <row r="1401" spans="1:10" hidden="1">
      <c r="A1401" t="s">
        <v>2925</v>
      </c>
      <c r="B1401" t="s">
        <v>3181</v>
      </c>
      <c r="C1401" t="s">
        <v>3182</v>
      </c>
      <c r="J1401">
        <f>LEN(Table13[[#This Row],[REFERENCE_DESCR1]])</f>
        <v>10</v>
      </c>
    </row>
    <row r="1402" spans="1:10" hidden="1">
      <c r="A1402" t="s">
        <v>2925</v>
      </c>
      <c r="B1402" t="s">
        <v>3183</v>
      </c>
      <c r="C1402" t="s">
        <v>3184</v>
      </c>
      <c r="J1402">
        <f>LEN(Table13[[#This Row],[REFERENCE_DESCR1]])</f>
        <v>13</v>
      </c>
    </row>
    <row r="1403" spans="1:10" hidden="1">
      <c r="A1403" t="s">
        <v>2925</v>
      </c>
      <c r="B1403" t="s">
        <v>3185</v>
      </c>
      <c r="C1403" t="s">
        <v>3186</v>
      </c>
      <c r="J1403">
        <f>LEN(Table13[[#This Row],[REFERENCE_DESCR1]])</f>
        <v>25</v>
      </c>
    </row>
    <row r="1404" spans="1:10" hidden="1">
      <c r="A1404" t="s">
        <v>2925</v>
      </c>
      <c r="B1404" t="s">
        <v>3187</v>
      </c>
      <c r="C1404" t="s">
        <v>3188</v>
      </c>
      <c r="J1404">
        <f>LEN(Table13[[#This Row],[REFERENCE_DESCR1]])</f>
        <v>10</v>
      </c>
    </row>
    <row r="1405" spans="1:10" hidden="1">
      <c r="A1405" t="s">
        <v>2925</v>
      </c>
      <c r="B1405" t="s">
        <v>3189</v>
      </c>
      <c r="C1405" t="s">
        <v>3190</v>
      </c>
      <c r="J1405">
        <f>LEN(Table13[[#This Row],[REFERENCE_DESCR1]])</f>
        <v>10</v>
      </c>
    </row>
    <row r="1406" spans="1:10" hidden="1">
      <c r="A1406" t="s">
        <v>2925</v>
      </c>
      <c r="B1406" t="s">
        <v>3191</v>
      </c>
      <c r="C1406" t="s">
        <v>3192</v>
      </c>
      <c r="J1406">
        <f>LEN(Table13[[#This Row],[REFERENCE_DESCR1]])</f>
        <v>9</v>
      </c>
    </row>
    <row r="1407" spans="1:10" hidden="1">
      <c r="A1407" t="s">
        <v>2925</v>
      </c>
      <c r="B1407" t="s">
        <v>3193</v>
      </c>
      <c r="C1407" t="s">
        <v>3194</v>
      </c>
      <c r="J1407">
        <f>LEN(Table13[[#This Row],[REFERENCE_DESCR1]])</f>
        <v>7</v>
      </c>
    </row>
    <row r="1408" spans="1:10" hidden="1">
      <c r="A1408" t="s">
        <v>2925</v>
      </c>
      <c r="B1408" t="s">
        <v>3195</v>
      </c>
      <c r="C1408" t="s">
        <v>3196</v>
      </c>
      <c r="J1408">
        <f>LEN(Table13[[#This Row],[REFERENCE_DESCR1]])</f>
        <v>7</v>
      </c>
    </row>
    <row r="1409" spans="1:10" hidden="1">
      <c r="A1409" t="s">
        <v>2925</v>
      </c>
      <c r="B1409" t="s">
        <v>3197</v>
      </c>
      <c r="C1409" t="s">
        <v>3198</v>
      </c>
      <c r="J1409">
        <f>LEN(Table13[[#This Row],[REFERENCE_DESCR1]])</f>
        <v>6</v>
      </c>
    </row>
    <row r="1410" spans="1:10" hidden="1">
      <c r="A1410" t="s">
        <v>2925</v>
      </c>
      <c r="B1410" t="s">
        <v>3199</v>
      </c>
      <c r="C1410" t="s">
        <v>3200</v>
      </c>
      <c r="J1410">
        <f>LEN(Table13[[#This Row],[REFERENCE_DESCR1]])</f>
        <v>9</v>
      </c>
    </row>
    <row r="1411" spans="1:10" hidden="1">
      <c r="A1411" t="s">
        <v>2925</v>
      </c>
      <c r="B1411" t="s">
        <v>3201</v>
      </c>
      <c r="C1411" t="s">
        <v>3202</v>
      </c>
      <c r="J1411">
        <f>LEN(Table13[[#This Row],[REFERENCE_DESCR1]])</f>
        <v>9</v>
      </c>
    </row>
    <row r="1412" spans="1:10" hidden="1">
      <c r="A1412" t="s">
        <v>2925</v>
      </c>
      <c r="B1412" t="s">
        <v>3203</v>
      </c>
      <c r="C1412" t="s">
        <v>3204</v>
      </c>
      <c r="J1412">
        <f>LEN(Table13[[#This Row],[REFERENCE_DESCR1]])</f>
        <v>4</v>
      </c>
    </row>
    <row r="1413" spans="1:10" hidden="1">
      <c r="A1413" t="s">
        <v>2925</v>
      </c>
      <c r="B1413" t="s">
        <v>3205</v>
      </c>
      <c r="C1413" t="s">
        <v>3206</v>
      </c>
      <c r="J1413">
        <f>LEN(Table13[[#This Row],[REFERENCE_DESCR1]])</f>
        <v>27</v>
      </c>
    </row>
    <row r="1414" spans="1:10" hidden="1">
      <c r="A1414" t="s">
        <v>2925</v>
      </c>
      <c r="B1414" t="s">
        <v>3207</v>
      </c>
      <c r="C1414" t="s">
        <v>3208</v>
      </c>
      <c r="J1414">
        <f>LEN(Table13[[#This Row],[REFERENCE_DESCR1]])</f>
        <v>36</v>
      </c>
    </row>
    <row r="1415" spans="1:10" hidden="1">
      <c r="A1415" t="s">
        <v>2925</v>
      </c>
      <c r="B1415" t="s">
        <v>3209</v>
      </c>
      <c r="C1415" t="s">
        <v>3210</v>
      </c>
      <c r="J1415">
        <f>LEN(Table13[[#This Row],[REFERENCE_DESCR1]])</f>
        <v>30</v>
      </c>
    </row>
    <row r="1416" spans="1:10" hidden="1">
      <c r="A1416" t="s">
        <v>2925</v>
      </c>
      <c r="B1416" t="s">
        <v>3211</v>
      </c>
      <c r="C1416" t="s">
        <v>3212</v>
      </c>
      <c r="J1416">
        <f>LEN(Table13[[#This Row],[REFERENCE_DESCR1]])</f>
        <v>16</v>
      </c>
    </row>
    <row r="1417" spans="1:10" hidden="1">
      <c r="A1417" t="s">
        <v>2925</v>
      </c>
      <c r="B1417" t="s">
        <v>3213</v>
      </c>
      <c r="C1417" t="s">
        <v>3214</v>
      </c>
      <c r="J1417">
        <f>LEN(Table13[[#This Row],[REFERENCE_DESCR1]])</f>
        <v>12</v>
      </c>
    </row>
    <row r="1418" spans="1:10" hidden="1">
      <c r="A1418" t="s">
        <v>2925</v>
      </c>
      <c r="B1418" t="s">
        <v>3215</v>
      </c>
      <c r="C1418" t="s">
        <v>3216</v>
      </c>
      <c r="J1418">
        <f>LEN(Table13[[#This Row],[REFERENCE_DESCR1]])</f>
        <v>8</v>
      </c>
    </row>
    <row r="1419" spans="1:10" hidden="1">
      <c r="A1419" t="s">
        <v>2925</v>
      </c>
      <c r="B1419" t="s">
        <v>3217</v>
      </c>
      <c r="C1419" t="s">
        <v>3218</v>
      </c>
      <c r="J1419">
        <f>LEN(Table13[[#This Row],[REFERENCE_DESCR1]])</f>
        <v>8</v>
      </c>
    </row>
    <row r="1420" spans="1:10" hidden="1">
      <c r="A1420" t="s">
        <v>2925</v>
      </c>
      <c r="B1420" t="s">
        <v>3219</v>
      </c>
      <c r="C1420" t="s">
        <v>3220</v>
      </c>
      <c r="J1420">
        <f>LEN(Table13[[#This Row],[REFERENCE_DESCR1]])</f>
        <v>7</v>
      </c>
    </row>
    <row r="1421" spans="1:10" hidden="1">
      <c r="A1421" t="s">
        <v>2925</v>
      </c>
      <c r="B1421" t="s">
        <v>3221</v>
      </c>
      <c r="C1421" t="s">
        <v>3222</v>
      </c>
      <c r="J1421">
        <f>LEN(Table13[[#This Row],[REFERENCE_DESCR1]])</f>
        <v>7</v>
      </c>
    </row>
    <row r="1422" spans="1:10" hidden="1">
      <c r="A1422" t="s">
        <v>2925</v>
      </c>
      <c r="B1422" t="s">
        <v>3223</v>
      </c>
      <c r="C1422" t="s">
        <v>3224</v>
      </c>
      <c r="J1422">
        <f>LEN(Table13[[#This Row],[REFERENCE_DESCR1]])</f>
        <v>10</v>
      </c>
    </row>
    <row r="1423" spans="1:10" hidden="1">
      <c r="A1423" t="s">
        <v>2925</v>
      </c>
      <c r="B1423" t="s">
        <v>3225</v>
      </c>
      <c r="C1423" t="s">
        <v>1616</v>
      </c>
      <c r="J1423">
        <f>LEN(Table13[[#This Row],[REFERENCE_DESCR1]])</f>
        <v>7</v>
      </c>
    </row>
    <row r="1424" spans="1:10" hidden="1">
      <c r="A1424" t="s">
        <v>2925</v>
      </c>
      <c r="B1424" t="s">
        <v>3226</v>
      </c>
      <c r="C1424" t="s">
        <v>3227</v>
      </c>
      <c r="J1424">
        <f>LEN(Table13[[#This Row],[REFERENCE_DESCR1]])</f>
        <v>19</v>
      </c>
    </row>
    <row r="1425" spans="1:10" hidden="1">
      <c r="A1425" t="s">
        <v>2925</v>
      </c>
      <c r="B1425" t="s">
        <v>3228</v>
      </c>
      <c r="C1425" t="s">
        <v>3229</v>
      </c>
      <c r="J1425">
        <f>LEN(Table13[[#This Row],[REFERENCE_DESCR1]])</f>
        <v>25</v>
      </c>
    </row>
    <row r="1426" spans="1:10" hidden="1">
      <c r="A1426" t="s">
        <v>2925</v>
      </c>
      <c r="B1426" t="s">
        <v>3230</v>
      </c>
      <c r="C1426" t="s">
        <v>3231</v>
      </c>
      <c r="J1426">
        <f>LEN(Table13[[#This Row],[REFERENCE_DESCR1]])</f>
        <v>13</v>
      </c>
    </row>
    <row r="1427" spans="1:10" hidden="1">
      <c r="A1427" t="s">
        <v>2925</v>
      </c>
      <c r="B1427" t="s">
        <v>3232</v>
      </c>
      <c r="C1427" t="s">
        <v>3233</v>
      </c>
      <c r="J1427">
        <f>LEN(Table13[[#This Row],[REFERENCE_DESCR1]])</f>
        <v>9</v>
      </c>
    </row>
    <row r="1428" spans="1:10" hidden="1">
      <c r="A1428" t="s">
        <v>2925</v>
      </c>
      <c r="B1428" t="s">
        <v>3234</v>
      </c>
      <c r="C1428" t="s">
        <v>3235</v>
      </c>
      <c r="J1428">
        <f>LEN(Table13[[#This Row],[REFERENCE_DESCR1]])</f>
        <v>11</v>
      </c>
    </row>
    <row r="1429" spans="1:10" hidden="1">
      <c r="A1429" t="s">
        <v>2925</v>
      </c>
      <c r="B1429" t="s">
        <v>3236</v>
      </c>
      <c r="C1429" t="s">
        <v>3237</v>
      </c>
      <c r="J1429">
        <f>LEN(Table13[[#This Row],[REFERENCE_DESCR1]])</f>
        <v>23</v>
      </c>
    </row>
    <row r="1430" spans="1:10" hidden="1">
      <c r="A1430" t="s">
        <v>2925</v>
      </c>
      <c r="B1430" t="s">
        <v>3238</v>
      </c>
      <c r="C1430" t="s">
        <v>3239</v>
      </c>
      <c r="J1430">
        <f>LEN(Table13[[#This Row],[REFERENCE_DESCR1]])</f>
        <v>7</v>
      </c>
    </row>
    <row r="1431" spans="1:10" hidden="1">
      <c r="A1431" t="s">
        <v>2925</v>
      </c>
      <c r="B1431" t="s">
        <v>3240</v>
      </c>
      <c r="C1431" t="s">
        <v>3241</v>
      </c>
      <c r="J1431">
        <f>LEN(Table13[[#This Row],[REFERENCE_DESCR1]])</f>
        <v>7</v>
      </c>
    </row>
    <row r="1432" spans="1:10" hidden="1">
      <c r="A1432" t="s">
        <v>2925</v>
      </c>
      <c r="B1432" t="s">
        <v>3242</v>
      </c>
      <c r="C1432" t="s">
        <v>3243</v>
      </c>
      <c r="J1432">
        <f>LEN(Table13[[#This Row],[REFERENCE_DESCR1]])</f>
        <v>9</v>
      </c>
    </row>
    <row r="1433" spans="1:10" hidden="1">
      <c r="A1433" t="s">
        <v>2925</v>
      </c>
      <c r="B1433" t="s">
        <v>3244</v>
      </c>
      <c r="C1433" t="s">
        <v>3245</v>
      </c>
      <c r="J1433">
        <f>LEN(Table13[[#This Row],[REFERENCE_DESCR1]])</f>
        <v>10</v>
      </c>
    </row>
    <row r="1434" spans="1:10" hidden="1">
      <c r="A1434" t="s">
        <v>2925</v>
      </c>
      <c r="B1434" t="s">
        <v>3246</v>
      </c>
      <c r="C1434" t="s">
        <v>3247</v>
      </c>
      <c r="J1434">
        <f>LEN(Table13[[#This Row],[REFERENCE_DESCR1]])</f>
        <v>11</v>
      </c>
    </row>
    <row r="1435" spans="1:10" hidden="1">
      <c r="A1435" t="s">
        <v>2925</v>
      </c>
      <c r="B1435" t="s">
        <v>3248</v>
      </c>
      <c r="C1435" t="s">
        <v>3249</v>
      </c>
      <c r="J1435">
        <f>LEN(Table13[[#This Row],[REFERENCE_DESCR1]])</f>
        <v>23</v>
      </c>
    </row>
    <row r="1436" spans="1:10" hidden="1">
      <c r="A1436" t="s">
        <v>2925</v>
      </c>
      <c r="B1436" t="s">
        <v>3250</v>
      </c>
      <c r="C1436" t="s">
        <v>3251</v>
      </c>
      <c r="J1436">
        <f>LEN(Table13[[#This Row],[REFERENCE_DESCR1]])</f>
        <v>12</v>
      </c>
    </row>
    <row r="1437" spans="1:10" hidden="1">
      <c r="A1437" t="s">
        <v>2925</v>
      </c>
      <c r="B1437" t="s">
        <v>3252</v>
      </c>
      <c r="C1437" t="s">
        <v>3253</v>
      </c>
      <c r="J1437">
        <f>LEN(Table13[[#This Row],[REFERENCE_DESCR1]])</f>
        <v>10</v>
      </c>
    </row>
    <row r="1438" spans="1:10" hidden="1">
      <c r="A1438" t="s">
        <v>2925</v>
      </c>
      <c r="B1438" t="s">
        <v>3254</v>
      </c>
      <c r="C1438" t="s">
        <v>3255</v>
      </c>
      <c r="J1438">
        <f>LEN(Table13[[#This Row],[REFERENCE_DESCR1]])</f>
        <v>14</v>
      </c>
    </row>
    <row r="1439" spans="1:10" hidden="1">
      <c r="A1439" t="s">
        <v>2925</v>
      </c>
      <c r="B1439" t="s">
        <v>3256</v>
      </c>
      <c r="C1439" t="s">
        <v>3257</v>
      </c>
      <c r="J1439">
        <f>LEN(Table13[[#This Row],[REFERENCE_DESCR1]])</f>
        <v>11</v>
      </c>
    </row>
    <row r="1440" spans="1:10" hidden="1">
      <c r="A1440" t="s">
        <v>2925</v>
      </c>
      <c r="B1440" t="s">
        <v>3258</v>
      </c>
      <c r="C1440" t="s">
        <v>3259</v>
      </c>
      <c r="J1440">
        <f>LEN(Table13[[#This Row],[REFERENCE_DESCR1]])</f>
        <v>9</v>
      </c>
    </row>
    <row r="1441" spans="1:10" hidden="1">
      <c r="A1441" t="s">
        <v>2925</v>
      </c>
      <c r="B1441" t="s">
        <v>3260</v>
      </c>
      <c r="C1441" t="s">
        <v>3261</v>
      </c>
      <c r="J1441">
        <f>LEN(Table13[[#This Row],[REFERENCE_DESCR1]])</f>
        <v>22</v>
      </c>
    </row>
    <row r="1442" spans="1:10" hidden="1">
      <c r="A1442" t="s">
        <v>2925</v>
      </c>
      <c r="B1442" t="s">
        <v>3262</v>
      </c>
      <c r="C1442" t="s">
        <v>3263</v>
      </c>
      <c r="J1442">
        <f>LEN(Table13[[#This Row],[REFERENCE_DESCR1]])</f>
        <v>19</v>
      </c>
    </row>
    <row r="1443" spans="1:10" hidden="1">
      <c r="A1443" t="s">
        <v>2925</v>
      </c>
      <c r="B1443" t="s">
        <v>3264</v>
      </c>
      <c r="C1443" t="s">
        <v>3265</v>
      </c>
      <c r="J1443">
        <f>LEN(Table13[[#This Row],[REFERENCE_DESCR1]])</f>
        <v>13</v>
      </c>
    </row>
    <row r="1444" spans="1:10" hidden="1">
      <c r="A1444" t="s">
        <v>2925</v>
      </c>
      <c r="B1444" t="s">
        <v>3266</v>
      </c>
      <c r="C1444" t="s">
        <v>3267</v>
      </c>
      <c r="J1444">
        <f>LEN(Table13[[#This Row],[REFERENCE_DESCR1]])</f>
        <v>12</v>
      </c>
    </row>
    <row r="1445" spans="1:10" hidden="1">
      <c r="A1445" t="s">
        <v>2925</v>
      </c>
      <c r="B1445" t="s">
        <v>3268</v>
      </c>
      <c r="C1445" t="s">
        <v>3269</v>
      </c>
      <c r="J1445">
        <f>LEN(Table13[[#This Row],[REFERENCE_DESCR1]])</f>
        <v>17</v>
      </c>
    </row>
    <row r="1446" spans="1:10" hidden="1">
      <c r="A1446" t="s">
        <v>2925</v>
      </c>
      <c r="B1446" t="s">
        <v>3270</v>
      </c>
      <c r="C1446" t="s">
        <v>3271</v>
      </c>
      <c r="J1446">
        <f>LEN(Table13[[#This Row],[REFERENCE_DESCR1]])</f>
        <v>7</v>
      </c>
    </row>
    <row r="1447" spans="1:10" hidden="1">
      <c r="A1447" t="s">
        <v>2925</v>
      </c>
      <c r="B1447" t="s">
        <v>3272</v>
      </c>
      <c r="C1447" t="s">
        <v>3273</v>
      </c>
      <c r="J1447">
        <f>LEN(Table13[[#This Row],[REFERENCE_DESCR1]])</f>
        <v>10</v>
      </c>
    </row>
    <row r="1448" spans="1:10" hidden="1">
      <c r="A1448" t="s">
        <v>2925</v>
      </c>
      <c r="B1448" t="s">
        <v>3274</v>
      </c>
      <c r="C1448" t="s">
        <v>3275</v>
      </c>
      <c r="J1448">
        <f>LEN(Table13[[#This Row],[REFERENCE_DESCR1]])</f>
        <v>12</v>
      </c>
    </row>
    <row r="1449" spans="1:10" hidden="1">
      <c r="A1449" t="s">
        <v>2925</v>
      </c>
      <c r="B1449" t="s">
        <v>3276</v>
      </c>
      <c r="C1449" t="s">
        <v>3277</v>
      </c>
      <c r="J1449">
        <f>LEN(Table13[[#This Row],[REFERENCE_DESCR1]])</f>
        <v>9</v>
      </c>
    </row>
    <row r="1450" spans="1:10" hidden="1">
      <c r="A1450" t="s">
        <v>2925</v>
      </c>
      <c r="B1450" t="s">
        <v>3278</v>
      </c>
      <c r="C1450" t="s">
        <v>3279</v>
      </c>
      <c r="J1450">
        <f>LEN(Table13[[#This Row],[REFERENCE_DESCR1]])</f>
        <v>10</v>
      </c>
    </row>
    <row r="1451" spans="1:10" hidden="1">
      <c r="A1451" t="s">
        <v>2925</v>
      </c>
      <c r="B1451" t="s">
        <v>3280</v>
      </c>
      <c r="C1451" t="s">
        <v>3281</v>
      </c>
      <c r="J1451">
        <f>LEN(Table13[[#This Row],[REFERENCE_DESCR1]])</f>
        <v>8</v>
      </c>
    </row>
    <row r="1452" spans="1:10" hidden="1">
      <c r="A1452" t="s">
        <v>2925</v>
      </c>
      <c r="B1452" t="s">
        <v>3282</v>
      </c>
      <c r="C1452" t="s">
        <v>3283</v>
      </c>
      <c r="J1452">
        <f>LEN(Table13[[#This Row],[REFERENCE_DESCR1]])</f>
        <v>8</v>
      </c>
    </row>
    <row r="1453" spans="1:10" hidden="1">
      <c r="A1453" t="s">
        <v>2925</v>
      </c>
      <c r="B1453" t="s">
        <v>3284</v>
      </c>
      <c r="C1453" t="s">
        <v>3285</v>
      </c>
      <c r="J1453">
        <f>LEN(Table13[[#This Row],[REFERENCE_DESCR1]])</f>
        <v>8</v>
      </c>
    </row>
    <row r="1454" spans="1:10" hidden="1">
      <c r="A1454" t="s">
        <v>2925</v>
      </c>
      <c r="B1454" t="s">
        <v>3286</v>
      </c>
      <c r="C1454" t="s">
        <v>3287</v>
      </c>
      <c r="J1454">
        <f>LEN(Table13[[#This Row],[REFERENCE_DESCR1]])</f>
        <v>13</v>
      </c>
    </row>
    <row r="1455" spans="1:10" hidden="1">
      <c r="A1455" t="s">
        <v>2925</v>
      </c>
      <c r="B1455" t="s">
        <v>3288</v>
      </c>
      <c r="C1455" t="s">
        <v>3289</v>
      </c>
      <c r="J1455">
        <f>LEN(Table13[[#This Row],[REFERENCE_DESCR1]])</f>
        <v>9</v>
      </c>
    </row>
    <row r="1456" spans="1:10" hidden="1">
      <c r="A1456" t="s">
        <v>2925</v>
      </c>
      <c r="B1456" t="s">
        <v>3290</v>
      </c>
      <c r="C1456" t="s">
        <v>3291</v>
      </c>
      <c r="J1456">
        <f>LEN(Table13[[#This Row],[REFERENCE_DESCR1]])</f>
        <v>8</v>
      </c>
    </row>
    <row r="1457" spans="1:10" hidden="1">
      <c r="A1457" t="s">
        <v>2925</v>
      </c>
      <c r="B1457" t="s">
        <v>3292</v>
      </c>
      <c r="C1457" t="s">
        <v>3293</v>
      </c>
      <c r="J1457">
        <f>LEN(Table13[[#This Row],[REFERENCE_DESCR1]])</f>
        <v>5</v>
      </c>
    </row>
    <row r="1458" spans="1:10" hidden="1">
      <c r="A1458" t="s">
        <v>2925</v>
      </c>
      <c r="B1458" t="s">
        <v>3294</v>
      </c>
      <c r="C1458" t="s">
        <v>3295</v>
      </c>
      <c r="J1458">
        <f>LEN(Table13[[#This Row],[REFERENCE_DESCR1]])</f>
        <v>7</v>
      </c>
    </row>
    <row r="1459" spans="1:10" hidden="1">
      <c r="A1459" t="s">
        <v>2925</v>
      </c>
      <c r="B1459" t="s">
        <v>3296</v>
      </c>
      <c r="C1459" t="s">
        <v>3297</v>
      </c>
      <c r="J1459">
        <f>LEN(Table13[[#This Row],[REFERENCE_DESCR1]])</f>
        <v>10</v>
      </c>
    </row>
    <row r="1460" spans="1:10" hidden="1">
      <c r="A1460" t="s">
        <v>2925</v>
      </c>
      <c r="B1460" t="s">
        <v>3298</v>
      </c>
      <c r="C1460" t="s">
        <v>3299</v>
      </c>
      <c r="J1460">
        <f>LEN(Table13[[#This Row],[REFERENCE_DESCR1]])</f>
        <v>10</v>
      </c>
    </row>
    <row r="1461" spans="1:10" hidden="1">
      <c r="A1461" t="s">
        <v>2925</v>
      </c>
      <c r="B1461" t="s">
        <v>3300</v>
      </c>
      <c r="C1461" t="s">
        <v>3301</v>
      </c>
      <c r="J1461">
        <f>LEN(Table13[[#This Row],[REFERENCE_DESCR1]])</f>
        <v>22</v>
      </c>
    </row>
    <row r="1462" spans="1:10" hidden="1">
      <c r="A1462" t="s">
        <v>2925</v>
      </c>
      <c r="B1462" t="s">
        <v>3302</v>
      </c>
      <c r="C1462" t="s">
        <v>3303</v>
      </c>
      <c r="J1462">
        <f>LEN(Table13[[#This Row],[REFERENCE_DESCR1]])</f>
        <v>10</v>
      </c>
    </row>
    <row r="1463" spans="1:10" hidden="1">
      <c r="A1463" t="s">
        <v>2925</v>
      </c>
      <c r="B1463" t="s">
        <v>3304</v>
      </c>
      <c r="C1463" t="s">
        <v>3305</v>
      </c>
      <c r="J1463">
        <f>LEN(Table13[[#This Row],[REFERENCE_DESCR1]])</f>
        <v>7</v>
      </c>
    </row>
    <row r="1464" spans="1:10" hidden="1">
      <c r="A1464" t="s">
        <v>2925</v>
      </c>
      <c r="B1464" t="s">
        <v>3306</v>
      </c>
      <c r="C1464" t="s">
        <v>3307</v>
      </c>
      <c r="J1464">
        <f>LEN(Table13[[#This Row],[REFERENCE_DESCR1]])</f>
        <v>14</v>
      </c>
    </row>
    <row r="1465" spans="1:10" hidden="1">
      <c r="A1465" t="s">
        <v>2925</v>
      </c>
      <c r="B1465" t="s">
        <v>3308</v>
      </c>
      <c r="C1465" t="s">
        <v>3309</v>
      </c>
      <c r="J1465">
        <f>LEN(Table13[[#This Row],[REFERENCE_DESCR1]])</f>
        <v>10</v>
      </c>
    </row>
    <row r="1466" spans="1:10" hidden="1">
      <c r="A1466" t="s">
        <v>2925</v>
      </c>
      <c r="B1466" t="s">
        <v>3310</v>
      </c>
      <c r="C1466" t="s">
        <v>3311</v>
      </c>
      <c r="J1466">
        <f>LEN(Table13[[#This Row],[REFERENCE_DESCR1]])</f>
        <v>22</v>
      </c>
    </row>
    <row r="1467" spans="1:10" hidden="1">
      <c r="A1467" t="s">
        <v>2925</v>
      </c>
      <c r="B1467" t="s">
        <v>3312</v>
      </c>
      <c r="C1467" t="s">
        <v>3313</v>
      </c>
      <c r="J1467">
        <f>LEN(Table13[[#This Row],[REFERENCE_DESCR1]])</f>
        <v>9</v>
      </c>
    </row>
    <row r="1468" spans="1:10" hidden="1">
      <c r="A1468" t="s">
        <v>2925</v>
      </c>
      <c r="B1468" t="s">
        <v>3314</v>
      </c>
      <c r="C1468" t="s">
        <v>3315</v>
      </c>
      <c r="J1468">
        <f>LEN(Table13[[#This Row],[REFERENCE_DESCR1]])</f>
        <v>13</v>
      </c>
    </row>
    <row r="1469" spans="1:10" hidden="1">
      <c r="A1469" t="s">
        <v>2925</v>
      </c>
      <c r="B1469" t="s">
        <v>3316</v>
      </c>
      <c r="C1469" t="s">
        <v>3317</v>
      </c>
      <c r="J1469">
        <f>LEN(Table13[[#This Row],[REFERENCE_DESCR1]])</f>
        <v>9</v>
      </c>
    </row>
    <row r="1470" spans="1:10" hidden="1">
      <c r="A1470" t="s">
        <v>2925</v>
      </c>
      <c r="B1470" t="s">
        <v>3318</v>
      </c>
      <c r="C1470" t="s">
        <v>3319</v>
      </c>
      <c r="J1470">
        <f>LEN(Table13[[#This Row],[REFERENCE_DESCR1]])</f>
        <v>7</v>
      </c>
    </row>
    <row r="1471" spans="1:10" hidden="1">
      <c r="A1471" t="s">
        <v>2925</v>
      </c>
      <c r="B1471" t="s">
        <v>3320</v>
      </c>
      <c r="C1471" t="s">
        <v>3321</v>
      </c>
      <c r="J1471">
        <f>LEN(Table13[[#This Row],[REFERENCE_DESCR1]])</f>
        <v>12</v>
      </c>
    </row>
    <row r="1472" spans="1:10" hidden="1">
      <c r="A1472" t="s">
        <v>2925</v>
      </c>
      <c r="B1472" t="s">
        <v>3322</v>
      </c>
      <c r="C1472" t="s">
        <v>3323</v>
      </c>
      <c r="J1472">
        <f>LEN(Table13[[#This Row],[REFERENCE_DESCR1]])</f>
        <v>11</v>
      </c>
    </row>
    <row r="1473" spans="1:10" hidden="1">
      <c r="A1473" t="s">
        <v>2925</v>
      </c>
      <c r="B1473" t="s">
        <v>3324</v>
      </c>
      <c r="C1473" t="s">
        <v>3325</v>
      </c>
      <c r="J1473">
        <f>LEN(Table13[[#This Row],[REFERENCE_DESCR1]])</f>
        <v>10</v>
      </c>
    </row>
    <row r="1474" spans="1:10" hidden="1">
      <c r="A1474" t="s">
        <v>2925</v>
      </c>
      <c r="B1474" t="s">
        <v>3326</v>
      </c>
      <c r="C1474" t="s">
        <v>3327</v>
      </c>
      <c r="J1474">
        <f>LEN(Table13[[#This Row],[REFERENCE_DESCR1]])</f>
        <v>8</v>
      </c>
    </row>
    <row r="1475" spans="1:10" hidden="1">
      <c r="A1475" t="s">
        <v>2925</v>
      </c>
      <c r="B1475" t="s">
        <v>3328</v>
      </c>
      <c r="C1475" t="s">
        <v>3329</v>
      </c>
      <c r="J1475">
        <f>LEN(Table13[[#This Row],[REFERENCE_DESCR1]])</f>
        <v>11</v>
      </c>
    </row>
    <row r="1476" spans="1:10" hidden="1">
      <c r="A1476" t="s">
        <v>2925</v>
      </c>
      <c r="B1476" t="s">
        <v>3330</v>
      </c>
      <c r="C1476" t="s">
        <v>3331</v>
      </c>
      <c r="J1476">
        <f>LEN(Table13[[#This Row],[REFERENCE_DESCR1]])</f>
        <v>8</v>
      </c>
    </row>
    <row r="1477" spans="1:10" hidden="1">
      <c r="A1477" t="s">
        <v>2925</v>
      </c>
      <c r="B1477" t="s">
        <v>3332</v>
      </c>
      <c r="C1477" t="s">
        <v>3333</v>
      </c>
      <c r="J1477">
        <f>LEN(Table13[[#This Row],[REFERENCE_DESCR1]])</f>
        <v>7</v>
      </c>
    </row>
    <row r="1478" spans="1:10" hidden="1">
      <c r="A1478" t="s">
        <v>2925</v>
      </c>
      <c r="B1478" t="s">
        <v>3334</v>
      </c>
      <c r="C1478" t="s">
        <v>3335</v>
      </c>
      <c r="J1478">
        <f>LEN(Table13[[#This Row],[REFERENCE_DESCR1]])</f>
        <v>7</v>
      </c>
    </row>
    <row r="1479" spans="1:10" hidden="1">
      <c r="A1479" t="s">
        <v>2925</v>
      </c>
      <c r="B1479" t="s">
        <v>3336</v>
      </c>
      <c r="C1479" t="s">
        <v>3337</v>
      </c>
      <c r="J1479">
        <f>LEN(Table13[[#This Row],[REFERENCE_DESCR1]])</f>
        <v>7</v>
      </c>
    </row>
    <row r="1480" spans="1:10" hidden="1">
      <c r="A1480" t="s">
        <v>2925</v>
      </c>
      <c r="B1480" t="s">
        <v>3338</v>
      </c>
      <c r="C1480" t="s">
        <v>3339</v>
      </c>
      <c r="J1480">
        <f>LEN(Table13[[#This Row],[REFERENCE_DESCR1]])</f>
        <v>13</v>
      </c>
    </row>
    <row r="1481" spans="1:10" hidden="1">
      <c r="A1481" t="s">
        <v>2925</v>
      </c>
      <c r="B1481" t="s">
        <v>3340</v>
      </c>
      <c r="C1481" t="s">
        <v>3341</v>
      </c>
      <c r="J1481">
        <f>LEN(Table13[[#This Row],[REFERENCE_DESCR1]])</f>
        <v>17</v>
      </c>
    </row>
    <row r="1482" spans="1:10" hidden="1">
      <c r="A1482" t="s">
        <v>2925</v>
      </c>
      <c r="B1482" t="s">
        <v>3342</v>
      </c>
      <c r="C1482" t="s">
        <v>3343</v>
      </c>
      <c r="J1482">
        <f>LEN(Table13[[#This Row],[REFERENCE_DESCR1]])</f>
        <v>12</v>
      </c>
    </row>
    <row r="1483" spans="1:10" hidden="1">
      <c r="A1483" t="s">
        <v>2925</v>
      </c>
      <c r="B1483" t="s">
        <v>3344</v>
      </c>
      <c r="C1483" t="s">
        <v>3345</v>
      </c>
      <c r="J1483">
        <f>LEN(Table13[[#This Row],[REFERENCE_DESCR1]])</f>
        <v>12</v>
      </c>
    </row>
    <row r="1484" spans="1:10" hidden="1">
      <c r="A1484" t="s">
        <v>2925</v>
      </c>
      <c r="B1484" t="s">
        <v>3346</v>
      </c>
      <c r="C1484" t="s">
        <v>3347</v>
      </c>
      <c r="J1484">
        <f>LEN(Table13[[#This Row],[REFERENCE_DESCR1]])</f>
        <v>10</v>
      </c>
    </row>
    <row r="1485" spans="1:10" hidden="1">
      <c r="A1485" t="s">
        <v>2925</v>
      </c>
      <c r="B1485" t="s">
        <v>1774</v>
      </c>
      <c r="C1485" t="s">
        <v>3348</v>
      </c>
      <c r="J1485">
        <f>LEN(Table13[[#This Row],[REFERENCE_DESCR1]])</f>
        <v>9</v>
      </c>
    </row>
    <row r="1486" spans="1:10" hidden="1">
      <c r="A1486" t="s">
        <v>2925</v>
      </c>
      <c r="B1486" t="s">
        <v>3349</v>
      </c>
      <c r="C1486" t="s">
        <v>3350</v>
      </c>
      <c r="J1486">
        <f>LEN(Table13[[#This Row],[REFERENCE_DESCR1]])</f>
        <v>8</v>
      </c>
    </row>
    <row r="1487" spans="1:10" hidden="1">
      <c r="A1487" t="s">
        <v>2925</v>
      </c>
      <c r="B1487" t="s">
        <v>3351</v>
      </c>
      <c r="C1487" t="s">
        <v>3352</v>
      </c>
      <c r="J1487">
        <f>LEN(Table13[[#This Row],[REFERENCE_DESCR1]])</f>
        <v>13</v>
      </c>
    </row>
    <row r="1488" spans="1:10" hidden="1">
      <c r="A1488" t="s">
        <v>2925</v>
      </c>
      <c r="B1488" t="s">
        <v>3353</v>
      </c>
      <c r="C1488" t="s">
        <v>3354</v>
      </c>
      <c r="J1488">
        <f>LEN(Table13[[#This Row],[REFERENCE_DESCR1]])</f>
        <v>7</v>
      </c>
    </row>
    <row r="1489" spans="1:10" hidden="1">
      <c r="A1489" t="s">
        <v>2925</v>
      </c>
      <c r="B1489" t="s">
        <v>3355</v>
      </c>
      <c r="C1489" t="s">
        <v>3356</v>
      </c>
      <c r="J1489">
        <f>LEN(Table13[[#This Row],[REFERENCE_DESCR1]])</f>
        <v>35</v>
      </c>
    </row>
    <row r="1490" spans="1:10" hidden="1">
      <c r="A1490" t="s">
        <v>2925</v>
      </c>
      <c r="B1490" t="s">
        <v>3357</v>
      </c>
      <c r="C1490" t="s">
        <v>3358</v>
      </c>
      <c r="J1490">
        <f>LEN(Table13[[#This Row],[REFERENCE_DESCR1]])</f>
        <v>9</v>
      </c>
    </row>
    <row r="1491" spans="1:10" hidden="1">
      <c r="A1491" t="s">
        <v>2925</v>
      </c>
      <c r="B1491" t="s">
        <v>3359</v>
      </c>
      <c r="C1491" t="s">
        <v>3360</v>
      </c>
      <c r="J1491">
        <f>LEN(Table13[[#This Row],[REFERENCE_DESCR1]])</f>
        <v>21</v>
      </c>
    </row>
    <row r="1492" spans="1:10" hidden="1">
      <c r="A1492" t="s">
        <v>2925</v>
      </c>
      <c r="B1492" t="s">
        <v>3361</v>
      </c>
      <c r="C1492" t="s">
        <v>3362</v>
      </c>
      <c r="J1492">
        <f>LEN(Table13[[#This Row],[REFERENCE_DESCR1]])</f>
        <v>18</v>
      </c>
    </row>
    <row r="1493" spans="1:10" hidden="1">
      <c r="A1493" t="s">
        <v>2925</v>
      </c>
      <c r="B1493" t="s">
        <v>3363</v>
      </c>
      <c r="C1493" t="s">
        <v>3364</v>
      </c>
      <c r="J1493">
        <f>LEN(Table13[[#This Row],[REFERENCE_DESCR1]])</f>
        <v>12</v>
      </c>
    </row>
    <row r="1494" spans="1:10" hidden="1">
      <c r="A1494" t="s">
        <v>2925</v>
      </c>
      <c r="B1494" t="s">
        <v>3365</v>
      </c>
      <c r="C1494" t="s">
        <v>3366</v>
      </c>
      <c r="J1494">
        <f>LEN(Table13[[#This Row],[REFERENCE_DESCR1]])</f>
        <v>6</v>
      </c>
    </row>
    <row r="1495" spans="1:10" hidden="1">
      <c r="A1495" t="s">
        <v>2925</v>
      </c>
      <c r="B1495" t="s">
        <v>3367</v>
      </c>
      <c r="C1495" t="s">
        <v>3368</v>
      </c>
      <c r="J1495">
        <f>LEN(Table13[[#This Row],[REFERENCE_DESCR1]])</f>
        <v>9</v>
      </c>
    </row>
    <row r="1496" spans="1:10" hidden="1">
      <c r="A1496" t="s">
        <v>2925</v>
      </c>
      <c r="B1496" t="s">
        <v>3369</v>
      </c>
      <c r="C1496" t="s">
        <v>3370</v>
      </c>
      <c r="J1496">
        <f>LEN(Table13[[#This Row],[REFERENCE_DESCR1]])</f>
        <v>14</v>
      </c>
    </row>
    <row r="1497" spans="1:10" hidden="1">
      <c r="A1497" t="s">
        <v>2925</v>
      </c>
      <c r="B1497" t="s">
        <v>3371</v>
      </c>
      <c r="C1497" t="s">
        <v>3372</v>
      </c>
      <c r="J1497">
        <f>LEN(Table13[[#This Row],[REFERENCE_DESCR1]])</f>
        <v>8</v>
      </c>
    </row>
    <row r="1498" spans="1:10" hidden="1">
      <c r="A1498" t="s">
        <v>2925</v>
      </c>
      <c r="B1498" t="s">
        <v>3373</v>
      </c>
      <c r="C1498" t="s">
        <v>3374</v>
      </c>
      <c r="J1498">
        <f>LEN(Table13[[#This Row],[REFERENCE_DESCR1]])</f>
        <v>40</v>
      </c>
    </row>
    <row r="1499" spans="1:10" hidden="1">
      <c r="A1499" t="s">
        <v>2925</v>
      </c>
      <c r="B1499" t="s">
        <v>3375</v>
      </c>
      <c r="C1499" t="s">
        <v>3376</v>
      </c>
      <c r="J1499">
        <f>LEN(Table13[[#This Row],[REFERENCE_DESCR1]])</f>
        <v>12</v>
      </c>
    </row>
    <row r="1500" spans="1:10" hidden="1">
      <c r="A1500" t="s">
        <v>2925</v>
      </c>
      <c r="B1500" t="s">
        <v>3377</v>
      </c>
      <c r="C1500" t="s">
        <v>3378</v>
      </c>
      <c r="J1500">
        <f>LEN(Table13[[#This Row],[REFERENCE_DESCR1]])</f>
        <v>27</v>
      </c>
    </row>
    <row r="1501" spans="1:10" hidden="1">
      <c r="A1501" t="s">
        <v>2925</v>
      </c>
      <c r="B1501" t="s">
        <v>3379</v>
      </c>
      <c r="C1501" t="s">
        <v>3380</v>
      </c>
      <c r="J1501">
        <f>LEN(Table13[[#This Row],[REFERENCE_DESCR1]])</f>
        <v>14</v>
      </c>
    </row>
    <row r="1502" spans="1:10" hidden="1">
      <c r="A1502" t="s">
        <v>2925</v>
      </c>
      <c r="B1502" t="s">
        <v>3381</v>
      </c>
      <c r="C1502" t="s">
        <v>3382</v>
      </c>
      <c r="J1502">
        <f>LEN(Table13[[#This Row],[REFERENCE_DESCR1]])</f>
        <v>32</v>
      </c>
    </row>
    <row r="1503" spans="1:10" hidden="1">
      <c r="A1503" t="s">
        <v>2925</v>
      </c>
      <c r="B1503" t="s">
        <v>3383</v>
      </c>
      <c r="C1503" t="s">
        <v>3384</v>
      </c>
      <c r="J1503">
        <f>LEN(Table13[[#This Row],[REFERENCE_DESCR1]])</f>
        <v>30</v>
      </c>
    </row>
    <row r="1504" spans="1:10" hidden="1">
      <c r="A1504" t="s">
        <v>2925</v>
      </c>
      <c r="B1504" t="s">
        <v>3385</v>
      </c>
      <c r="C1504" t="s">
        <v>3386</v>
      </c>
      <c r="J1504">
        <f>LEN(Table13[[#This Row],[REFERENCE_DESCR1]])</f>
        <v>26</v>
      </c>
    </row>
    <row r="1505" spans="1:10" hidden="1">
      <c r="A1505" t="s">
        <v>2925</v>
      </c>
      <c r="B1505" t="s">
        <v>3387</v>
      </c>
      <c r="C1505" t="s">
        <v>3388</v>
      </c>
      <c r="J1505">
        <f>LEN(Table13[[#This Row],[REFERENCE_DESCR1]])</f>
        <v>26</v>
      </c>
    </row>
    <row r="1506" spans="1:10" hidden="1">
      <c r="A1506" t="s">
        <v>2925</v>
      </c>
      <c r="B1506" t="s">
        <v>3389</v>
      </c>
      <c r="C1506" t="s">
        <v>3390</v>
      </c>
      <c r="J1506">
        <f>LEN(Table13[[#This Row],[REFERENCE_DESCR1]])</f>
        <v>27</v>
      </c>
    </row>
    <row r="1507" spans="1:10" hidden="1">
      <c r="A1507" t="s">
        <v>2925</v>
      </c>
      <c r="B1507" t="s">
        <v>3391</v>
      </c>
      <c r="C1507" t="s">
        <v>3392</v>
      </c>
      <c r="J1507">
        <f>LEN(Table13[[#This Row],[REFERENCE_DESCR1]])</f>
        <v>26</v>
      </c>
    </row>
    <row r="1508" spans="1:10" hidden="1">
      <c r="A1508" t="s">
        <v>2925</v>
      </c>
      <c r="B1508" t="s">
        <v>3393</v>
      </c>
      <c r="C1508" t="s">
        <v>3394</v>
      </c>
      <c r="J1508">
        <f>LEN(Table13[[#This Row],[REFERENCE_DESCR1]])</f>
        <v>27</v>
      </c>
    </row>
    <row r="1509" spans="1:10" hidden="1">
      <c r="A1509" t="s">
        <v>2925</v>
      </c>
      <c r="B1509" t="s">
        <v>3395</v>
      </c>
      <c r="C1509" t="s">
        <v>3396</v>
      </c>
      <c r="J1509">
        <f>LEN(Table13[[#This Row],[REFERENCE_DESCR1]])</f>
        <v>10</v>
      </c>
    </row>
    <row r="1510" spans="1:10" hidden="1">
      <c r="A1510" t="s">
        <v>2925</v>
      </c>
      <c r="B1510" t="s">
        <v>3397</v>
      </c>
      <c r="C1510" t="s">
        <v>3398</v>
      </c>
      <c r="J1510">
        <f>LEN(Table13[[#This Row],[REFERENCE_DESCR1]])</f>
        <v>14</v>
      </c>
    </row>
    <row r="1511" spans="1:10" hidden="1">
      <c r="A1511" t="s">
        <v>2925</v>
      </c>
      <c r="B1511" t="s">
        <v>3399</v>
      </c>
      <c r="C1511" t="s">
        <v>3400</v>
      </c>
      <c r="J1511">
        <f>LEN(Table13[[#This Row],[REFERENCE_DESCR1]])</f>
        <v>5</v>
      </c>
    </row>
    <row r="1512" spans="1:10" hidden="1">
      <c r="A1512" t="s">
        <v>2925</v>
      </c>
      <c r="B1512" t="s">
        <v>3401</v>
      </c>
      <c r="C1512" t="s">
        <v>3402</v>
      </c>
      <c r="J1512">
        <f>LEN(Table13[[#This Row],[REFERENCE_DESCR1]])</f>
        <v>11</v>
      </c>
    </row>
    <row r="1513" spans="1:10" hidden="1">
      <c r="A1513" t="s">
        <v>2925</v>
      </c>
      <c r="B1513" t="s">
        <v>3403</v>
      </c>
      <c r="C1513" t="s">
        <v>3404</v>
      </c>
      <c r="J1513">
        <f>LEN(Table13[[#This Row],[REFERENCE_DESCR1]])</f>
        <v>10</v>
      </c>
    </row>
    <row r="1514" spans="1:10" hidden="1">
      <c r="A1514" t="s">
        <v>2925</v>
      </c>
      <c r="B1514" t="s">
        <v>3405</v>
      </c>
      <c r="C1514" t="s">
        <v>3406</v>
      </c>
      <c r="J1514">
        <f>LEN(Table13[[#This Row],[REFERENCE_DESCR1]])</f>
        <v>9</v>
      </c>
    </row>
    <row r="1515" spans="1:10" hidden="1">
      <c r="A1515" t="s">
        <v>2925</v>
      </c>
      <c r="B1515" t="s">
        <v>3407</v>
      </c>
      <c r="C1515" t="s">
        <v>3408</v>
      </c>
      <c r="J1515">
        <f>LEN(Table13[[#This Row],[REFERENCE_DESCR1]])</f>
        <v>19</v>
      </c>
    </row>
    <row r="1516" spans="1:10" hidden="1">
      <c r="A1516" t="s">
        <v>2925</v>
      </c>
      <c r="B1516" t="s">
        <v>3409</v>
      </c>
      <c r="C1516" t="s">
        <v>3410</v>
      </c>
      <c r="J1516">
        <f>LEN(Table13[[#This Row],[REFERENCE_DESCR1]])</f>
        <v>30</v>
      </c>
    </row>
    <row r="1517" spans="1:10" hidden="1">
      <c r="A1517" t="s">
        <v>2925</v>
      </c>
      <c r="B1517" t="s">
        <v>3411</v>
      </c>
      <c r="C1517" t="s">
        <v>3412</v>
      </c>
      <c r="J1517">
        <f>LEN(Table13[[#This Row],[REFERENCE_DESCR1]])</f>
        <v>11</v>
      </c>
    </row>
    <row r="1518" spans="1:10" hidden="1">
      <c r="A1518" t="s">
        <v>2925</v>
      </c>
      <c r="B1518" t="s">
        <v>3413</v>
      </c>
      <c r="C1518" t="s">
        <v>3414</v>
      </c>
      <c r="J1518">
        <f>LEN(Table13[[#This Row],[REFERENCE_DESCR1]])</f>
        <v>19</v>
      </c>
    </row>
    <row r="1519" spans="1:10" hidden="1">
      <c r="A1519" t="s">
        <v>2925</v>
      </c>
      <c r="B1519" t="s">
        <v>3415</v>
      </c>
      <c r="C1519" t="s">
        <v>3416</v>
      </c>
      <c r="J1519">
        <f>LEN(Table13[[#This Row],[REFERENCE_DESCR1]])</f>
        <v>14</v>
      </c>
    </row>
    <row r="1520" spans="1:10" hidden="1">
      <c r="A1520" t="s">
        <v>2925</v>
      </c>
      <c r="B1520" t="s">
        <v>3417</v>
      </c>
      <c r="C1520" t="s">
        <v>3418</v>
      </c>
      <c r="J1520">
        <f>LEN(Table13[[#This Row],[REFERENCE_DESCR1]])</f>
        <v>8</v>
      </c>
    </row>
    <row r="1521" spans="1:10" hidden="1">
      <c r="A1521" t="s">
        <v>2925</v>
      </c>
      <c r="B1521" t="s">
        <v>3419</v>
      </c>
      <c r="C1521" t="s">
        <v>3420</v>
      </c>
      <c r="J1521">
        <f>LEN(Table13[[#This Row],[REFERENCE_DESCR1]])</f>
        <v>6</v>
      </c>
    </row>
    <row r="1522" spans="1:10" hidden="1">
      <c r="A1522" t="s">
        <v>2925</v>
      </c>
      <c r="B1522" t="s">
        <v>3421</v>
      </c>
      <c r="C1522" t="s">
        <v>3422</v>
      </c>
      <c r="J1522">
        <f>LEN(Table13[[#This Row],[REFERENCE_DESCR1]])</f>
        <v>8</v>
      </c>
    </row>
    <row r="1523" spans="1:10" hidden="1">
      <c r="A1523" t="s">
        <v>2925</v>
      </c>
      <c r="B1523" t="s">
        <v>3423</v>
      </c>
      <c r="C1523" t="s">
        <v>3424</v>
      </c>
      <c r="J1523">
        <f>LEN(Table13[[#This Row],[REFERENCE_DESCR1]])</f>
        <v>15</v>
      </c>
    </row>
    <row r="1524" spans="1:10" hidden="1">
      <c r="A1524" t="s">
        <v>2925</v>
      </c>
      <c r="B1524" t="s">
        <v>3425</v>
      </c>
      <c r="C1524" t="s">
        <v>3426</v>
      </c>
      <c r="J1524">
        <f>LEN(Table13[[#This Row],[REFERENCE_DESCR1]])</f>
        <v>14</v>
      </c>
    </row>
    <row r="1525" spans="1:10" hidden="1">
      <c r="A1525" t="s">
        <v>2925</v>
      </c>
      <c r="B1525" t="s">
        <v>3427</v>
      </c>
      <c r="C1525" t="s">
        <v>3428</v>
      </c>
      <c r="J1525">
        <f>LEN(Table13[[#This Row],[REFERENCE_DESCR1]])</f>
        <v>7</v>
      </c>
    </row>
    <row r="1526" spans="1:10" hidden="1">
      <c r="A1526" t="s">
        <v>2925</v>
      </c>
      <c r="B1526" t="s">
        <v>3429</v>
      </c>
      <c r="C1526" t="s">
        <v>3430</v>
      </c>
      <c r="J1526">
        <f>LEN(Table13[[#This Row],[REFERENCE_DESCR1]])</f>
        <v>13</v>
      </c>
    </row>
    <row r="1527" spans="1:10" hidden="1">
      <c r="A1527" t="s">
        <v>2925</v>
      </c>
      <c r="B1527" t="s">
        <v>3431</v>
      </c>
      <c r="C1527" t="s">
        <v>3432</v>
      </c>
      <c r="J1527">
        <f>LEN(Table13[[#This Row],[REFERENCE_DESCR1]])</f>
        <v>8</v>
      </c>
    </row>
    <row r="1528" spans="1:10" hidden="1">
      <c r="A1528" t="s">
        <v>2925</v>
      </c>
      <c r="B1528" t="s">
        <v>3433</v>
      </c>
      <c r="C1528" t="s">
        <v>3434</v>
      </c>
      <c r="J1528">
        <f>LEN(Table13[[#This Row],[REFERENCE_DESCR1]])</f>
        <v>7</v>
      </c>
    </row>
    <row r="1529" spans="1:10" hidden="1">
      <c r="A1529" t="s">
        <v>2925</v>
      </c>
      <c r="B1529" t="s">
        <v>3435</v>
      </c>
      <c r="C1529" t="s">
        <v>3436</v>
      </c>
      <c r="J1529">
        <f>LEN(Table13[[#This Row],[REFERENCE_DESCR1]])</f>
        <v>10</v>
      </c>
    </row>
    <row r="1530" spans="1:10" hidden="1">
      <c r="A1530" t="s">
        <v>2925</v>
      </c>
      <c r="B1530" t="s">
        <v>3437</v>
      </c>
      <c r="C1530" t="s">
        <v>3438</v>
      </c>
      <c r="J1530">
        <f>LEN(Table13[[#This Row],[REFERENCE_DESCR1]])</f>
        <v>7</v>
      </c>
    </row>
    <row r="1531" spans="1:10" hidden="1">
      <c r="A1531" t="s">
        <v>2925</v>
      </c>
      <c r="B1531" t="s">
        <v>3439</v>
      </c>
      <c r="C1531" t="s">
        <v>3440</v>
      </c>
      <c r="J1531">
        <f>LEN(Table13[[#This Row],[REFERENCE_DESCR1]])</f>
        <v>8</v>
      </c>
    </row>
    <row r="1532" spans="1:10" hidden="1">
      <c r="A1532" t="s">
        <v>2925</v>
      </c>
      <c r="B1532" t="s">
        <v>3441</v>
      </c>
      <c r="C1532" t="s">
        <v>3442</v>
      </c>
      <c r="J1532">
        <f>LEN(Table13[[#This Row],[REFERENCE_DESCR1]])</f>
        <v>8</v>
      </c>
    </row>
    <row r="1533" spans="1:10" hidden="1">
      <c r="A1533" t="s">
        <v>2925</v>
      </c>
      <c r="B1533" t="s">
        <v>3443</v>
      </c>
      <c r="C1533" t="s">
        <v>3444</v>
      </c>
      <c r="J1533">
        <f>LEN(Table13[[#This Row],[REFERENCE_DESCR1]])</f>
        <v>8</v>
      </c>
    </row>
    <row r="1534" spans="1:10" hidden="1">
      <c r="A1534" t="s">
        <v>2925</v>
      </c>
      <c r="B1534" t="s">
        <v>3445</v>
      </c>
      <c r="C1534" t="s">
        <v>3446</v>
      </c>
      <c r="J1534">
        <f>LEN(Table13[[#This Row],[REFERENCE_DESCR1]])</f>
        <v>15</v>
      </c>
    </row>
    <row r="1535" spans="1:10" hidden="1">
      <c r="A1535" t="s">
        <v>2925</v>
      </c>
      <c r="B1535" t="s">
        <v>3447</v>
      </c>
      <c r="C1535" t="s">
        <v>3448</v>
      </c>
      <c r="J1535">
        <f>LEN(Table13[[#This Row],[REFERENCE_DESCR1]])</f>
        <v>5</v>
      </c>
    </row>
    <row r="1536" spans="1:10" hidden="1">
      <c r="A1536" t="s">
        <v>2925</v>
      </c>
      <c r="B1536" t="s">
        <v>3449</v>
      </c>
      <c r="C1536" t="s">
        <v>3450</v>
      </c>
      <c r="J1536">
        <f>LEN(Table13[[#This Row],[REFERENCE_DESCR1]])</f>
        <v>17</v>
      </c>
    </row>
    <row r="1537" spans="1:10" hidden="1">
      <c r="A1537" t="s">
        <v>2925</v>
      </c>
      <c r="B1537" t="s">
        <v>3451</v>
      </c>
      <c r="C1537" t="s">
        <v>3452</v>
      </c>
      <c r="J1537">
        <f>LEN(Table13[[#This Row],[REFERENCE_DESCR1]])</f>
        <v>12</v>
      </c>
    </row>
    <row r="1538" spans="1:10" hidden="1">
      <c r="A1538" t="s">
        <v>2925</v>
      </c>
      <c r="B1538" t="s">
        <v>3453</v>
      </c>
      <c r="C1538" t="s">
        <v>3454</v>
      </c>
      <c r="J1538">
        <f>LEN(Table13[[#This Row],[REFERENCE_DESCR1]])</f>
        <v>10</v>
      </c>
    </row>
    <row r="1539" spans="1:10" hidden="1">
      <c r="A1539" t="s">
        <v>2925</v>
      </c>
      <c r="B1539" t="s">
        <v>3455</v>
      </c>
      <c r="C1539" t="s">
        <v>3456</v>
      </c>
      <c r="J1539">
        <f>LEN(Table13[[#This Row],[REFERENCE_DESCR1]])</f>
        <v>4</v>
      </c>
    </row>
    <row r="1540" spans="1:10" hidden="1">
      <c r="A1540" t="s">
        <v>2925</v>
      </c>
      <c r="B1540" t="s">
        <v>3457</v>
      </c>
      <c r="C1540" t="s">
        <v>3458</v>
      </c>
      <c r="J1540">
        <f>LEN(Table13[[#This Row],[REFERENCE_DESCR1]])</f>
        <v>16</v>
      </c>
    </row>
    <row r="1541" spans="1:10" hidden="1">
      <c r="A1541" t="s">
        <v>2925</v>
      </c>
      <c r="B1541" t="s">
        <v>3459</v>
      </c>
      <c r="C1541" t="s">
        <v>3460</v>
      </c>
      <c r="J1541">
        <f>LEN(Table13[[#This Row],[REFERENCE_DESCR1]])</f>
        <v>19</v>
      </c>
    </row>
    <row r="1542" spans="1:10" hidden="1">
      <c r="A1542" t="s">
        <v>2925</v>
      </c>
      <c r="B1542" t="s">
        <v>3461</v>
      </c>
      <c r="C1542" t="s">
        <v>3462</v>
      </c>
      <c r="J1542">
        <f>LEN(Table13[[#This Row],[REFERENCE_DESCR1]])</f>
        <v>7</v>
      </c>
    </row>
    <row r="1543" spans="1:10" hidden="1">
      <c r="A1543" t="s">
        <v>2925</v>
      </c>
      <c r="B1543" t="s">
        <v>3463</v>
      </c>
      <c r="C1543" t="s">
        <v>3464</v>
      </c>
      <c r="J1543">
        <f>LEN(Table13[[#This Row],[REFERENCE_DESCR1]])</f>
        <v>10</v>
      </c>
    </row>
    <row r="1544" spans="1:10" hidden="1">
      <c r="A1544" t="s">
        <v>2925</v>
      </c>
      <c r="B1544" t="s">
        <v>3465</v>
      </c>
      <c r="C1544" t="s">
        <v>3466</v>
      </c>
      <c r="J1544">
        <f>LEN(Table13[[#This Row],[REFERENCE_DESCR1]])</f>
        <v>11</v>
      </c>
    </row>
    <row r="1545" spans="1:10" hidden="1">
      <c r="A1545" t="s">
        <v>2925</v>
      </c>
      <c r="B1545" t="s">
        <v>3467</v>
      </c>
      <c r="C1545" t="s">
        <v>3468</v>
      </c>
      <c r="J1545">
        <f>LEN(Table13[[#This Row],[REFERENCE_DESCR1]])</f>
        <v>9</v>
      </c>
    </row>
    <row r="1546" spans="1:10" hidden="1">
      <c r="A1546" t="s">
        <v>2925</v>
      </c>
      <c r="B1546" t="s">
        <v>3469</v>
      </c>
      <c r="C1546" t="s">
        <v>3470</v>
      </c>
      <c r="J1546">
        <f>LEN(Table13[[#This Row],[REFERENCE_DESCR1]])</f>
        <v>7</v>
      </c>
    </row>
    <row r="1547" spans="1:10" hidden="1">
      <c r="A1547" t="s">
        <v>2925</v>
      </c>
      <c r="B1547" t="s">
        <v>3471</v>
      </c>
      <c r="C1547" t="s">
        <v>3472</v>
      </c>
      <c r="J1547">
        <f>LEN(Table13[[#This Row],[REFERENCE_DESCR1]])</f>
        <v>8</v>
      </c>
    </row>
    <row r="1548" spans="1:10" hidden="1">
      <c r="A1548" t="s">
        <v>2925</v>
      </c>
      <c r="B1548" t="s">
        <v>3473</v>
      </c>
      <c r="C1548" t="s">
        <v>3474</v>
      </c>
      <c r="J1548">
        <f>LEN(Table13[[#This Row],[REFERENCE_DESCR1]])</f>
        <v>10</v>
      </c>
    </row>
    <row r="1549" spans="1:10" hidden="1">
      <c r="A1549" t="s">
        <v>2925</v>
      </c>
      <c r="B1549" t="s">
        <v>3475</v>
      </c>
      <c r="C1549" t="s">
        <v>3476</v>
      </c>
      <c r="J1549">
        <f>LEN(Table13[[#This Row],[REFERENCE_DESCR1]])</f>
        <v>7</v>
      </c>
    </row>
    <row r="1550" spans="1:10" hidden="1">
      <c r="A1550" t="s">
        <v>2925</v>
      </c>
      <c r="B1550" t="s">
        <v>3477</v>
      </c>
      <c r="C1550" t="s">
        <v>3478</v>
      </c>
      <c r="J1550">
        <f>LEN(Table13[[#This Row],[REFERENCE_DESCR1]])</f>
        <v>6</v>
      </c>
    </row>
    <row r="1551" spans="1:10" hidden="1">
      <c r="A1551" t="s">
        <v>2925</v>
      </c>
      <c r="B1551" t="s">
        <v>3479</v>
      </c>
      <c r="C1551" t="s">
        <v>3480</v>
      </c>
      <c r="J1551">
        <f>LEN(Table13[[#This Row],[REFERENCE_DESCR1]])</f>
        <v>5</v>
      </c>
    </row>
    <row r="1552" spans="1:10" hidden="1">
      <c r="A1552" t="s">
        <v>2925</v>
      </c>
      <c r="B1552" t="s">
        <v>3481</v>
      </c>
      <c r="C1552" t="s">
        <v>3482</v>
      </c>
      <c r="J1552">
        <f>LEN(Table13[[#This Row],[REFERENCE_DESCR1]])</f>
        <v>17</v>
      </c>
    </row>
    <row r="1553" spans="1:10" hidden="1">
      <c r="A1553" t="s">
        <v>2925</v>
      </c>
      <c r="B1553" t="s">
        <v>3483</v>
      </c>
      <c r="C1553" t="s">
        <v>3484</v>
      </c>
      <c r="J1553">
        <f>LEN(Table13[[#This Row],[REFERENCE_DESCR1]])</f>
        <v>11</v>
      </c>
    </row>
    <row r="1554" spans="1:10" hidden="1">
      <c r="A1554" t="s">
        <v>2925</v>
      </c>
      <c r="B1554" t="s">
        <v>3485</v>
      </c>
      <c r="C1554" t="s">
        <v>3486</v>
      </c>
      <c r="J1554">
        <f>LEN(Table13[[#This Row],[REFERENCE_DESCR1]])</f>
        <v>10</v>
      </c>
    </row>
    <row r="1555" spans="1:10" hidden="1">
      <c r="A1555" t="s">
        <v>2925</v>
      </c>
      <c r="B1555" t="s">
        <v>3487</v>
      </c>
      <c r="C1555" t="s">
        <v>3488</v>
      </c>
      <c r="J1555">
        <f>LEN(Table13[[#This Row],[REFERENCE_DESCR1]])</f>
        <v>8</v>
      </c>
    </row>
    <row r="1556" spans="1:10" hidden="1">
      <c r="A1556" t="s">
        <v>2925</v>
      </c>
      <c r="B1556" t="s">
        <v>3489</v>
      </c>
      <c r="C1556" t="s">
        <v>3490</v>
      </c>
      <c r="J1556">
        <f>LEN(Table13[[#This Row],[REFERENCE_DESCR1]])</f>
        <v>7</v>
      </c>
    </row>
    <row r="1557" spans="1:10" hidden="1">
      <c r="A1557" t="s">
        <v>2925</v>
      </c>
      <c r="B1557" t="s">
        <v>3491</v>
      </c>
      <c r="C1557" t="s">
        <v>3492</v>
      </c>
      <c r="J1557">
        <f>LEN(Table13[[#This Row],[REFERENCE_DESCR1]])</f>
        <v>8</v>
      </c>
    </row>
    <row r="1558" spans="1:10" hidden="1">
      <c r="A1558" t="s">
        <v>2925</v>
      </c>
      <c r="B1558" t="s">
        <v>3493</v>
      </c>
      <c r="C1558" t="s">
        <v>3494</v>
      </c>
      <c r="J1558">
        <f>LEN(Table13[[#This Row],[REFERENCE_DESCR1]])</f>
        <v>7</v>
      </c>
    </row>
    <row r="1559" spans="1:10" hidden="1">
      <c r="A1559" t="s">
        <v>2925</v>
      </c>
      <c r="B1559" t="s">
        <v>3495</v>
      </c>
      <c r="C1559" t="s">
        <v>3496</v>
      </c>
      <c r="J1559">
        <f>LEN(Table13[[#This Row],[REFERENCE_DESCR1]])</f>
        <v>14</v>
      </c>
    </row>
    <row r="1560" spans="1:10" hidden="1">
      <c r="A1560" t="s">
        <v>2925</v>
      </c>
      <c r="B1560" t="s">
        <v>3497</v>
      </c>
      <c r="C1560" t="s">
        <v>3498</v>
      </c>
      <c r="J1560">
        <f>LEN(Table13[[#This Row],[REFERENCE_DESCR1]])</f>
        <v>7</v>
      </c>
    </row>
    <row r="1561" spans="1:10" hidden="1">
      <c r="A1561" t="s">
        <v>2925</v>
      </c>
      <c r="B1561" t="s">
        <v>3499</v>
      </c>
      <c r="C1561" t="s">
        <v>3500</v>
      </c>
      <c r="J1561">
        <f>LEN(Table13[[#This Row],[REFERENCE_DESCR1]])</f>
        <v>19</v>
      </c>
    </row>
    <row r="1562" spans="1:10" hidden="1">
      <c r="A1562" t="s">
        <v>2925</v>
      </c>
      <c r="B1562" t="s">
        <v>3501</v>
      </c>
      <c r="C1562" t="s">
        <v>3502</v>
      </c>
      <c r="J1562">
        <f>LEN(Table13[[#This Row],[REFERENCE_DESCR1]])</f>
        <v>34</v>
      </c>
    </row>
    <row r="1563" spans="1:10" hidden="1">
      <c r="A1563" t="s">
        <v>2925</v>
      </c>
      <c r="B1563" t="s">
        <v>3503</v>
      </c>
      <c r="C1563" t="s">
        <v>3504</v>
      </c>
      <c r="J1563">
        <f>LEN(Table13[[#This Row],[REFERENCE_DESCR1]])</f>
        <v>40</v>
      </c>
    </row>
    <row r="1564" spans="1:10" hidden="1">
      <c r="A1564" t="s">
        <v>2925</v>
      </c>
      <c r="B1564" t="s">
        <v>3505</v>
      </c>
      <c r="C1564" t="s">
        <v>3506</v>
      </c>
      <c r="J1564">
        <f>LEN(Table13[[#This Row],[REFERENCE_DESCR1]])</f>
        <v>12</v>
      </c>
    </row>
    <row r="1565" spans="1:10" hidden="1">
      <c r="A1565" t="s">
        <v>2925</v>
      </c>
      <c r="B1565" t="s">
        <v>3507</v>
      </c>
      <c r="C1565" t="s">
        <v>3508</v>
      </c>
      <c r="J1565">
        <f>LEN(Table13[[#This Row],[REFERENCE_DESCR1]])</f>
        <v>7</v>
      </c>
    </row>
    <row r="1566" spans="1:10" hidden="1">
      <c r="A1566" t="s">
        <v>2925</v>
      </c>
      <c r="B1566" t="s">
        <v>3509</v>
      </c>
      <c r="C1566" t="s">
        <v>3510</v>
      </c>
      <c r="J1566">
        <f>LEN(Table13[[#This Row],[REFERENCE_DESCR1]])</f>
        <v>14</v>
      </c>
    </row>
    <row r="1567" spans="1:10" hidden="1">
      <c r="A1567" t="s">
        <v>2925</v>
      </c>
      <c r="B1567" t="s">
        <v>3511</v>
      </c>
      <c r="C1567" t="s">
        <v>3512</v>
      </c>
      <c r="J1567">
        <f>LEN(Table13[[#This Row],[REFERENCE_DESCR1]])</f>
        <v>11</v>
      </c>
    </row>
    <row r="1568" spans="1:10" hidden="1">
      <c r="A1568" t="s">
        <v>2925</v>
      </c>
      <c r="B1568" t="s">
        <v>3513</v>
      </c>
      <c r="C1568" t="s">
        <v>3514</v>
      </c>
      <c r="J1568">
        <f>LEN(Table13[[#This Row],[REFERENCE_DESCR1]])</f>
        <v>19</v>
      </c>
    </row>
    <row r="1569" spans="1:10" hidden="1">
      <c r="A1569" t="s">
        <v>2925</v>
      </c>
      <c r="B1569" t="s">
        <v>3515</v>
      </c>
      <c r="C1569" t="s">
        <v>3516</v>
      </c>
      <c r="J1569">
        <f>LEN(Table13[[#This Row],[REFERENCE_DESCR1]])</f>
        <v>21</v>
      </c>
    </row>
    <row r="1570" spans="1:10" hidden="1">
      <c r="A1570" t="s">
        <v>2925</v>
      </c>
      <c r="B1570" t="s">
        <v>3517</v>
      </c>
      <c r="C1570" t="s">
        <v>3518</v>
      </c>
      <c r="J1570">
        <f>LEN(Table13[[#This Row],[REFERENCE_DESCR1]])</f>
        <v>38</v>
      </c>
    </row>
    <row r="1571" spans="1:10" hidden="1">
      <c r="A1571" t="s">
        <v>2925</v>
      </c>
      <c r="B1571" t="s">
        <v>3519</v>
      </c>
      <c r="C1571" t="s">
        <v>3520</v>
      </c>
      <c r="J1571">
        <f>LEN(Table13[[#This Row],[REFERENCE_DESCR1]])</f>
        <v>8</v>
      </c>
    </row>
    <row r="1572" spans="1:10" hidden="1">
      <c r="A1572" t="s">
        <v>2925</v>
      </c>
      <c r="B1572" t="s">
        <v>3521</v>
      </c>
      <c r="C1572" t="s">
        <v>3522</v>
      </c>
      <c r="J1572">
        <f>LEN(Table13[[#This Row],[REFERENCE_DESCR1]])</f>
        <v>11</v>
      </c>
    </row>
    <row r="1573" spans="1:10" hidden="1">
      <c r="A1573" t="s">
        <v>2925</v>
      </c>
      <c r="B1573" t="s">
        <v>3523</v>
      </c>
      <c r="C1573" t="s">
        <v>3524</v>
      </c>
      <c r="J1573">
        <f>LEN(Table13[[#This Row],[REFERENCE_DESCR1]])</f>
        <v>9</v>
      </c>
    </row>
    <row r="1574" spans="1:10" hidden="1">
      <c r="A1574" t="s">
        <v>2925</v>
      </c>
      <c r="B1574" t="s">
        <v>3525</v>
      </c>
      <c r="C1574" t="s">
        <v>3526</v>
      </c>
      <c r="J1574">
        <f>LEN(Table13[[#This Row],[REFERENCE_DESCR1]])</f>
        <v>10</v>
      </c>
    </row>
    <row r="1575" spans="1:10" hidden="1">
      <c r="A1575" t="s">
        <v>2925</v>
      </c>
      <c r="B1575" t="s">
        <v>3527</v>
      </c>
      <c r="C1575" t="s">
        <v>3528</v>
      </c>
      <c r="J1575">
        <f>LEN(Table13[[#This Row],[REFERENCE_DESCR1]])</f>
        <v>4</v>
      </c>
    </row>
    <row r="1576" spans="1:10" hidden="1">
      <c r="A1576" t="s">
        <v>2925</v>
      </c>
      <c r="B1576" t="s">
        <v>3529</v>
      </c>
      <c r="C1576" t="s">
        <v>3530</v>
      </c>
      <c r="J1576">
        <f>LEN(Table13[[#This Row],[REFERENCE_DESCR1]])</f>
        <v>6</v>
      </c>
    </row>
    <row r="1577" spans="1:10" hidden="1">
      <c r="A1577" t="s">
        <v>2925</v>
      </c>
      <c r="B1577" t="s">
        <v>3531</v>
      </c>
      <c r="C1577" t="s">
        <v>3532</v>
      </c>
      <c r="J1577">
        <f>LEN(Table13[[#This Row],[REFERENCE_DESCR1]])</f>
        <v>9</v>
      </c>
    </row>
    <row r="1578" spans="1:10" hidden="1">
      <c r="A1578" t="s">
        <v>2925</v>
      </c>
      <c r="B1578" t="s">
        <v>3533</v>
      </c>
      <c r="C1578" t="s">
        <v>3534</v>
      </c>
      <c r="J1578">
        <f>LEN(Table13[[#This Row],[REFERENCE_DESCR1]])</f>
        <v>11</v>
      </c>
    </row>
    <row r="1579" spans="1:10" hidden="1">
      <c r="A1579" t="s">
        <v>2925</v>
      </c>
      <c r="B1579" t="s">
        <v>3535</v>
      </c>
      <c r="C1579" t="s">
        <v>3536</v>
      </c>
      <c r="J1579">
        <f>LEN(Table13[[#This Row],[REFERENCE_DESCR1]])</f>
        <v>9</v>
      </c>
    </row>
    <row r="1580" spans="1:10" hidden="1">
      <c r="A1580" t="s">
        <v>2925</v>
      </c>
      <c r="B1580" t="s">
        <v>3537</v>
      </c>
      <c r="C1580" t="s">
        <v>3538</v>
      </c>
      <c r="J1580">
        <f>LEN(Table13[[#This Row],[REFERENCE_DESCR1]])</f>
        <v>9</v>
      </c>
    </row>
    <row r="1581" spans="1:10" hidden="1">
      <c r="A1581" t="s">
        <v>2925</v>
      </c>
      <c r="B1581" t="s">
        <v>3539</v>
      </c>
      <c r="C1581" t="s">
        <v>3540</v>
      </c>
      <c r="J1581">
        <f>LEN(Table13[[#This Row],[REFERENCE_DESCR1]])</f>
        <v>7</v>
      </c>
    </row>
    <row r="1582" spans="1:10" hidden="1">
      <c r="A1582" t="s">
        <v>2925</v>
      </c>
      <c r="B1582" t="s">
        <v>3541</v>
      </c>
      <c r="C1582" t="s">
        <v>3542</v>
      </c>
      <c r="J1582">
        <f>LEN(Table13[[#This Row],[REFERENCE_DESCR1]])</f>
        <v>10</v>
      </c>
    </row>
    <row r="1583" spans="1:10" hidden="1">
      <c r="A1583" t="s">
        <v>2925</v>
      </c>
      <c r="B1583" t="s">
        <v>3543</v>
      </c>
      <c r="C1583" t="s">
        <v>3544</v>
      </c>
      <c r="J1583">
        <f>LEN(Table13[[#This Row],[REFERENCE_DESCR1]])</f>
        <v>8</v>
      </c>
    </row>
    <row r="1584" spans="1:10" hidden="1">
      <c r="A1584" t="s">
        <v>2925</v>
      </c>
      <c r="B1584" t="s">
        <v>3545</v>
      </c>
      <c r="C1584" t="s">
        <v>3546</v>
      </c>
      <c r="J1584">
        <f>LEN(Table13[[#This Row],[REFERENCE_DESCR1]])</f>
        <v>39</v>
      </c>
    </row>
    <row r="1585" spans="1:10" hidden="1">
      <c r="A1585" t="s">
        <v>2925</v>
      </c>
      <c r="B1585" t="s">
        <v>3547</v>
      </c>
      <c r="C1585" t="s">
        <v>3548</v>
      </c>
      <c r="J1585">
        <f>LEN(Table13[[#This Row],[REFERENCE_DESCR1]])</f>
        <v>5</v>
      </c>
    </row>
    <row r="1586" spans="1:10" hidden="1">
      <c r="A1586" t="s">
        <v>2925</v>
      </c>
      <c r="B1586" t="s">
        <v>3549</v>
      </c>
      <c r="C1586" t="s">
        <v>3550</v>
      </c>
      <c r="J1586">
        <f>LEN(Table13[[#This Row],[REFERENCE_DESCR1]])</f>
        <v>7</v>
      </c>
    </row>
    <row r="1587" spans="1:10" hidden="1">
      <c r="A1587" t="s">
        <v>2925</v>
      </c>
      <c r="B1587" t="s">
        <v>3551</v>
      </c>
      <c r="C1587" t="s">
        <v>3552</v>
      </c>
      <c r="J1587">
        <f>LEN(Table13[[#This Row],[REFERENCE_DESCR1]])</f>
        <v>5</v>
      </c>
    </row>
    <row r="1588" spans="1:10" hidden="1">
      <c r="A1588" t="s">
        <v>2925</v>
      </c>
      <c r="B1588" t="s">
        <v>3553</v>
      </c>
      <c r="C1588" t="s">
        <v>3554</v>
      </c>
      <c r="J1588">
        <f>LEN(Table13[[#This Row],[REFERENCE_DESCR1]])</f>
        <v>9</v>
      </c>
    </row>
    <row r="1589" spans="1:10" hidden="1">
      <c r="A1589" t="s">
        <v>2925</v>
      </c>
      <c r="B1589" t="s">
        <v>3555</v>
      </c>
      <c r="C1589" t="s">
        <v>3556</v>
      </c>
      <c r="J1589">
        <f>LEN(Table13[[#This Row],[REFERENCE_DESCR1]])</f>
        <v>7</v>
      </c>
    </row>
    <row r="1590" spans="1:10" hidden="1">
      <c r="A1590" t="s">
        <v>2925</v>
      </c>
      <c r="B1590" t="s">
        <v>3557</v>
      </c>
      <c r="C1590" t="s">
        <v>3558</v>
      </c>
      <c r="J1590">
        <f>LEN(Table13[[#This Row],[REFERENCE_DESCR1]])</f>
        <v>10</v>
      </c>
    </row>
    <row r="1591" spans="1:10" hidden="1">
      <c r="A1591" t="s">
        <v>2925</v>
      </c>
      <c r="B1591" t="s">
        <v>3559</v>
      </c>
      <c r="C1591" t="s">
        <v>3560</v>
      </c>
      <c r="J1591">
        <f>LEN(Table13[[#This Row],[REFERENCE_DESCR1]])</f>
        <v>8</v>
      </c>
    </row>
    <row r="1592" spans="1:10" hidden="1">
      <c r="A1592" t="s">
        <v>2925</v>
      </c>
      <c r="B1592" t="s">
        <v>3561</v>
      </c>
      <c r="C1592" t="s">
        <v>3562</v>
      </c>
      <c r="J1592">
        <f>LEN(Table13[[#This Row],[REFERENCE_DESCR1]])</f>
        <v>8</v>
      </c>
    </row>
    <row r="1593" spans="1:10" hidden="1">
      <c r="A1593" t="s">
        <v>2925</v>
      </c>
      <c r="B1593" t="s">
        <v>3563</v>
      </c>
      <c r="C1593" t="s">
        <v>3564</v>
      </c>
      <c r="J1593">
        <f>LEN(Table13[[#This Row],[REFERENCE_DESCR1]])</f>
        <v>9</v>
      </c>
    </row>
    <row r="1594" spans="1:10" hidden="1">
      <c r="A1594" t="s">
        <v>2925</v>
      </c>
      <c r="B1594" t="s">
        <v>3565</v>
      </c>
      <c r="C1594" t="s">
        <v>3566</v>
      </c>
      <c r="J1594">
        <f>LEN(Table13[[#This Row],[REFERENCE_DESCR1]])</f>
        <v>7</v>
      </c>
    </row>
    <row r="1595" spans="1:10" hidden="1">
      <c r="A1595" t="s">
        <v>2925</v>
      </c>
      <c r="B1595" t="s">
        <v>3567</v>
      </c>
      <c r="C1595" t="s">
        <v>3568</v>
      </c>
      <c r="J1595">
        <f>LEN(Table13[[#This Row],[REFERENCE_DESCR1]])</f>
        <v>5</v>
      </c>
    </row>
    <row r="1596" spans="1:10" hidden="1">
      <c r="A1596" t="s">
        <v>2925</v>
      </c>
      <c r="B1596" t="s">
        <v>3569</v>
      </c>
      <c r="C1596" t="s">
        <v>3570</v>
      </c>
      <c r="J1596">
        <f>LEN(Table13[[#This Row],[REFERENCE_DESCR1]])</f>
        <v>10</v>
      </c>
    </row>
    <row r="1597" spans="1:10" hidden="1">
      <c r="A1597" t="s">
        <v>2925</v>
      </c>
      <c r="B1597" t="s">
        <v>3571</v>
      </c>
      <c r="C1597" t="s">
        <v>3572</v>
      </c>
      <c r="J1597">
        <f>LEN(Table13[[#This Row],[REFERENCE_DESCR1]])</f>
        <v>8</v>
      </c>
    </row>
    <row r="1598" spans="1:10" hidden="1">
      <c r="A1598" t="s">
        <v>2925</v>
      </c>
      <c r="B1598" t="s">
        <v>3573</v>
      </c>
      <c r="C1598" t="s">
        <v>3574</v>
      </c>
      <c r="J1598">
        <f>LEN(Table13[[#This Row],[REFERENCE_DESCR1]])</f>
        <v>8</v>
      </c>
    </row>
    <row r="1599" spans="1:10" hidden="1">
      <c r="A1599" t="s">
        <v>2925</v>
      </c>
      <c r="B1599" t="s">
        <v>3575</v>
      </c>
      <c r="C1599" t="s">
        <v>3576</v>
      </c>
      <c r="J1599">
        <f>LEN(Table13[[#This Row],[REFERENCE_DESCR1]])</f>
        <v>8</v>
      </c>
    </row>
    <row r="1600" spans="1:10" hidden="1">
      <c r="A1600" t="s">
        <v>2925</v>
      </c>
      <c r="B1600" t="s">
        <v>3577</v>
      </c>
      <c r="C1600" t="s">
        <v>3578</v>
      </c>
      <c r="J1600">
        <f>LEN(Table13[[#This Row],[REFERENCE_DESCR1]])</f>
        <v>8</v>
      </c>
    </row>
    <row r="1601" spans="1:10" hidden="1">
      <c r="A1601" t="s">
        <v>2925</v>
      </c>
      <c r="B1601" t="s">
        <v>3579</v>
      </c>
      <c r="C1601" t="s">
        <v>3580</v>
      </c>
      <c r="J1601">
        <f>LEN(Table13[[#This Row],[REFERENCE_DESCR1]])</f>
        <v>20</v>
      </c>
    </row>
    <row r="1602" spans="1:10" hidden="1">
      <c r="A1602" t="s">
        <v>2925</v>
      </c>
      <c r="B1602" t="s">
        <v>3581</v>
      </c>
      <c r="C1602" t="s">
        <v>3582</v>
      </c>
      <c r="J1602">
        <f>LEN(Table13[[#This Row],[REFERENCE_DESCR1]])</f>
        <v>6</v>
      </c>
    </row>
    <row r="1603" spans="1:10" hidden="1">
      <c r="A1603" t="s">
        <v>2925</v>
      </c>
      <c r="B1603" t="s">
        <v>3583</v>
      </c>
      <c r="C1603" t="s">
        <v>3584</v>
      </c>
      <c r="J1603">
        <f>LEN(Table13[[#This Row],[REFERENCE_DESCR1]])</f>
        <v>9</v>
      </c>
    </row>
    <row r="1604" spans="1:10" hidden="1">
      <c r="A1604" t="s">
        <v>2925</v>
      </c>
      <c r="B1604" t="s">
        <v>3585</v>
      </c>
      <c r="C1604" t="s">
        <v>3586</v>
      </c>
      <c r="J1604">
        <f>LEN(Table13[[#This Row],[REFERENCE_DESCR1]])</f>
        <v>14</v>
      </c>
    </row>
    <row r="1605" spans="1:10" hidden="1">
      <c r="A1605" t="s">
        <v>2925</v>
      </c>
      <c r="B1605" t="s">
        <v>3587</v>
      </c>
      <c r="C1605" t="s">
        <v>3588</v>
      </c>
      <c r="J1605">
        <f>LEN(Table13[[#This Row],[REFERENCE_DESCR1]])</f>
        <v>15</v>
      </c>
    </row>
    <row r="1606" spans="1:10" hidden="1">
      <c r="A1606" t="s">
        <v>2925</v>
      </c>
      <c r="B1606" t="s">
        <v>3589</v>
      </c>
      <c r="C1606" t="s">
        <v>3590</v>
      </c>
      <c r="J1606">
        <f>LEN(Table13[[#This Row],[REFERENCE_DESCR1]])</f>
        <v>15</v>
      </c>
    </row>
    <row r="1607" spans="1:10" hidden="1">
      <c r="A1607" t="s">
        <v>2925</v>
      </c>
      <c r="B1607" t="s">
        <v>3591</v>
      </c>
      <c r="C1607" t="s">
        <v>3592</v>
      </c>
      <c r="J1607">
        <f>LEN(Table13[[#This Row],[REFERENCE_DESCR1]])</f>
        <v>14</v>
      </c>
    </row>
    <row r="1608" spans="1:10" hidden="1">
      <c r="A1608" t="s">
        <v>2925</v>
      </c>
      <c r="B1608" t="s">
        <v>3593</v>
      </c>
      <c r="C1608" t="s">
        <v>3594</v>
      </c>
      <c r="J1608">
        <f>LEN(Table13[[#This Row],[REFERENCE_DESCR1]])</f>
        <v>14</v>
      </c>
    </row>
    <row r="1609" spans="1:10" hidden="1">
      <c r="A1609" t="s">
        <v>2925</v>
      </c>
      <c r="B1609" t="s">
        <v>3595</v>
      </c>
      <c r="C1609" t="s">
        <v>3596</v>
      </c>
      <c r="J1609">
        <f>LEN(Table13[[#This Row],[REFERENCE_DESCR1]])</f>
        <v>16</v>
      </c>
    </row>
    <row r="1610" spans="1:10" hidden="1">
      <c r="A1610" t="s">
        <v>2925</v>
      </c>
      <c r="B1610" t="s">
        <v>3597</v>
      </c>
      <c r="C1610" t="s">
        <v>3598</v>
      </c>
      <c r="J1610">
        <f>LEN(Table13[[#This Row],[REFERENCE_DESCR1]])</f>
        <v>8</v>
      </c>
    </row>
    <row r="1611" spans="1:10" hidden="1">
      <c r="A1611" t="s">
        <v>2925</v>
      </c>
      <c r="B1611" t="s">
        <v>3599</v>
      </c>
      <c r="C1611" t="s">
        <v>3600</v>
      </c>
      <c r="J1611">
        <f>LEN(Table13[[#This Row],[REFERENCE_DESCR1]])</f>
        <v>13</v>
      </c>
    </row>
    <row r="1612" spans="1:10" hidden="1">
      <c r="A1612" t="s">
        <v>2925</v>
      </c>
      <c r="B1612" t="s">
        <v>3601</v>
      </c>
      <c r="C1612" t="s">
        <v>3602</v>
      </c>
      <c r="J1612">
        <f>LEN(Table13[[#This Row],[REFERENCE_DESCR1]])</f>
        <v>24</v>
      </c>
    </row>
    <row r="1613" spans="1:10" hidden="1">
      <c r="A1613" t="s">
        <v>2925</v>
      </c>
      <c r="B1613" t="s">
        <v>3603</v>
      </c>
      <c r="C1613" t="s">
        <v>3604</v>
      </c>
      <c r="J1613">
        <f>LEN(Table13[[#This Row],[REFERENCE_DESCR1]])</f>
        <v>5</v>
      </c>
    </row>
    <row r="1614" spans="1:10" hidden="1">
      <c r="A1614" t="s">
        <v>2925</v>
      </c>
      <c r="B1614" t="s">
        <v>3605</v>
      </c>
      <c r="C1614" t="s">
        <v>3606</v>
      </c>
      <c r="J1614">
        <f>LEN(Table13[[#This Row],[REFERENCE_DESCR1]])</f>
        <v>14</v>
      </c>
    </row>
    <row r="1615" spans="1:10" hidden="1">
      <c r="A1615" t="s">
        <v>2925</v>
      </c>
      <c r="B1615" t="s">
        <v>3607</v>
      </c>
      <c r="C1615" t="s">
        <v>3608</v>
      </c>
      <c r="J1615">
        <f>LEN(Table13[[#This Row],[REFERENCE_DESCR1]])</f>
        <v>8</v>
      </c>
    </row>
    <row r="1616" spans="1:10" hidden="1">
      <c r="A1616" t="s">
        <v>2925</v>
      </c>
      <c r="B1616" t="s">
        <v>3609</v>
      </c>
      <c r="C1616" t="s">
        <v>3610</v>
      </c>
      <c r="J1616">
        <f>LEN(Table13[[#This Row],[REFERENCE_DESCR1]])</f>
        <v>10</v>
      </c>
    </row>
    <row r="1617" spans="1:10" hidden="1">
      <c r="A1617" t="s">
        <v>2925</v>
      </c>
      <c r="B1617" t="s">
        <v>3611</v>
      </c>
      <c r="C1617" t="s">
        <v>3612</v>
      </c>
      <c r="J1617">
        <f>LEN(Table13[[#This Row],[REFERENCE_DESCR1]])</f>
        <v>18</v>
      </c>
    </row>
    <row r="1618" spans="1:10" hidden="1">
      <c r="A1618" t="s">
        <v>2925</v>
      </c>
      <c r="B1618" t="s">
        <v>3613</v>
      </c>
      <c r="C1618" t="s">
        <v>3614</v>
      </c>
      <c r="J1618">
        <f>LEN(Table13[[#This Row],[REFERENCE_DESCR1]])</f>
        <v>11</v>
      </c>
    </row>
    <row r="1619" spans="1:10" hidden="1">
      <c r="A1619" t="s">
        <v>2925</v>
      </c>
      <c r="B1619" t="s">
        <v>3615</v>
      </c>
      <c r="C1619" t="s">
        <v>3616</v>
      </c>
      <c r="J1619">
        <f>LEN(Table13[[#This Row],[REFERENCE_DESCR1]])</f>
        <v>17</v>
      </c>
    </row>
    <row r="1620" spans="1:10" hidden="1">
      <c r="A1620" t="s">
        <v>2925</v>
      </c>
      <c r="B1620" t="s">
        <v>3617</v>
      </c>
      <c r="C1620" t="s">
        <v>3618</v>
      </c>
      <c r="J1620">
        <f>LEN(Table13[[#This Row],[REFERENCE_DESCR1]])</f>
        <v>15</v>
      </c>
    </row>
    <row r="1621" spans="1:10" hidden="1">
      <c r="A1621" t="s">
        <v>2925</v>
      </c>
      <c r="B1621" t="s">
        <v>3619</v>
      </c>
      <c r="C1621" t="s">
        <v>3620</v>
      </c>
      <c r="J1621">
        <f>LEN(Table13[[#This Row],[REFERENCE_DESCR1]])</f>
        <v>22</v>
      </c>
    </row>
    <row r="1622" spans="1:10" hidden="1">
      <c r="A1622" t="s">
        <v>2925</v>
      </c>
      <c r="B1622" t="s">
        <v>3621</v>
      </c>
      <c r="C1622" t="s">
        <v>3622</v>
      </c>
      <c r="J1622">
        <f>LEN(Table13[[#This Row],[REFERENCE_DESCR1]])</f>
        <v>9</v>
      </c>
    </row>
    <row r="1623" spans="1:10" hidden="1">
      <c r="A1623" t="s">
        <v>2925</v>
      </c>
      <c r="B1623" t="s">
        <v>1787</v>
      </c>
      <c r="C1623" t="s">
        <v>3623</v>
      </c>
      <c r="J1623">
        <f>LEN(Table13[[#This Row],[REFERENCE_DESCR1]])</f>
        <v>9</v>
      </c>
    </row>
    <row r="1624" spans="1:10" hidden="1">
      <c r="A1624" t="s">
        <v>2925</v>
      </c>
      <c r="B1624" t="s">
        <v>3624</v>
      </c>
      <c r="C1624" t="s">
        <v>3625</v>
      </c>
      <c r="J1624">
        <f>LEN(Table13[[#This Row],[REFERENCE_DESCR1]])</f>
        <v>7</v>
      </c>
    </row>
    <row r="1625" spans="1:10" hidden="1">
      <c r="A1625" t="s">
        <v>2925</v>
      </c>
      <c r="B1625" t="s">
        <v>3626</v>
      </c>
      <c r="C1625" t="s">
        <v>3627</v>
      </c>
      <c r="J1625">
        <f>LEN(Table13[[#This Row],[REFERENCE_DESCR1]])</f>
        <v>10</v>
      </c>
    </row>
    <row r="1626" spans="1:10" hidden="1">
      <c r="A1626" t="s">
        <v>2925</v>
      </c>
      <c r="B1626" t="s">
        <v>3628</v>
      </c>
      <c r="C1626" t="s">
        <v>3629</v>
      </c>
      <c r="J1626">
        <f>LEN(Table13[[#This Row],[REFERENCE_DESCR1]])</f>
        <v>10</v>
      </c>
    </row>
    <row r="1627" spans="1:10" hidden="1">
      <c r="A1627" t="s">
        <v>2925</v>
      </c>
      <c r="B1627" t="s">
        <v>3630</v>
      </c>
      <c r="C1627" t="s">
        <v>3631</v>
      </c>
      <c r="J1627">
        <f>LEN(Table13[[#This Row],[REFERENCE_DESCR1]])</f>
        <v>9</v>
      </c>
    </row>
    <row r="1628" spans="1:10" hidden="1">
      <c r="A1628" t="s">
        <v>2925</v>
      </c>
      <c r="B1628" t="s">
        <v>3632</v>
      </c>
      <c r="C1628" t="s">
        <v>3633</v>
      </c>
      <c r="J1628">
        <f>LEN(Table13[[#This Row],[REFERENCE_DESCR1]])</f>
        <v>15</v>
      </c>
    </row>
    <row r="1629" spans="1:10" hidden="1">
      <c r="A1629" t="s">
        <v>2925</v>
      </c>
      <c r="B1629" t="s">
        <v>3634</v>
      </c>
      <c r="C1629" t="s">
        <v>3635</v>
      </c>
      <c r="J1629">
        <f>LEN(Table13[[#This Row],[REFERENCE_DESCR1]])</f>
        <v>9</v>
      </c>
    </row>
    <row r="1630" spans="1:10" hidden="1">
      <c r="A1630" t="s">
        <v>2925</v>
      </c>
      <c r="B1630" t="s">
        <v>3636</v>
      </c>
      <c r="C1630" t="s">
        <v>3637</v>
      </c>
      <c r="J1630">
        <f>LEN(Table13[[#This Row],[REFERENCE_DESCR1]])</f>
        <v>5</v>
      </c>
    </row>
    <row r="1631" spans="1:10" hidden="1">
      <c r="A1631" t="s">
        <v>2925</v>
      </c>
      <c r="B1631" t="s">
        <v>3638</v>
      </c>
      <c r="C1631" t="s">
        <v>3639</v>
      </c>
      <c r="J1631">
        <f>LEN(Table13[[#This Row],[REFERENCE_DESCR1]])</f>
        <v>6</v>
      </c>
    </row>
    <row r="1632" spans="1:10" hidden="1">
      <c r="A1632" t="s">
        <v>2925</v>
      </c>
      <c r="B1632" t="s">
        <v>3640</v>
      </c>
      <c r="C1632" t="s">
        <v>3641</v>
      </c>
      <c r="J1632">
        <f>LEN(Table13[[#This Row],[REFERENCE_DESCR1]])</f>
        <v>6</v>
      </c>
    </row>
    <row r="1633" spans="1:10" hidden="1">
      <c r="A1633" t="s">
        <v>2925</v>
      </c>
      <c r="B1633" t="s">
        <v>3642</v>
      </c>
      <c r="C1633" t="s">
        <v>3643</v>
      </c>
      <c r="J1633">
        <f>LEN(Table13[[#This Row],[REFERENCE_DESCR1]])</f>
        <v>11</v>
      </c>
    </row>
    <row r="1634" spans="1:10" hidden="1">
      <c r="A1634" t="s">
        <v>2925</v>
      </c>
      <c r="B1634" t="s">
        <v>3644</v>
      </c>
      <c r="C1634" t="s">
        <v>3645</v>
      </c>
      <c r="J1634">
        <f>LEN(Table13[[#This Row],[REFERENCE_DESCR1]])</f>
        <v>7</v>
      </c>
    </row>
    <row r="1635" spans="1:10" hidden="1">
      <c r="A1635" t="s">
        <v>2925</v>
      </c>
      <c r="B1635" t="s">
        <v>3646</v>
      </c>
      <c r="C1635" t="s">
        <v>3647</v>
      </c>
      <c r="J1635">
        <f>LEN(Table13[[#This Row],[REFERENCE_DESCR1]])</f>
        <v>19</v>
      </c>
    </row>
    <row r="1636" spans="1:10" hidden="1">
      <c r="A1636" t="s">
        <v>2925</v>
      </c>
      <c r="B1636" t="s">
        <v>3648</v>
      </c>
      <c r="C1636" t="s">
        <v>3649</v>
      </c>
      <c r="J1636">
        <f>LEN(Table13[[#This Row],[REFERENCE_DESCR1]])</f>
        <v>10</v>
      </c>
    </row>
    <row r="1637" spans="1:10" hidden="1">
      <c r="A1637" t="s">
        <v>2925</v>
      </c>
      <c r="B1637" t="s">
        <v>3650</v>
      </c>
      <c r="C1637" t="s">
        <v>3651</v>
      </c>
      <c r="J1637">
        <f>LEN(Table13[[#This Row],[REFERENCE_DESCR1]])</f>
        <v>7</v>
      </c>
    </row>
    <row r="1638" spans="1:10" hidden="1">
      <c r="A1638" t="s">
        <v>2925</v>
      </c>
      <c r="B1638" t="s">
        <v>3652</v>
      </c>
      <c r="C1638" t="s">
        <v>3653</v>
      </c>
      <c r="J1638">
        <f>LEN(Table13[[#This Row],[REFERENCE_DESCR1]])</f>
        <v>10</v>
      </c>
    </row>
    <row r="1639" spans="1:10" hidden="1">
      <c r="A1639" t="s">
        <v>2925</v>
      </c>
      <c r="B1639" t="s">
        <v>3654</v>
      </c>
      <c r="C1639" t="s">
        <v>3655</v>
      </c>
      <c r="J1639">
        <f>LEN(Table13[[#This Row],[REFERENCE_DESCR1]])</f>
        <v>7</v>
      </c>
    </row>
    <row r="1640" spans="1:10" hidden="1">
      <c r="A1640" t="s">
        <v>2925</v>
      </c>
      <c r="B1640" t="s">
        <v>3656</v>
      </c>
      <c r="C1640" t="s">
        <v>3657</v>
      </c>
      <c r="J1640">
        <f>LEN(Table13[[#This Row],[REFERENCE_DESCR1]])</f>
        <v>10</v>
      </c>
    </row>
    <row r="1641" spans="1:10" hidden="1">
      <c r="A1641" t="s">
        <v>2925</v>
      </c>
      <c r="B1641" t="s">
        <v>3658</v>
      </c>
      <c r="C1641" t="s">
        <v>3659</v>
      </c>
      <c r="J1641">
        <f>LEN(Table13[[#This Row],[REFERENCE_DESCR1]])</f>
        <v>7</v>
      </c>
    </row>
    <row r="1642" spans="1:10" hidden="1">
      <c r="A1642" t="s">
        <v>2925</v>
      </c>
      <c r="B1642" t="s">
        <v>3660</v>
      </c>
      <c r="C1642" t="s">
        <v>3661</v>
      </c>
      <c r="J1642">
        <f>LEN(Table13[[#This Row],[REFERENCE_DESCR1]])</f>
        <v>5</v>
      </c>
    </row>
    <row r="1643" spans="1:10" hidden="1">
      <c r="A1643" t="s">
        <v>2925</v>
      </c>
      <c r="B1643" t="s">
        <v>3662</v>
      </c>
      <c r="C1643" t="s">
        <v>3663</v>
      </c>
      <c r="J1643">
        <f>LEN(Table13[[#This Row],[REFERENCE_DESCR1]])</f>
        <v>10</v>
      </c>
    </row>
    <row r="1644" spans="1:10" hidden="1">
      <c r="A1644" t="s">
        <v>2925</v>
      </c>
      <c r="B1644" t="s">
        <v>3664</v>
      </c>
      <c r="C1644" t="s">
        <v>3665</v>
      </c>
      <c r="J1644">
        <f>LEN(Table13[[#This Row],[REFERENCE_DESCR1]])</f>
        <v>33</v>
      </c>
    </row>
    <row r="1645" spans="1:10" hidden="1">
      <c r="A1645" t="s">
        <v>2925</v>
      </c>
      <c r="B1645" t="s">
        <v>3666</v>
      </c>
      <c r="C1645" t="s">
        <v>3667</v>
      </c>
      <c r="J1645">
        <f>LEN(Table13[[#This Row],[REFERENCE_DESCR1]])</f>
        <v>8</v>
      </c>
    </row>
    <row r="1646" spans="1:10" hidden="1">
      <c r="A1646" t="s">
        <v>2925</v>
      </c>
      <c r="B1646" t="s">
        <v>3668</v>
      </c>
      <c r="C1646" t="s">
        <v>3669</v>
      </c>
      <c r="J1646">
        <f>LEN(Table13[[#This Row],[REFERENCE_DESCR1]])</f>
        <v>14</v>
      </c>
    </row>
    <row r="1647" spans="1:10" hidden="1">
      <c r="A1647" t="s">
        <v>2925</v>
      </c>
      <c r="B1647" t="s">
        <v>3670</v>
      </c>
      <c r="C1647" t="s">
        <v>3671</v>
      </c>
      <c r="J1647">
        <f>LEN(Table13[[#This Row],[REFERENCE_DESCR1]])</f>
        <v>14</v>
      </c>
    </row>
    <row r="1648" spans="1:10" hidden="1">
      <c r="A1648" t="s">
        <v>2925</v>
      </c>
      <c r="B1648" t="s">
        <v>3672</v>
      </c>
      <c r="C1648" t="s">
        <v>3673</v>
      </c>
      <c r="J1648">
        <f>LEN(Table13[[#This Row],[REFERENCE_DESCR1]])</f>
        <v>9</v>
      </c>
    </row>
    <row r="1649" spans="1:10" hidden="1">
      <c r="A1649" t="s">
        <v>2925</v>
      </c>
      <c r="B1649" t="s">
        <v>3674</v>
      </c>
      <c r="C1649" t="s">
        <v>3675</v>
      </c>
      <c r="J1649">
        <f>LEN(Table13[[#This Row],[REFERENCE_DESCR1]])</f>
        <v>6</v>
      </c>
    </row>
    <row r="1650" spans="1:10" hidden="1">
      <c r="A1650" t="s">
        <v>2925</v>
      </c>
      <c r="B1650" t="s">
        <v>3676</v>
      </c>
      <c r="C1650" t="s">
        <v>3677</v>
      </c>
      <c r="J1650">
        <f>LEN(Table13[[#This Row],[REFERENCE_DESCR1]])</f>
        <v>8</v>
      </c>
    </row>
    <row r="1651" spans="1:10" hidden="1">
      <c r="A1651" t="s">
        <v>2925</v>
      </c>
      <c r="B1651" t="s">
        <v>3678</v>
      </c>
      <c r="C1651" t="s">
        <v>3679</v>
      </c>
      <c r="J1651">
        <f>LEN(Table13[[#This Row],[REFERENCE_DESCR1]])</f>
        <v>14</v>
      </c>
    </row>
    <row r="1652" spans="1:10" hidden="1">
      <c r="A1652" t="s">
        <v>2925</v>
      </c>
      <c r="B1652" t="s">
        <v>3680</v>
      </c>
      <c r="C1652" t="s">
        <v>3681</v>
      </c>
      <c r="J1652">
        <f>LEN(Table13[[#This Row],[REFERENCE_DESCR1]])</f>
        <v>13</v>
      </c>
    </row>
    <row r="1653" spans="1:10" hidden="1">
      <c r="A1653" t="s">
        <v>2925</v>
      </c>
      <c r="B1653" t="s">
        <v>3682</v>
      </c>
      <c r="C1653" t="s">
        <v>3683</v>
      </c>
      <c r="J1653">
        <f>LEN(Table13[[#This Row],[REFERENCE_DESCR1]])</f>
        <v>12</v>
      </c>
    </row>
    <row r="1654" spans="1:10" hidden="1">
      <c r="A1654" t="s">
        <v>2925</v>
      </c>
      <c r="B1654" t="s">
        <v>3684</v>
      </c>
      <c r="C1654" t="s">
        <v>3685</v>
      </c>
      <c r="J1654">
        <f>LEN(Table13[[#This Row],[REFERENCE_DESCR1]])</f>
        <v>18</v>
      </c>
    </row>
    <row r="1655" spans="1:10" hidden="1">
      <c r="A1655" t="s">
        <v>2925</v>
      </c>
      <c r="B1655" t="s">
        <v>3686</v>
      </c>
      <c r="C1655" t="s">
        <v>3687</v>
      </c>
      <c r="J1655">
        <f>LEN(Table13[[#This Row],[REFERENCE_DESCR1]])</f>
        <v>18</v>
      </c>
    </row>
    <row r="1656" spans="1:10" hidden="1">
      <c r="A1656" t="s">
        <v>2925</v>
      </c>
      <c r="B1656" t="s">
        <v>3688</v>
      </c>
      <c r="C1656" t="s">
        <v>3689</v>
      </c>
      <c r="J1656">
        <f>LEN(Table13[[#This Row],[REFERENCE_DESCR1]])</f>
        <v>9</v>
      </c>
    </row>
    <row r="1657" spans="1:10" hidden="1">
      <c r="A1657" t="s">
        <v>2925</v>
      </c>
      <c r="B1657" t="s">
        <v>3690</v>
      </c>
      <c r="C1657" t="s">
        <v>3691</v>
      </c>
      <c r="J1657">
        <f>LEN(Table13[[#This Row],[REFERENCE_DESCR1]])</f>
        <v>27</v>
      </c>
    </row>
    <row r="1658" spans="1:10" hidden="1">
      <c r="A1658" t="s">
        <v>2925</v>
      </c>
      <c r="B1658" t="s">
        <v>3692</v>
      </c>
      <c r="C1658" t="s">
        <v>3693</v>
      </c>
      <c r="J1658">
        <f>LEN(Table13[[#This Row],[REFERENCE_DESCR1]])</f>
        <v>26</v>
      </c>
    </row>
    <row r="1659" spans="1:10" hidden="1">
      <c r="A1659" t="s">
        <v>2925</v>
      </c>
      <c r="B1659" t="s">
        <v>3694</v>
      </c>
      <c r="C1659" t="s">
        <v>3695</v>
      </c>
      <c r="J1659">
        <f>LEN(Table13[[#This Row],[REFERENCE_DESCR1]])</f>
        <v>40</v>
      </c>
    </row>
    <row r="1660" spans="1:10" hidden="1">
      <c r="A1660" t="s">
        <v>2925</v>
      </c>
      <c r="B1660" t="s">
        <v>3696</v>
      </c>
      <c r="C1660" t="s">
        <v>3697</v>
      </c>
      <c r="J1660">
        <f>LEN(Table13[[#This Row],[REFERENCE_DESCR1]])</f>
        <v>22</v>
      </c>
    </row>
    <row r="1661" spans="1:10" hidden="1">
      <c r="A1661" t="s">
        <v>2925</v>
      </c>
      <c r="B1661" t="s">
        <v>3698</v>
      </c>
      <c r="C1661" t="s">
        <v>3699</v>
      </c>
      <c r="J1661">
        <f>LEN(Table13[[#This Row],[REFERENCE_DESCR1]])</f>
        <v>8</v>
      </c>
    </row>
    <row r="1662" spans="1:10" hidden="1">
      <c r="A1662" t="s">
        <v>2925</v>
      </c>
      <c r="B1662" t="s">
        <v>3700</v>
      </c>
      <c r="C1662" t="s">
        <v>3701</v>
      </c>
      <c r="J1662">
        <f>LEN(Table13[[#This Row],[REFERENCE_DESCR1]])</f>
        <v>5</v>
      </c>
    </row>
    <row r="1663" spans="1:10" hidden="1">
      <c r="A1663" t="s">
        <v>2925</v>
      </c>
      <c r="B1663" t="s">
        <v>3702</v>
      </c>
      <c r="C1663" t="s">
        <v>3703</v>
      </c>
      <c r="J1663">
        <f>LEN(Table13[[#This Row],[REFERENCE_DESCR1]])</f>
        <v>6</v>
      </c>
    </row>
    <row r="1664" spans="1:10" hidden="1">
      <c r="A1664" t="s">
        <v>2925</v>
      </c>
      <c r="B1664" t="s">
        <v>3704</v>
      </c>
      <c r="C1664" t="s">
        <v>3705</v>
      </c>
      <c r="J1664">
        <f>LEN(Table13[[#This Row],[REFERENCE_DESCR1]])</f>
        <v>38</v>
      </c>
    </row>
    <row r="1665" spans="1:10" hidden="1">
      <c r="A1665" t="s">
        <v>2925</v>
      </c>
      <c r="B1665" t="s">
        <v>3706</v>
      </c>
      <c r="C1665" t="s">
        <v>3707</v>
      </c>
      <c r="J1665">
        <f>LEN(Table13[[#This Row],[REFERENCE_DESCR1]])</f>
        <v>7</v>
      </c>
    </row>
    <row r="1666" spans="1:10" hidden="1">
      <c r="A1666" t="s">
        <v>2925</v>
      </c>
      <c r="B1666" t="s">
        <v>3708</v>
      </c>
      <c r="C1666" t="s">
        <v>3709</v>
      </c>
      <c r="J1666">
        <f>LEN(Table13[[#This Row],[REFERENCE_DESCR1]])</f>
        <v>8</v>
      </c>
    </row>
    <row r="1667" spans="1:10" hidden="1">
      <c r="A1667" t="s">
        <v>2925</v>
      </c>
      <c r="B1667" t="s">
        <v>3710</v>
      </c>
      <c r="C1667" t="s">
        <v>3711</v>
      </c>
      <c r="J1667">
        <f>LEN(Table13[[#This Row],[REFERENCE_DESCR1]])</f>
        <v>10</v>
      </c>
    </row>
    <row r="1668" spans="1:10" hidden="1">
      <c r="A1668" t="s">
        <v>2925</v>
      </c>
      <c r="B1668" t="s">
        <v>3712</v>
      </c>
      <c r="C1668" t="s">
        <v>3713</v>
      </c>
      <c r="J1668">
        <f>LEN(Table13[[#This Row],[REFERENCE_DESCR1]])</f>
        <v>9</v>
      </c>
    </row>
    <row r="1669" spans="1:10" hidden="1">
      <c r="A1669" t="s">
        <v>2925</v>
      </c>
      <c r="B1669" t="s">
        <v>3714</v>
      </c>
      <c r="C1669" t="s">
        <v>3715</v>
      </c>
      <c r="J1669">
        <f>LEN(Table13[[#This Row],[REFERENCE_DESCR1]])</f>
        <v>10</v>
      </c>
    </row>
    <row r="1670" spans="1:10" hidden="1">
      <c r="A1670" t="s">
        <v>2925</v>
      </c>
      <c r="B1670" t="s">
        <v>3716</v>
      </c>
      <c r="C1670" t="s">
        <v>3717</v>
      </c>
      <c r="J1670">
        <f>LEN(Table13[[#This Row],[REFERENCE_DESCR1]])</f>
        <v>8</v>
      </c>
    </row>
    <row r="1671" spans="1:10" hidden="1">
      <c r="A1671" t="s">
        <v>2925</v>
      </c>
      <c r="B1671" t="s">
        <v>3718</v>
      </c>
      <c r="C1671" t="s">
        <v>3719</v>
      </c>
      <c r="J1671">
        <f>LEN(Table13[[#This Row],[REFERENCE_DESCR1]])</f>
        <v>8</v>
      </c>
    </row>
    <row r="1672" spans="1:10" hidden="1">
      <c r="A1672" t="s">
        <v>2925</v>
      </c>
      <c r="B1672" t="s">
        <v>3720</v>
      </c>
      <c r="C1672" t="s">
        <v>3721</v>
      </c>
      <c r="J1672">
        <f>LEN(Table13[[#This Row],[REFERENCE_DESCR1]])</f>
        <v>9</v>
      </c>
    </row>
    <row r="1673" spans="1:10" hidden="1">
      <c r="A1673" t="s">
        <v>2925</v>
      </c>
      <c r="B1673" t="s">
        <v>3722</v>
      </c>
      <c r="C1673" t="s">
        <v>3723</v>
      </c>
      <c r="J1673">
        <f>LEN(Table13[[#This Row],[REFERENCE_DESCR1]])</f>
        <v>8</v>
      </c>
    </row>
    <row r="1674" spans="1:10" hidden="1">
      <c r="A1674" t="s">
        <v>2925</v>
      </c>
      <c r="B1674" t="s">
        <v>3724</v>
      </c>
      <c r="C1674" t="s">
        <v>3725</v>
      </c>
      <c r="J1674">
        <f>LEN(Table13[[#This Row],[REFERENCE_DESCR1]])</f>
        <v>7</v>
      </c>
    </row>
    <row r="1675" spans="1:10" hidden="1">
      <c r="A1675" t="s">
        <v>2925</v>
      </c>
      <c r="B1675" t="s">
        <v>3726</v>
      </c>
      <c r="C1675" t="s">
        <v>3727</v>
      </c>
      <c r="J1675">
        <f>LEN(Table13[[#This Row],[REFERENCE_DESCR1]])</f>
        <v>12</v>
      </c>
    </row>
    <row r="1676" spans="1:10" hidden="1">
      <c r="A1676" t="s">
        <v>2925</v>
      </c>
      <c r="B1676" t="s">
        <v>3728</v>
      </c>
      <c r="C1676" t="s">
        <v>3729</v>
      </c>
      <c r="J1676">
        <f>LEN(Table13[[#This Row],[REFERENCE_DESCR1]])</f>
        <v>6</v>
      </c>
    </row>
    <row r="1677" spans="1:10" hidden="1">
      <c r="A1677" t="s">
        <v>2925</v>
      </c>
      <c r="B1677" t="s">
        <v>3730</v>
      </c>
      <c r="C1677" t="s">
        <v>3731</v>
      </c>
      <c r="J1677">
        <f>LEN(Table13[[#This Row],[REFERENCE_DESCR1]])</f>
        <v>9</v>
      </c>
    </row>
    <row r="1678" spans="1:10" hidden="1">
      <c r="A1678" t="s">
        <v>2925</v>
      </c>
      <c r="B1678" t="s">
        <v>3732</v>
      </c>
      <c r="C1678" t="s">
        <v>3733</v>
      </c>
      <c r="J1678">
        <f>LEN(Table13[[#This Row],[REFERENCE_DESCR1]])</f>
        <v>13</v>
      </c>
    </row>
    <row r="1679" spans="1:10" hidden="1">
      <c r="A1679" t="s">
        <v>2925</v>
      </c>
      <c r="B1679" t="s">
        <v>3734</v>
      </c>
      <c r="C1679" t="s">
        <v>3735</v>
      </c>
      <c r="J1679">
        <f>LEN(Table13[[#This Row],[REFERENCE_DESCR1]])</f>
        <v>10</v>
      </c>
    </row>
    <row r="1680" spans="1:10" hidden="1">
      <c r="A1680" t="s">
        <v>2925</v>
      </c>
      <c r="B1680" t="s">
        <v>3736</v>
      </c>
      <c r="C1680" t="s">
        <v>3737</v>
      </c>
      <c r="J1680">
        <f>LEN(Table13[[#This Row],[REFERENCE_DESCR1]])</f>
        <v>8</v>
      </c>
    </row>
    <row r="1681" spans="1:10" hidden="1">
      <c r="A1681" t="s">
        <v>2925</v>
      </c>
      <c r="B1681" t="s">
        <v>3738</v>
      </c>
      <c r="C1681" t="s">
        <v>3739</v>
      </c>
      <c r="J1681">
        <f>LEN(Table13[[#This Row],[REFERENCE_DESCR1]])</f>
        <v>6</v>
      </c>
    </row>
    <row r="1682" spans="1:10" hidden="1">
      <c r="A1682" t="s">
        <v>2925</v>
      </c>
      <c r="B1682" t="s">
        <v>3740</v>
      </c>
      <c r="C1682" t="s">
        <v>3741</v>
      </c>
      <c r="J1682">
        <f>LEN(Table13[[#This Row],[REFERENCE_DESCR1]])</f>
        <v>13</v>
      </c>
    </row>
    <row r="1683" spans="1:10" hidden="1">
      <c r="A1683" t="s">
        <v>2925</v>
      </c>
      <c r="B1683" t="s">
        <v>3742</v>
      </c>
      <c r="C1683" t="s">
        <v>3743</v>
      </c>
      <c r="J1683">
        <f>LEN(Table13[[#This Row],[REFERENCE_DESCR1]])</f>
        <v>13</v>
      </c>
    </row>
    <row r="1684" spans="1:10" hidden="1">
      <c r="A1684" t="s">
        <v>2925</v>
      </c>
      <c r="B1684" t="s">
        <v>3744</v>
      </c>
      <c r="C1684" t="s">
        <v>3745</v>
      </c>
      <c r="J1684">
        <f>LEN(Table13[[#This Row],[REFERENCE_DESCR1]])</f>
        <v>10</v>
      </c>
    </row>
    <row r="1685" spans="1:10" hidden="1">
      <c r="A1685" t="s">
        <v>2925</v>
      </c>
      <c r="B1685" t="s">
        <v>3746</v>
      </c>
      <c r="C1685" t="s">
        <v>3747</v>
      </c>
      <c r="J1685">
        <f>LEN(Table13[[#This Row],[REFERENCE_DESCR1]])</f>
        <v>7</v>
      </c>
    </row>
    <row r="1686" spans="1:10" hidden="1">
      <c r="A1686" t="s">
        <v>2925</v>
      </c>
      <c r="B1686" t="s">
        <v>3748</v>
      </c>
      <c r="C1686" t="s">
        <v>3749</v>
      </c>
      <c r="J1686">
        <f>LEN(Table13[[#This Row],[REFERENCE_DESCR1]])</f>
        <v>7</v>
      </c>
    </row>
    <row r="1687" spans="1:10" hidden="1">
      <c r="A1687" t="s">
        <v>2925</v>
      </c>
      <c r="B1687" t="s">
        <v>3750</v>
      </c>
      <c r="C1687" t="s">
        <v>3751</v>
      </c>
      <c r="J1687">
        <f>LEN(Table13[[#This Row],[REFERENCE_DESCR1]])</f>
        <v>28</v>
      </c>
    </row>
    <row r="1688" spans="1:10" hidden="1">
      <c r="A1688" t="s">
        <v>2925</v>
      </c>
      <c r="B1688" t="s">
        <v>3752</v>
      </c>
      <c r="C1688" t="s">
        <v>3753</v>
      </c>
      <c r="J1688">
        <f>LEN(Table13[[#This Row],[REFERENCE_DESCR1]])</f>
        <v>39</v>
      </c>
    </row>
    <row r="1689" spans="1:10" hidden="1">
      <c r="A1689" t="s">
        <v>2925</v>
      </c>
      <c r="B1689" t="s">
        <v>3754</v>
      </c>
      <c r="C1689" t="s">
        <v>3755</v>
      </c>
      <c r="J1689">
        <f>LEN(Table13[[#This Row],[REFERENCE_DESCR1]])</f>
        <v>31</v>
      </c>
    </row>
    <row r="1690" spans="1:10" hidden="1">
      <c r="A1690" t="s">
        <v>2925</v>
      </c>
      <c r="B1690" t="s">
        <v>3756</v>
      </c>
      <c r="C1690" t="s">
        <v>3757</v>
      </c>
      <c r="J1690">
        <f>LEN(Table13[[#This Row],[REFERENCE_DESCR1]])</f>
        <v>31</v>
      </c>
    </row>
    <row r="1691" spans="1:10" hidden="1">
      <c r="A1691" t="s">
        <v>2925</v>
      </c>
      <c r="B1691" t="s">
        <v>3758</v>
      </c>
      <c r="C1691" t="s">
        <v>3759</v>
      </c>
      <c r="J1691">
        <f>LEN(Table13[[#This Row],[REFERENCE_DESCR1]])</f>
        <v>31</v>
      </c>
    </row>
    <row r="1692" spans="1:10" hidden="1">
      <c r="A1692" t="s">
        <v>2925</v>
      </c>
      <c r="B1692" t="s">
        <v>3760</v>
      </c>
      <c r="C1692" t="s">
        <v>3761</v>
      </c>
      <c r="J1692">
        <f>LEN(Table13[[#This Row],[REFERENCE_DESCR1]])</f>
        <v>31</v>
      </c>
    </row>
    <row r="1693" spans="1:10" hidden="1">
      <c r="A1693" t="s">
        <v>2925</v>
      </c>
      <c r="B1693" t="s">
        <v>3762</v>
      </c>
      <c r="C1693" t="s">
        <v>3763</v>
      </c>
      <c r="J1693">
        <f>LEN(Table13[[#This Row],[REFERENCE_DESCR1]])</f>
        <v>31</v>
      </c>
    </row>
    <row r="1694" spans="1:10" hidden="1">
      <c r="A1694" t="s">
        <v>2925</v>
      </c>
      <c r="B1694" t="s">
        <v>3764</v>
      </c>
      <c r="C1694" t="s">
        <v>3765</v>
      </c>
      <c r="J1694">
        <f>LEN(Table13[[#This Row],[REFERENCE_DESCR1]])</f>
        <v>31</v>
      </c>
    </row>
    <row r="1695" spans="1:10" hidden="1">
      <c r="A1695" t="s">
        <v>2925</v>
      </c>
      <c r="B1695" t="s">
        <v>3766</v>
      </c>
      <c r="C1695" t="s">
        <v>3767</v>
      </c>
      <c r="J1695">
        <f>LEN(Table13[[#This Row],[REFERENCE_DESCR1]])</f>
        <v>29</v>
      </c>
    </row>
    <row r="1696" spans="1:10" hidden="1">
      <c r="A1696" t="s">
        <v>2925</v>
      </c>
      <c r="B1696" t="s">
        <v>3768</v>
      </c>
      <c r="C1696" t="s">
        <v>3769</v>
      </c>
      <c r="J1696">
        <f>LEN(Table13[[#This Row],[REFERENCE_DESCR1]])</f>
        <v>38</v>
      </c>
    </row>
    <row r="1697" spans="1:10" hidden="1">
      <c r="A1697" t="s">
        <v>2925</v>
      </c>
      <c r="B1697" t="s">
        <v>3770</v>
      </c>
      <c r="C1697" t="s">
        <v>3771</v>
      </c>
      <c r="J1697">
        <f>LEN(Table13[[#This Row],[REFERENCE_DESCR1]])</f>
        <v>32</v>
      </c>
    </row>
    <row r="1698" spans="1:10" hidden="1">
      <c r="A1698" t="s">
        <v>2925</v>
      </c>
      <c r="B1698" t="s">
        <v>3772</v>
      </c>
      <c r="C1698" t="s">
        <v>3773</v>
      </c>
      <c r="J1698">
        <f>LEN(Table13[[#This Row],[REFERENCE_DESCR1]])</f>
        <v>32</v>
      </c>
    </row>
    <row r="1699" spans="1:10" hidden="1">
      <c r="A1699" t="s">
        <v>2925</v>
      </c>
      <c r="B1699" t="s">
        <v>3774</v>
      </c>
      <c r="C1699" t="s">
        <v>3775</v>
      </c>
      <c r="J1699">
        <f>LEN(Table13[[#This Row],[REFERENCE_DESCR1]])</f>
        <v>32</v>
      </c>
    </row>
    <row r="1700" spans="1:10" hidden="1">
      <c r="A1700" t="s">
        <v>2925</v>
      </c>
      <c r="B1700" t="s">
        <v>3776</v>
      </c>
      <c r="C1700" t="s">
        <v>3777</v>
      </c>
      <c r="J1700">
        <f>LEN(Table13[[#This Row],[REFERENCE_DESCR1]])</f>
        <v>40</v>
      </c>
    </row>
    <row r="1701" spans="1:10" hidden="1">
      <c r="A1701" t="s">
        <v>2925</v>
      </c>
      <c r="B1701" t="s">
        <v>3778</v>
      </c>
      <c r="C1701" t="s">
        <v>3779</v>
      </c>
      <c r="J1701">
        <f>LEN(Table13[[#This Row],[REFERENCE_DESCR1]])</f>
        <v>40</v>
      </c>
    </row>
    <row r="1702" spans="1:10" hidden="1">
      <c r="A1702" t="s">
        <v>2925</v>
      </c>
      <c r="B1702" t="s">
        <v>3780</v>
      </c>
      <c r="C1702" t="s">
        <v>3781</v>
      </c>
      <c r="J1702">
        <f>LEN(Table13[[#This Row],[REFERENCE_DESCR1]])</f>
        <v>30</v>
      </c>
    </row>
    <row r="1703" spans="1:10" hidden="1">
      <c r="A1703" t="s">
        <v>2925</v>
      </c>
      <c r="B1703" t="s">
        <v>3782</v>
      </c>
      <c r="C1703" t="s">
        <v>3783</v>
      </c>
      <c r="J1703">
        <f>LEN(Table13[[#This Row],[REFERENCE_DESCR1]])</f>
        <v>7</v>
      </c>
    </row>
    <row r="1704" spans="1:10" hidden="1">
      <c r="A1704" t="s">
        <v>2925</v>
      </c>
      <c r="B1704" t="s">
        <v>3784</v>
      </c>
      <c r="C1704" t="s">
        <v>3785</v>
      </c>
      <c r="J1704">
        <f>LEN(Table13[[#This Row],[REFERENCE_DESCR1]])</f>
        <v>9</v>
      </c>
    </row>
    <row r="1705" spans="1:10" hidden="1">
      <c r="A1705" t="s">
        <v>2925</v>
      </c>
      <c r="B1705" t="s">
        <v>3786</v>
      </c>
      <c r="C1705" t="s">
        <v>3787</v>
      </c>
      <c r="J1705">
        <f>LEN(Table13[[#This Row],[REFERENCE_DESCR1]])</f>
        <v>8</v>
      </c>
    </row>
    <row r="1706" spans="1:10" hidden="1">
      <c r="A1706" t="s">
        <v>2925</v>
      </c>
      <c r="B1706" t="s">
        <v>3788</v>
      </c>
      <c r="C1706" t="s">
        <v>3789</v>
      </c>
      <c r="J1706">
        <f>LEN(Table13[[#This Row],[REFERENCE_DESCR1]])</f>
        <v>9</v>
      </c>
    </row>
    <row r="1707" spans="1:10" hidden="1">
      <c r="A1707" t="s">
        <v>2925</v>
      </c>
      <c r="B1707" t="s">
        <v>3790</v>
      </c>
      <c r="C1707" t="s">
        <v>3791</v>
      </c>
      <c r="J1707">
        <f>LEN(Table13[[#This Row],[REFERENCE_DESCR1]])</f>
        <v>9</v>
      </c>
    </row>
    <row r="1708" spans="1:10" hidden="1">
      <c r="A1708" t="s">
        <v>2925</v>
      </c>
      <c r="B1708" t="s">
        <v>3792</v>
      </c>
      <c r="C1708" t="s">
        <v>3793</v>
      </c>
      <c r="J1708">
        <f>LEN(Table13[[#This Row],[REFERENCE_DESCR1]])</f>
        <v>13</v>
      </c>
    </row>
    <row r="1709" spans="1:10" hidden="1">
      <c r="A1709" t="s">
        <v>2925</v>
      </c>
      <c r="B1709" t="s">
        <v>3794</v>
      </c>
      <c r="C1709" t="s">
        <v>3795</v>
      </c>
      <c r="J1709">
        <f>LEN(Table13[[#This Row],[REFERENCE_DESCR1]])</f>
        <v>13</v>
      </c>
    </row>
    <row r="1710" spans="1:10" hidden="1">
      <c r="A1710" t="s">
        <v>2925</v>
      </c>
      <c r="B1710" t="s">
        <v>3796</v>
      </c>
      <c r="C1710" t="s">
        <v>3797</v>
      </c>
      <c r="J1710">
        <f>LEN(Table13[[#This Row],[REFERENCE_DESCR1]])</f>
        <v>12</v>
      </c>
    </row>
    <row r="1711" spans="1:10" hidden="1">
      <c r="A1711" t="s">
        <v>2925</v>
      </c>
      <c r="B1711" t="s">
        <v>3798</v>
      </c>
      <c r="C1711" t="s">
        <v>1617</v>
      </c>
      <c r="J1711">
        <f>LEN(Table13[[#This Row],[REFERENCE_DESCR1]])</f>
        <v>8</v>
      </c>
    </row>
    <row r="1712" spans="1:10" hidden="1">
      <c r="A1712" t="s">
        <v>2925</v>
      </c>
      <c r="B1712" t="s">
        <v>3799</v>
      </c>
      <c r="C1712" t="s">
        <v>3800</v>
      </c>
      <c r="J1712">
        <f>LEN(Table13[[#This Row],[REFERENCE_DESCR1]])</f>
        <v>20</v>
      </c>
    </row>
    <row r="1713" spans="1:10" hidden="1">
      <c r="A1713" t="s">
        <v>2925</v>
      </c>
      <c r="B1713" t="s">
        <v>3801</v>
      </c>
      <c r="C1713" t="s">
        <v>3802</v>
      </c>
      <c r="J1713">
        <f>LEN(Table13[[#This Row],[REFERENCE_DESCR1]])</f>
        <v>12</v>
      </c>
    </row>
    <row r="1714" spans="1:10" hidden="1">
      <c r="A1714" t="s">
        <v>2925</v>
      </c>
      <c r="B1714" t="s">
        <v>3803</v>
      </c>
      <c r="C1714" t="s">
        <v>3804</v>
      </c>
      <c r="J1714">
        <f>LEN(Table13[[#This Row],[REFERENCE_DESCR1]])</f>
        <v>12</v>
      </c>
    </row>
    <row r="1715" spans="1:10" hidden="1">
      <c r="A1715" t="s">
        <v>2925</v>
      </c>
      <c r="B1715" t="s">
        <v>3805</v>
      </c>
      <c r="C1715" t="s">
        <v>3806</v>
      </c>
      <c r="J1715">
        <f>LEN(Table13[[#This Row],[REFERENCE_DESCR1]])</f>
        <v>8</v>
      </c>
    </row>
    <row r="1716" spans="1:10" hidden="1">
      <c r="A1716" t="s">
        <v>2925</v>
      </c>
      <c r="B1716" t="s">
        <v>3807</v>
      </c>
      <c r="C1716" t="s">
        <v>3808</v>
      </c>
      <c r="J1716">
        <f>LEN(Table13[[#This Row],[REFERENCE_DESCR1]])</f>
        <v>16</v>
      </c>
    </row>
    <row r="1717" spans="1:10" hidden="1">
      <c r="A1717" t="s">
        <v>2925</v>
      </c>
      <c r="B1717" t="s">
        <v>3809</v>
      </c>
      <c r="C1717" t="s">
        <v>3810</v>
      </c>
      <c r="J1717">
        <f>LEN(Table13[[#This Row],[REFERENCE_DESCR1]])</f>
        <v>9</v>
      </c>
    </row>
    <row r="1718" spans="1:10" hidden="1">
      <c r="A1718" t="s">
        <v>2925</v>
      </c>
      <c r="B1718" t="s">
        <v>3811</v>
      </c>
      <c r="C1718" t="s">
        <v>3812</v>
      </c>
      <c r="J1718">
        <f>LEN(Table13[[#This Row],[REFERENCE_DESCR1]])</f>
        <v>11</v>
      </c>
    </row>
    <row r="1719" spans="1:10" hidden="1">
      <c r="A1719" t="s">
        <v>2925</v>
      </c>
      <c r="B1719" t="s">
        <v>3813</v>
      </c>
      <c r="C1719" t="s">
        <v>3814</v>
      </c>
      <c r="J1719">
        <f>LEN(Table13[[#This Row],[REFERENCE_DESCR1]])</f>
        <v>6</v>
      </c>
    </row>
    <row r="1720" spans="1:10" hidden="1">
      <c r="A1720" t="s">
        <v>2925</v>
      </c>
      <c r="B1720" t="s">
        <v>3815</v>
      </c>
      <c r="C1720" t="s">
        <v>3816</v>
      </c>
      <c r="J1720">
        <f>LEN(Table13[[#This Row],[REFERENCE_DESCR1]])</f>
        <v>12</v>
      </c>
    </row>
    <row r="1721" spans="1:10" hidden="1">
      <c r="A1721" t="s">
        <v>2925</v>
      </c>
      <c r="B1721" t="s">
        <v>3817</v>
      </c>
      <c r="C1721" t="s">
        <v>3818</v>
      </c>
      <c r="J1721">
        <f>LEN(Table13[[#This Row],[REFERENCE_DESCR1]])</f>
        <v>5</v>
      </c>
    </row>
    <row r="1722" spans="1:10" hidden="1">
      <c r="A1722" t="s">
        <v>2925</v>
      </c>
      <c r="B1722" t="s">
        <v>3819</v>
      </c>
      <c r="C1722" t="s">
        <v>3820</v>
      </c>
      <c r="J1722">
        <f>LEN(Table13[[#This Row],[REFERENCE_DESCR1]])</f>
        <v>7</v>
      </c>
    </row>
    <row r="1723" spans="1:10" hidden="1">
      <c r="A1723" t="s">
        <v>2925</v>
      </c>
      <c r="B1723" t="s">
        <v>3821</v>
      </c>
      <c r="C1723" t="s">
        <v>3822</v>
      </c>
      <c r="J1723">
        <f>LEN(Table13[[#This Row],[REFERENCE_DESCR1]])</f>
        <v>6</v>
      </c>
    </row>
    <row r="1724" spans="1:10" hidden="1">
      <c r="A1724" t="s">
        <v>2925</v>
      </c>
      <c r="B1724" t="s">
        <v>3823</v>
      </c>
      <c r="C1724" t="s">
        <v>3824</v>
      </c>
      <c r="J1724">
        <f>LEN(Table13[[#This Row],[REFERENCE_DESCR1]])</f>
        <v>9</v>
      </c>
    </row>
    <row r="1725" spans="1:10" hidden="1">
      <c r="A1725" t="s">
        <v>2925</v>
      </c>
      <c r="B1725" t="s">
        <v>3825</v>
      </c>
      <c r="C1725" t="s">
        <v>3826</v>
      </c>
      <c r="J1725">
        <f>LEN(Table13[[#This Row],[REFERENCE_DESCR1]])</f>
        <v>12</v>
      </c>
    </row>
    <row r="1726" spans="1:10" hidden="1">
      <c r="A1726" t="s">
        <v>2925</v>
      </c>
      <c r="B1726" t="s">
        <v>3827</v>
      </c>
      <c r="C1726" t="s">
        <v>3828</v>
      </c>
      <c r="J1726">
        <f>LEN(Table13[[#This Row],[REFERENCE_DESCR1]])</f>
        <v>6</v>
      </c>
    </row>
    <row r="1727" spans="1:10" hidden="1">
      <c r="A1727" t="s">
        <v>2925</v>
      </c>
      <c r="B1727" t="s">
        <v>3829</v>
      </c>
      <c r="C1727" t="s">
        <v>3830</v>
      </c>
      <c r="J1727">
        <f>LEN(Table13[[#This Row],[REFERENCE_DESCR1]])</f>
        <v>6</v>
      </c>
    </row>
    <row r="1728" spans="1:10" hidden="1">
      <c r="A1728" t="s">
        <v>2925</v>
      </c>
      <c r="B1728" t="s">
        <v>3831</v>
      </c>
      <c r="C1728" t="s">
        <v>3832</v>
      </c>
      <c r="J1728">
        <f>LEN(Table13[[#This Row],[REFERENCE_DESCR1]])</f>
        <v>11</v>
      </c>
    </row>
    <row r="1729" spans="1:10" hidden="1">
      <c r="A1729" t="s">
        <v>2925</v>
      </c>
      <c r="B1729" t="s">
        <v>3833</v>
      </c>
      <c r="C1729" t="s">
        <v>3834</v>
      </c>
      <c r="J1729">
        <f>LEN(Table13[[#This Row],[REFERENCE_DESCR1]])</f>
        <v>9</v>
      </c>
    </row>
    <row r="1730" spans="1:10" hidden="1">
      <c r="A1730" t="s">
        <v>2925</v>
      </c>
      <c r="B1730" t="s">
        <v>3835</v>
      </c>
      <c r="C1730" t="s">
        <v>3836</v>
      </c>
      <c r="J1730">
        <f>LEN(Table13[[#This Row],[REFERENCE_DESCR1]])</f>
        <v>15</v>
      </c>
    </row>
    <row r="1731" spans="1:10" hidden="1">
      <c r="A1731" t="s">
        <v>2925</v>
      </c>
      <c r="B1731" t="s">
        <v>3837</v>
      </c>
      <c r="C1731" t="s">
        <v>3838</v>
      </c>
      <c r="J1731">
        <f>LEN(Table13[[#This Row],[REFERENCE_DESCR1]])</f>
        <v>12</v>
      </c>
    </row>
    <row r="1732" spans="1:10" hidden="1">
      <c r="A1732" t="s">
        <v>2925</v>
      </c>
      <c r="B1732" t="s">
        <v>3839</v>
      </c>
      <c r="C1732" t="s">
        <v>3840</v>
      </c>
      <c r="J1732">
        <f>LEN(Table13[[#This Row],[REFERENCE_DESCR1]])</f>
        <v>12</v>
      </c>
    </row>
    <row r="1733" spans="1:10" hidden="1">
      <c r="A1733" t="s">
        <v>2925</v>
      </c>
      <c r="B1733" t="s">
        <v>3841</v>
      </c>
      <c r="C1733" t="s">
        <v>3842</v>
      </c>
      <c r="J1733">
        <f>LEN(Table13[[#This Row],[REFERENCE_DESCR1]])</f>
        <v>14</v>
      </c>
    </row>
    <row r="1734" spans="1:10" hidden="1">
      <c r="A1734" t="s">
        <v>2925</v>
      </c>
      <c r="B1734" t="s">
        <v>3843</v>
      </c>
      <c r="C1734" t="s">
        <v>3844</v>
      </c>
      <c r="J1734">
        <f>LEN(Table13[[#This Row],[REFERENCE_DESCR1]])</f>
        <v>14</v>
      </c>
    </row>
    <row r="1735" spans="1:10" hidden="1">
      <c r="A1735" t="s">
        <v>2925</v>
      </c>
      <c r="B1735" t="s">
        <v>1795</v>
      </c>
      <c r="C1735" t="s">
        <v>3845</v>
      </c>
      <c r="J1735">
        <f>LEN(Table13[[#This Row],[REFERENCE_DESCR1]])</f>
        <v>10</v>
      </c>
    </row>
    <row r="1736" spans="1:10" hidden="1">
      <c r="A1736" t="s">
        <v>2925</v>
      </c>
      <c r="B1736" t="s">
        <v>3846</v>
      </c>
      <c r="C1736" t="s">
        <v>3847</v>
      </c>
      <c r="J1736">
        <f>LEN(Table13[[#This Row],[REFERENCE_DESCR1]])</f>
        <v>22</v>
      </c>
    </row>
    <row r="1737" spans="1:10" hidden="1">
      <c r="A1737" t="s">
        <v>2925</v>
      </c>
      <c r="B1737" t="s">
        <v>3848</v>
      </c>
      <c r="C1737" t="s">
        <v>3849</v>
      </c>
      <c r="J1737">
        <f>LEN(Table13[[#This Row],[REFERENCE_DESCR1]])</f>
        <v>15</v>
      </c>
    </row>
    <row r="1738" spans="1:10" hidden="1">
      <c r="A1738" t="s">
        <v>2925</v>
      </c>
      <c r="B1738" t="s">
        <v>3850</v>
      </c>
      <c r="C1738" t="s">
        <v>3851</v>
      </c>
      <c r="J1738">
        <f>LEN(Table13[[#This Row],[REFERENCE_DESCR1]])</f>
        <v>7</v>
      </c>
    </row>
    <row r="1739" spans="1:10" hidden="1">
      <c r="A1739" t="s">
        <v>2925</v>
      </c>
      <c r="B1739" t="s">
        <v>3852</v>
      </c>
      <c r="C1739" t="s">
        <v>3853</v>
      </c>
      <c r="J1739">
        <f>LEN(Table13[[#This Row],[REFERENCE_DESCR1]])</f>
        <v>12</v>
      </c>
    </row>
    <row r="1740" spans="1:10" hidden="1">
      <c r="A1740" t="s">
        <v>2925</v>
      </c>
      <c r="B1740" t="s">
        <v>3854</v>
      </c>
      <c r="C1740" t="s">
        <v>3855</v>
      </c>
      <c r="J1740">
        <f>LEN(Table13[[#This Row],[REFERENCE_DESCR1]])</f>
        <v>11</v>
      </c>
    </row>
    <row r="1741" spans="1:10" hidden="1">
      <c r="A1741" t="s">
        <v>2925</v>
      </c>
      <c r="B1741" t="s">
        <v>3856</v>
      </c>
      <c r="C1741" t="s">
        <v>3857</v>
      </c>
      <c r="J1741">
        <f>LEN(Table13[[#This Row],[REFERENCE_DESCR1]])</f>
        <v>19</v>
      </c>
    </row>
    <row r="1742" spans="1:10" hidden="1">
      <c r="A1742" t="s">
        <v>2925</v>
      </c>
      <c r="B1742" t="s">
        <v>3858</v>
      </c>
      <c r="C1742" t="s">
        <v>3859</v>
      </c>
      <c r="J1742">
        <f>LEN(Table13[[#This Row],[REFERENCE_DESCR1]])</f>
        <v>7</v>
      </c>
    </row>
    <row r="1743" spans="1:10" hidden="1">
      <c r="A1743" t="s">
        <v>2925</v>
      </c>
      <c r="B1743" t="s">
        <v>3860</v>
      </c>
      <c r="C1743" t="s">
        <v>3861</v>
      </c>
      <c r="J1743">
        <f>LEN(Table13[[#This Row],[REFERENCE_DESCR1]])</f>
        <v>7</v>
      </c>
    </row>
    <row r="1744" spans="1:10" hidden="1">
      <c r="A1744" t="s">
        <v>2925</v>
      </c>
      <c r="B1744" t="s">
        <v>3862</v>
      </c>
      <c r="C1744" t="s">
        <v>3863</v>
      </c>
      <c r="J1744">
        <f>LEN(Table13[[#This Row],[REFERENCE_DESCR1]])</f>
        <v>7</v>
      </c>
    </row>
    <row r="1745" spans="1:10" hidden="1">
      <c r="A1745" t="s">
        <v>2925</v>
      </c>
      <c r="B1745" t="s">
        <v>3864</v>
      </c>
      <c r="C1745" t="s">
        <v>3865</v>
      </c>
      <c r="J1745">
        <f>LEN(Table13[[#This Row],[REFERENCE_DESCR1]])</f>
        <v>6</v>
      </c>
    </row>
    <row r="1746" spans="1:10" hidden="1">
      <c r="A1746" t="s">
        <v>2925</v>
      </c>
      <c r="B1746" t="s">
        <v>3866</v>
      </c>
      <c r="C1746" t="s">
        <v>3867</v>
      </c>
      <c r="J1746">
        <f>LEN(Table13[[#This Row],[REFERENCE_DESCR1]])</f>
        <v>10</v>
      </c>
    </row>
    <row r="1747" spans="1:10" hidden="1">
      <c r="A1747" t="s">
        <v>2925</v>
      </c>
      <c r="B1747" t="s">
        <v>3868</v>
      </c>
      <c r="C1747" t="s">
        <v>3869</v>
      </c>
      <c r="J1747">
        <f>LEN(Table13[[#This Row],[REFERENCE_DESCR1]])</f>
        <v>8</v>
      </c>
    </row>
    <row r="1748" spans="1:10" hidden="1">
      <c r="A1748" t="s">
        <v>2925</v>
      </c>
      <c r="B1748" t="s">
        <v>3870</v>
      </c>
      <c r="C1748" t="s">
        <v>3871</v>
      </c>
      <c r="J1748">
        <f>LEN(Table13[[#This Row],[REFERENCE_DESCR1]])</f>
        <v>6</v>
      </c>
    </row>
    <row r="1749" spans="1:10" hidden="1">
      <c r="A1749" t="s">
        <v>2925</v>
      </c>
      <c r="B1749" t="s">
        <v>3872</v>
      </c>
      <c r="C1749" t="s">
        <v>3873</v>
      </c>
      <c r="J1749">
        <f>LEN(Table13[[#This Row],[REFERENCE_DESCR1]])</f>
        <v>8</v>
      </c>
    </row>
    <row r="1750" spans="1:10" hidden="1">
      <c r="A1750" t="s">
        <v>2925</v>
      </c>
      <c r="B1750" t="s">
        <v>3874</v>
      </c>
      <c r="C1750" t="s">
        <v>3875</v>
      </c>
      <c r="J1750">
        <f>LEN(Table13[[#This Row],[REFERENCE_DESCR1]])</f>
        <v>11</v>
      </c>
    </row>
    <row r="1751" spans="1:10" hidden="1">
      <c r="A1751" t="s">
        <v>2925</v>
      </c>
      <c r="B1751" t="s">
        <v>3876</v>
      </c>
      <c r="C1751" t="s">
        <v>3877</v>
      </c>
      <c r="J1751">
        <f>LEN(Table13[[#This Row],[REFERENCE_DESCR1]])</f>
        <v>8</v>
      </c>
    </row>
    <row r="1752" spans="1:10" hidden="1">
      <c r="A1752" t="s">
        <v>2925</v>
      </c>
      <c r="B1752" t="s">
        <v>3878</v>
      </c>
      <c r="C1752" t="s">
        <v>3879</v>
      </c>
      <c r="J1752">
        <f>LEN(Table13[[#This Row],[REFERENCE_DESCR1]])</f>
        <v>10</v>
      </c>
    </row>
    <row r="1753" spans="1:10" hidden="1">
      <c r="A1753" t="s">
        <v>2925</v>
      </c>
      <c r="B1753" t="s">
        <v>3880</v>
      </c>
      <c r="C1753" t="s">
        <v>3881</v>
      </c>
      <c r="J1753">
        <f>LEN(Table13[[#This Row],[REFERENCE_DESCR1]])</f>
        <v>9</v>
      </c>
    </row>
    <row r="1754" spans="1:10" hidden="1">
      <c r="A1754" t="s">
        <v>2925</v>
      </c>
      <c r="B1754" t="s">
        <v>3882</v>
      </c>
      <c r="C1754" t="s">
        <v>3883</v>
      </c>
      <c r="J1754">
        <f>LEN(Table13[[#This Row],[REFERENCE_DESCR1]])</f>
        <v>9</v>
      </c>
    </row>
    <row r="1755" spans="1:10" hidden="1">
      <c r="A1755" t="s">
        <v>2925</v>
      </c>
      <c r="B1755" t="s">
        <v>3884</v>
      </c>
      <c r="C1755" t="s">
        <v>3885</v>
      </c>
      <c r="J1755">
        <f>LEN(Table13[[#This Row],[REFERENCE_DESCR1]])</f>
        <v>12</v>
      </c>
    </row>
    <row r="1756" spans="1:10" hidden="1">
      <c r="A1756" t="s">
        <v>2925</v>
      </c>
      <c r="B1756" t="s">
        <v>3886</v>
      </c>
      <c r="C1756" t="s">
        <v>3887</v>
      </c>
      <c r="J1756">
        <f>LEN(Table13[[#This Row],[REFERENCE_DESCR1]])</f>
        <v>9</v>
      </c>
    </row>
    <row r="1757" spans="1:10" hidden="1">
      <c r="A1757" t="s">
        <v>2925</v>
      </c>
      <c r="B1757" t="s">
        <v>3888</v>
      </c>
      <c r="C1757" t="s">
        <v>3889</v>
      </c>
      <c r="J1757">
        <f>LEN(Table13[[#This Row],[REFERENCE_DESCR1]])</f>
        <v>13</v>
      </c>
    </row>
    <row r="1758" spans="1:10" hidden="1">
      <c r="A1758" t="s">
        <v>2925</v>
      </c>
      <c r="B1758" t="s">
        <v>3890</v>
      </c>
      <c r="C1758" t="s">
        <v>3891</v>
      </c>
      <c r="J1758">
        <f>LEN(Table13[[#This Row],[REFERENCE_DESCR1]])</f>
        <v>5</v>
      </c>
    </row>
    <row r="1759" spans="1:10" hidden="1">
      <c r="A1759" t="s">
        <v>2925</v>
      </c>
      <c r="B1759" t="s">
        <v>3892</v>
      </c>
      <c r="C1759" t="s">
        <v>3893</v>
      </c>
      <c r="J1759">
        <f>LEN(Table13[[#This Row],[REFERENCE_DESCR1]])</f>
        <v>5</v>
      </c>
    </row>
    <row r="1760" spans="1:10" hidden="1">
      <c r="A1760" t="s">
        <v>2925</v>
      </c>
      <c r="B1760" t="s">
        <v>3894</v>
      </c>
      <c r="C1760" t="s">
        <v>3895</v>
      </c>
      <c r="J1760">
        <f>LEN(Table13[[#This Row],[REFERENCE_DESCR1]])</f>
        <v>9</v>
      </c>
    </row>
    <row r="1761" spans="1:10" hidden="1">
      <c r="A1761" t="s">
        <v>2925</v>
      </c>
      <c r="B1761" t="s">
        <v>3896</v>
      </c>
      <c r="C1761" t="s">
        <v>3897</v>
      </c>
      <c r="J1761">
        <f>LEN(Table13[[#This Row],[REFERENCE_DESCR1]])</f>
        <v>9</v>
      </c>
    </row>
    <row r="1762" spans="1:10" hidden="1">
      <c r="A1762" t="s">
        <v>2925</v>
      </c>
      <c r="B1762" t="s">
        <v>3898</v>
      </c>
      <c r="C1762" t="s">
        <v>3899</v>
      </c>
      <c r="J1762">
        <f>LEN(Table13[[#This Row],[REFERENCE_DESCR1]])</f>
        <v>14</v>
      </c>
    </row>
    <row r="1763" spans="1:10" hidden="1">
      <c r="A1763" t="s">
        <v>2925</v>
      </c>
      <c r="B1763" t="s">
        <v>3900</v>
      </c>
      <c r="C1763" t="s">
        <v>3901</v>
      </c>
      <c r="J1763">
        <f>LEN(Table13[[#This Row],[REFERENCE_DESCR1]])</f>
        <v>10</v>
      </c>
    </row>
    <row r="1764" spans="1:10" hidden="1">
      <c r="A1764" t="s">
        <v>2925</v>
      </c>
      <c r="B1764" t="s">
        <v>3902</v>
      </c>
      <c r="C1764" t="s">
        <v>3903</v>
      </c>
      <c r="J1764">
        <f>LEN(Table13[[#This Row],[REFERENCE_DESCR1]])</f>
        <v>22</v>
      </c>
    </row>
    <row r="1765" spans="1:10" hidden="1">
      <c r="A1765" t="s">
        <v>2925</v>
      </c>
      <c r="B1765" t="s">
        <v>3904</v>
      </c>
      <c r="C1765" t="s">
        <v>3905</v>
      </c>
      <c r="J1765">
        <f>LEN(Table13[[#This Row],[REFERENCE_DESCR1]])</f>
        <v>22</v>
      </c>
    </row>
    <row r="1766" spans="1:10" hidden="1">
      <c r="A1766" t="s">
        <v>2925</v>
      </c>
      <c r="B1766" t="s">
        <v>3906</v>
      </c>
      <c r="C1766" t="s">
        <v>3907</v>
      </c>
      <c r="J1766">
        <f>LEN(Table13[[#This Row],[REFERENCE_DESCR1]])</f>
        <v>15</v>
      </c>
    </row>
    <row r="1767" spans="1:10" hidden="1">
      <c r="A1767" t="s">
        <v>2925</v>
      </c>
      <c r="B1767" t="s">
        <v>3908</v>
      </c>
      <c r="C1767" t="s">
        <v>3909</v>
      </c>
      <c r="J1767">
        <f>LEN(Table13[[#This Row],[REFERENCE_DESCR1]])</f>
        <v>12</v>
      </c>
    </row>
    <row r="1768" spans="1:10" hidden="1">
      <c r="A1768" t="s">
        <v>2925</v>
      </c>
      <c r="B1768" t="s">
        <v>3910</v>
      </c>
      <c r="C1768" t="s">
        <v>3911</v>
      </c>
      <c r="J1768">
        <f>LEN(Table13[[#This Row],[REFERENCE_DESCR1]])</f>
        <v>21</v>
      </c>
    </row>
    <row r="1769" spans="1:10" hidden="1">
      <c r="A1769" t="s">
        <v>2925</v>
      </c>
      <c r="B1769" t="s">
        <v>3912</v>
      </c>
      <c r="C1769" t="s">
        <v>3913</v>
      </c>
      <c r="J1769">
        <f>LEN(Table13[[#This Row],[REFERENCE_DESCR1]])</f>
        <v>9</v>
      </c>
    </row>
    <row r="1770" spans="1:10" hidden="1">
      <c r="A1770" t="s">
        <v>2925</v>
      </c>
      <c r="B1770" t="s">
        <v>3914</v>
      </c>
      <c r="C1770" t="s">
        <v>3915</v>
      </c>
      <c r="J1770">
        <f>LEN(Table13[[#This Row],[REFERENCE_DESCR1]])</f>
        <v>21</v>
      </c>
    </row>
    <row r="1771" spans="1:10" hidden="1">
      <c r="A1771" t="s">
        <v>2925</v>
      </c>
      <c r="B1771" t="s">
        <v>3916</v>
      </c>
      <c r="C1771" t="s">
        <v>3917</v>
      </c>
      <c r="J1771">
        <f>LEN(Table13[[#This Row],[REFERENCE_DESCR1]])</f>
        <v>11</v>
      </c>
    </row>
    <row r="1772" spans="1:10" hidden="1">
      <c r="A1772" t="s">
        <v>2925</v>
      </c>
      <c r="B1772" t="s">
        <v>3918</v>
      </c>
      <c r="C1772" t="s">
        <v>3919</v>
      </c>
      <c r="J1772">
        <f>LEN(Table13[[#This Row],[REFERENCE_DESCR1]])</f>
        <v>20</v>
      </c>
    </row>
    <row r="1773" spans="1:10" hidden="1">
      <c r="A1773" t="s">
        <v>2925</v>
      </c>
      <c r="B1773" t="s">
        <v>3920</v>
      </c>
      <c r="C1773" t="s">
        <v>3921</v>
      </c>
      <c r="J1773">
        <f>LEN(Table13[[#This Row],[REFERENCE_DESCR1]])</f>
        <v>12</v>
      </c>
    </row>
    <row r="1774" spans="1:10" hidden="1">
      <c r="A1774" t="s">
        <v>2925</v>
      </c>
      <c r="B1774" t="s">
        <v>3922</v>
      </c>
      <c r="C1774" t="s">
        <v>3923</v>
      </c>
      <c r="J1774">
        <f>LEN(Table13[[#This Row],[REFERENCE_DESCR1]])</f>
        <v>24</v>
      </c>
    </row>
    <row r="1775" spans="1:10" hidden="1">
      <c r="A1775" t="s">
        <v>2925</v>
      </c>
      <c r="B1775" t="s">
        <v>3924</v>
      </c>
      <c r="C1775" t="s">
        <v>3925</v>
      </c>
      <c r="J1775">
        <f>LEN(Table13[[#This Row],[REFERENCE_DESCR1]])</f>
        <v>18</v>
      </c>
    </row>
    <row r="1776" spans="1:10" hidden="1">
      <c r="A1776" t="s">
        <v>2925</v>
      </c>
      <c r="B1776" t="s">
        <v>3926</v>
      </c>
      <c r="C1776" t="s">
        <v>3927</v>
      </c>
      <c r="J1776">
        <f>LEN(Table13[[#This Row],[REFERENCE_DESCR1]])</f>
        <v>5</v>
      </c>
    </row>
    <row r="1777" spans="1:10" hidden="1">
      <c r="A1777" t="s">
        <v>2925</v>
      </c>
      <c r="B1777" t="s">
        <v>3928</v>
      </c>
      <c r="C1777" t="s">
        <v>3929</v>
      </c>
      <c r="J1777">
        <f>LEN(Table13[[#This Row],[REFERENCE_DESCR1]])</f>
        <v>17</v>
      </c>
    </row>
    <row r="1778" spans="1:10" hidden="1">
      <c r="A1778" t="s">
        <v>2925</v>
      </c>
      <c r="B1778" t="s">
        <v>3930</v>
      </c>
      <c r="C1778" t="s">
        <v>3931</v>
      </c>
      <c r="J1778">
        <f>LEN(Table13[[#This Row],[REFERENCE_DESCR1]])</f>
        <v>14</v>
      </c>
    </row>
    <row r="1779" spans="1:10" hidden="1">
      <c r="A1779" t="s">
        <v>2925</v>
      </c>
      <c r="B1779" t="s">
        <v>3932</v>
      </c>
      <c r="C1779" t="s">
        <v>3933</v>
      </c>
      <c r="J1779">
        <f>LEN(Table13[[#This Row],[REFERENCE_DESCR1]])</f>
        <v>20</v>
      </c>
    </row>
    <row r="1780" spans="1:10" hidden="1">
      <c r="A1780" t="s">
        <v>2925</v>
      </c>
      <c r="B1780" t="s">
        <v>3934</v>
      </c>
      <c r="C1780" t="s">
        <v>3935</v>
      </c>
      <c r="J1780">
        <f>LEN(Table13[[#This Row],[REFERENCE_DESCR1]])</f>
        <v>13</v>
      </c>
    </row>
    <row r="1781" spans="1:10" hidden="1">
      <c r="A1781" t="s">
        <v>2925</v>
      </c>
      <c r="B1781" t="s">
        <v>3936</v>
      </c>
      <c r="C1781" t="s">
        <v>3937</v>
      </c>
      <c r="J1781">
        <f>LEN(Table13[[#This Row],[REFERENCE_DESCR1]])</f>
        <v>28</v>
      </c>
    </row>
    <row r="1782" spans="1:10" hidden="1">
      <c r="A1782" t="s">
        <v>2925</v>
      </c>
      <c r="B1782" t="s">
        <v>3938</v>
      </c>
      <c r="C1782" t="s">
        <v>3939</v>
      </c>
      <c r="J1782">
        <f>LEN(Table13[[#This Row],[REFERENCE_DESCR1]])</f>
        <v>28</v>
      </c>
    </row>
    <row r="1783" spans="1:10" hidden="1">
      <c r="A1783" t="s">
        <v>2925</v>
      </c>
      <c r="B1783" t="s">
        <v>3940</v>
      </c>
      <c r="C1783" t="s">
        <v>3941</v>
      </c>
      <c r="J1783">
        <f>LEN(Table13[[#This Row],[REFERENCE_DESCR1]])</f>
        <v>25</v>
      </c>
    </row>
    <row r="1784" spans="1:10" hidden="1">
      <c r="A1784" t="s">
        <v>2925</v>
      </c>
      <c r="B1784" t="s">
        <v>3942</v>
      </c>
      <c r="C1784" t="s">
        <v>3943</v>
      </c>
      <c r="J1784">
        <f>LEN(Table13[[#This Row],[REFERENCE_DESCR1]])</f>
        <v>28</v>
      </c>
    </row>
    <row r="1785" spans="1:10" hidden="1">
      <c r="A1785" t="s">
        <v>2925</v>
      </c>
      <c r="B1785" t="s">
        <v>3944</v>
      </c>
      <c r="C1785" t="s">
        <v>3945</v>
      </c>
      <c r="J1785">
        <f>LEN(Table13[[#This Row],[REFERENCE_DESCR1]])</f>
        <v>8</v>
      </c>
    </row>
    <row r="1786" spans="1:10" hidden="1">
      <c r="A1786" t="s">
        <v>2925</v>
      </c>
      <c r="B1786" t="s">
        <v>3946</v>
      </c>
      <c r="C1786" t="s">
        <v>3947</v>
      </c>
      <c r="J1786">
        <f>LEN(Table13[[#This Row],[REFERENCE_DESCR1]])</f>
        <v>12</v>
      </c>
    </row>
    <row r="1787" spans="1:10" hidden="1">
      <c r="A1787" t="s">
        <v>2925</v>
      </c>
      <c r="B1787" t="s">
        <v>3948</v>
      </c>
      <c r="C1787" t="s">
        <v>3949</v>
      </c>
      <c r="J1787">
        <f>LEN(Table13[[#This Row],[REFERENCE_DESCR1]])</f>
        <v>12</v>
      </c>
    </row>
    <row r="1788" spans="1:10" hidden="1">
      <c r="A1788" t="s">
        <v>2925</v>
      </c>
      <c r="B1788" t="s">
        <v>3950</v>
      </c>
      <c r="C1788" t="s">
        <v>3951</v>
      </c>
      <c r="J1788">
        <f>LEN(Table13[[#This Row],[REFERENCE_DESCR1]])</f>
        <v>13</v>
      </c>
    </row>
    <row r="1789" spans="1:10" hidden="1">
      <c r="A1789" t="s">
        <v>2925</v>
      </c>
      <c r="B1789" t="s">
        <v>3952</v>
      </c>
      <c r="C1789" t="s">
        <v>3953</v>
      </c>
      <c r="J1789">
        <f>LEN(Table13[[#This Row],[REFERENCE_DESCR1]])</f>
        <v>9</v>
      </c>
    </row>
    <row r="1790" spans="1:10" hidden="1">
      <c r="A1790" t="s">
        <v>2925</v>
      </c>
      <c r="B1790" t="s">
        <v>3954</v>
      </c>
      <c r="C1790" t="s">
        <v>3955</v>
      </c>
      <c r="J1790">
        <f>LEN(Table13[[#This Row],[REFERENCE_DESCR1]])</f>
        <v>12</v>
      </c>
    </row>
    <row r="1791" spans="1:10" hidden="1">
      <c r="A1791" t="s">
        <v>2925</v>
      </c>
      <c r="B1791" t="s">
        <v>3956</v>
      </c>
      <c r="C1791" t="s">
        <v>3957</v>
      </c>
      <c r="J1791">
        <f>LEN(Table13[[#This Row],[REFERENCE_DESCR1]])</f>
        <v>24</v>
      </c>
    </row>
    <row r="1792" spans="1:10" hidden="1">
      <c r="A1792" t="s">
        <v>2925</v>
      </c>
      <c r="B1792" t="s">
        <v>3958</v>
      </c>
      <c r="C1792" t="s">
        <v>3959</v>
      </c>
      <c r="J1792">
        <f>LEN(Table13[[#This Row],[REFERENCE_DESCR1]])</f>
        <v>13</v>
      </c>
    </row>
    <row r="1793" spans="1:10" hidden="1">
      <c r="A1793" t="s">
        <v>2925</v>
      </c>
      <c r="B1793" t="s">
        <v>3960</v>
      </c>
      <c r="C1793" t="s">
        <v>3961</v>
      </c>
      <c r="J1793">
        <f>LEN(Table13[[#This Row],[REFERENCE_DESCR1]])</f>
        <v>7</v>
      </c>
    </row>
    <row r="1794" spans="1:10" hidden="1">
      <c r="A1794" t="s">
        <v>2925</v>
      </c>
      <c r="B1794" t="s">
        <v>3962</v>
      </c>
      <c r="C1794" t="s">
        <v>3963</v>
      </c>
      <c r="J1794">
        <f>LEN(Table13[[#This Row],[REFERENCE_DESCR1]])</f>
        <v>19</v>
      </c>
    </row>
    <row r="1795" spans="1:10" hidden="1">
      <c r="A1795" t="s">
        <v>2925</v>
      </c>
      <c r="B1795" t="s">
        <v>3964</v>
      </c>
      <c r="C1795" t="s">
        <v>3965</v>
      </c>
      <c r="J1795">
        <f>LEN(Table13[[#This Row],[REFERENCE_DESCR1]])</f>
        <v>15</v>
      </c>
    </row>
    <row r="1796" spans="1:10" hidden="1">
      <c r="A1796" t="s">
        <v>2925</v>
      </c>
      <c r="B1796" t="s">
        <v>3966</v>
      </c>
      <c r="C1796" t="s">
        <v>3967</v>
      </c>
      <c r="J1796">
        <f>LEN(Table13[[#This Row],[REFERENCE_DESCR1]])</f>
        <v>9</v>
      </c>
    </row>
    <row r="1797" spans="1:10" hidden="1">
      <c r="A1797" t="s">
        <v>2925</v>
      </c>
      <c r="B1797" t="s">
        <v>3968</v>
      </c>
      <c r="C1797" t="s">
        <v>3969</v>
      </c>
      <c r="J1797">
        <f>LEN(Table13[[#This Row],[REFERENCE_DESCR1]])</f>
        <v>9</v>
      </c>
    </row>
    <row r="1798" spans="1:10" hidden="1">
      <c r="A1798" t="s">
        <v>2925</v>
      </c>
      <c r="B1798" t="s">
        <v>3970</v>
      </c>
      <c r="C1798" t="s">
        <v>3971</v>
      </c>
      <c r="J1798">
        <f>LEN(Table13[[#This Row],[REFERENCE_DESCR1]])</f>
        <v>21</v>
      </c>
    </row>
    <row r="1799" spans="1:10" hidden="1">
      <c r="A1799" t="s">
        <v>2925</v>
      </c>
      <c r="B1799" t="s">
        <v>3972</v>
      </c>
      <c r="C1799" t="s">
        <v>3973</v>
      </c>
      <c r="J1799">
        <f>LEN(Table13[[#This Row],[REFERENCE_DESCR1]])</f>
        <v>25</v>
      </c>
    </row>
    <row r="1800" spans="1:10" hidden="1">
      <c r="A1800" t="s">
        <v>2925</v>
      </c>
      <c r="B1800" t="s">
        <v>3974</v>
      </c>
      <c r="C1800" t="s">
        <v>3975</v>
      </c>
      <c r="J1800">
        <f>LEN(Table13[[#This Row],[REFERENCE_DESCR1]])</f>
        <v>12</v>
      </c>
    </row>
    <row r="1801" spans="1:10" hidden="1">
      <c r="A1801" t="s">
        <v>2925</v>
      </c>
      <c r="B1801" t="s">
        <v>3976</v>
      </c>
      <c r="C1801" t="s">
        <v>3977</v>
      </c>
      <c r="J1801">
        <f>LEN(Table13[[#This Row],[REFERENCE_DESCR1]])</f>
        <v>30</v>
      </c>
    </row>
    <row r="1802" spans="1:10" hidden="1">
      <c r="A1802" t="s">
        <v>2925</v>
      </c>
      <c r="B1802" t="s">
        <v>3978</v>
      </c>
      <c r="C1802" t="s">
        <v>3979</v>
      </c>
      <c r="J1802">
        <f>LEN(Table13[[#This Row],[REFERENCE_DESCR1]])</f>
        <v>11</v>
      </c>
    </row>
    <row r="1803" spans="1:10" hidden="1">
      <c r="A1803" t="s">
        <v>2925</v>
      </c>
      <c r="B1803" t="s">
        <v>3980</v>
      </c>
      <c r="C1803" t="s">
        <v>3981</v>
      </c>
      <c r="J1803">
        <f>LEN(Table13[[#This Row],[REFERENCE_DESCR1]])</f>
        <v>23</v>
      </c>
    </row>
    <row r="1804" spans="1:10" hidden="1">
      <c r="A1804" t="s">
        <v>2925</v>
      </c>
      <c r="B1804" t="s">
        <v>3982</v>
      </c>
      <c r="C1804" t="s">
        <v>3983</v>
      </c>
      <c r="J1804">
        <f>LEN(Table13[[#This Row],[REFERENCE_DESCR1]])</f>
        <v>8</v>
      </c>
    </row>
    <row r="1805" spans="1:10" hidden="1">
      <c r="A1805" t="s">
        <v>2925</v>
      </c>
      <c r="B1805" t="s">
        <v>3984</v>
      </c>
      <c r="C1805" t="s">
        <v>3985</v>
      </c>
      <c r="J1805">
        <f>LEN(Table13[[#This Row],[REFERENCE_DESCR1]])</f>
        <v>6</v>
      </c>
    </row>
    <row r="1806" spans="1:10" hidden="1">
      <c r="A1806" t="s">
        <v>2925</v>
      </c>
      <c r="B1806" t="s">
        <v>3986</v>
      </c>
      <c r="C1806" t="s">
        <v>3987</v>
      </c>
      <c r="J1806">
        <f>LEN(Table13[[#This Row],[REFERENCE_DESCR1]])</f>
        <v>8</v>
      </c>
    </row>
    <row r="1807" spans="1:10" hidden="1">
      <c r="A1807" t="s">
        <v>2925</v>
      </c>
      <c r="B1807" t="s">
        <v>3988</v>
      </c>
      <c r="C1807" t="s">
        <v>3989</v>
      </c>
      <c r="J1807">
        <f>LEN(Table13[[#This Row],[REFERENCE_DESCR1]])</f>
        <v>11</v>
      </c>
    </row>
    <row r="1808" spans="1:10" hidden="1">
      <c r="A1808" t="s">
        <v>2925</v>
      </c>
      <c r="B1808" t="s">
        <v>3990</v>
      </c>
      <c r="C1808" t="s">
        <v>3991</v>
      </c>
      <c r="J1808">
        <f>LEN(Table13[[#This Row],[REFERENCE_DESCR1]])</f>
        <v>8</v>
      </c>
    </row>
    <row r="1809" spans="1:10" hidden="1">
      <c r="A1809" t="s">
        <v>2925</v>
      </c>
      <c r="B1809" t="s">
        <v>3992</v>
      </c>
      <c r="C1809" t="s">
        <v>3993</v>
      </c>
      <c r="J1809">
        <f>LEN(Table13[[#This Row],[REFERENCE_DESCR1]])</f>
        <v>7</v>
      </c>
    </row>
    <row r="1810" spans="1:10" hidden="1">
      <c r="A1810" t="s">
        <v>2925</v>
      </c>
      <c r="B1810" t="s">
        <v>3994</v>
      </c>
      <c r="C1810" t="s">
        <v>3995</v>
      </c>
      <c r="J1810">
        <f>LEN(Table13[[#This Row],[REFERENCE_DESCR1]])</f>
        <v>25</v>
      </c>
    </row>
    <row r="1811" spans="1:10" hidden="1">
      <c r="A1811" t="s">
        <v>2925</v>
      </c>
      <c r="B1811" t="s">
        <v>3996</v>
      </c>
      <c r="C1811" t="s">
        <v>3997</v>
      </c>
      <c r="J1811">
        <f>LEN(Table13[[#This Row],[REFERENCE_DESCR1]])</f>
        <v>28</v>
      </c>
    </row>
    <row r="1812" spans="1:10" hidden="1">
      <c r="A1812" t="s">
        <v>2925</v>
      </c>
      <c r="B1812" t="s">
        <v>3998</v>
      </c>
      <c r="C1812" t="s">
        <v>3999</v>
      </c>
      <c r="J1812">
        <f>LEN(Table13[[#This Row],[REFERENCE_DESCR1]])</f>
        <v>28</v>
      </c>
    </row>
    <row r="1813" spans="1:10" hidden="1">
      <c r="A1813" t="s">
        <v>2925</v>
      </c>
      <c r="B1813" t="s">
        <v>4000</v>
      </c>
      <c r="C1813" t="s">
        <v>4001</v>
      </c>
      <c r="J1813">
        <f>LEN(Table13[[#This Row],[REFERENCE_DESCR1]])</f>
        <v>22</v>
      </c>
    </row>
    <row r="1814" spans="1:10" hidden="1">
      <c r="A1814" t="s">
        <v>2925</v>
      </c>
      <c r="B1814" t="s">
        <v>4002</v>
      </c>
      <c r="C1814" t="s">
        <v>4003</v>
      </c>
      <c r="J1814">
        <f>LEN(Table13[[#This Row],[REFERENCE_DESCR1]])</f>
        <v>27</v>
      </c>
    </row>
    <row r="1815" spans="1:10" hidden="1">
      <c r="A1815" t="s">
        <v>2925</v>
      </c>
      <c r="B1815" t="s">
        <v>4004</v>
      </c>
      <c r="C1815" t="s">
        <v>4005</v>
      </c>
      <c r="J1815">
        <f>LEN(Table13[[#This Row],[REFERENCE_DESCR1]])</f>
        <v>30</v>
      </c>
    </row>
    <row r="1816" spans="1:10" hidden="1">
      <c r="A1816" t="s">
        <v>2925</v>
      </c>
      <c r="B1816" t="s">
        <v>4006</v>
      </c>
      <c r="C1816" t="s">
        <v>4007</v>
      </c>
      <c r="J1816">
        <f>LEN(Table13[[#This Row],[REFERENCE_DESCR1]])</f>
        <v>19</v>
      </c>
    </row>
    <row r="1817" spans="1:10" hidden="1">
      <c r="A1817" t="s">
        <v>2925</v>
      </c>
      <c r="B1817" t="s">
        <v>4008</v>
      </c>
      <c r="C1817" t="s">
        <v>4009</v>
      </c>
      <c r="J1817">
        <f>LEN(Table13[[#This Row],[REFERENCE_DESCR1]])</f>
        <v>24</v>
      </c>
    </row>
    <row r="1818" spans="1:10" hidden="1">
      <c r="A1818" t="s">
        <v>2925</v>
      </c>
      <c r="B1818" t="s">
        <v>4010</v>
      </c>
      <c r="C1818" t="s">
        <v>4011</v>
      </c>
      <c r="J1818">
        <f>LEN(Table13[[#This Row],[REFERENCE_DESCR1]])</f>
        <v>8</v>
      </c>
    </row>
    <row r="1819" spans="1:10" hidden="1">
      <c r="A1819" t="s">
        <v>2925</v>
      </c>
      <c r="B1819" t="s">
        <v>4012</v>
      </c>
      <c r="C1819" t="s">
        <v>4013</v>
      </c>
      <c r="J1819">
        <f>LEN(Table13[[#This Row],[REFERENCE_DESCR1]])</f>
        <v>11</v>
      </c>
    </row>
    <row r="1820" spans="1:10" hidden="1">
      <c r="A1820" t="s">
        <v>2925</v>
      </c>
      <c r="B1820" t="s">
        <v>4014</v>
      </c>
      <c r="C1820" t="s">
        <v>4015</v>
      </c>
      <c r="J1820">
        <f>LEN(Table13[[#This Row],[REFERENCE_DESCR1]])</f>
        <v>13</v>
      </c>
    </row>
    <row r="1821" spans="1:10" hidden="1">
      <c r="A1821" t="s">
        <v>2925</v>
      </c>
      <c r="B1821" t="s">
        <v>4016</v>
      </c>
      <c r="C1821" t="s">
        <v>4017</v>
      </c>
      <c r="J1821">
        <f>LEN(Table13[[#This Row],[REFERENCE_DESCR1]])</f>
        <v>18</v>
      </c>
    </row>
    <row r="1822" spans="1:10" hidden="1">
      <c r="A1822" t="s">
        <v>2925</v>
      </c>
      <c r="B1822" t="s">
        <v>4018</v>
      </c>
      <c r="C1822" t="s">
        <v>4019</v>
      </c>
      <c r="J1822">
        <f>LEN(Table13[[#This Row],[REFERENCE_DESCR1]])</f>
        <v>13</v>
      </c>
    </row>
    <row r="1823" spans="1:10" hidden="1">
      <c r="A1823" t="s">
        <v>2925</v>
      </c>
      <c r="B1823" t="s">
        <v>4020</v>
      </c>
      <c r="C1823" t="s">
        <v>4021</v>
      </c>
      <c r="J1823">
        <f>LEN(Table13[[#This Row],[REFERENCE_DESCR1]])</f>
        <v>7</v>
      </c>
    </row>
    <row r="1824" spans="1:10" hidden="1">
      <c r="A1824" t="s">
        <v>2925</v>
      </c>
      <c r="B1824" t="s">
        <v>4022</v>
      </c>
      <c r="C1824" t="s">
        <v>4023</v>
      </c>
      <c r="J1824">
        <f>LEN(Table13[[#This Row],[REFERENCE_DESCR1]])</f>
        <v>19</v>
      </c>
    </row>
    <row r="1825" spans="1:10" hidden="1">
      <c r="A1825" t="s">
        <v>2925</v>
      </c>
      <c r="B1825" t="s">
        <v>4024</v>
      </c>
      <c r="C1825" t="s">
        <v>4025</v>
      </c>
      <c r="J1825">
        <f>LEN(Table13[[#This Row],[REFERENCE_DESCR1]])</f>
        <v>7</v>
      </c>
    </row>
    <row r="1826" spans="1:10" hidden="1">
      <c r="A1826" t="s">
        <v>2925</v>
      </c>
      <c r="B1826" t="s">
        <v>4026</v>
      </c>
      <c r="C1826" t="s">
        <v>4027</v>
      </c>
      <c r="J1826">
        <f>LEN(Table13[[#This Row],[REFERENCE_DESCR1]])</f>
        <v>15</v>
      </c>
    </row>
    <row r="1827" spans="1:10" hidden="1">
      <c r="A1827" t="s">
        <v>2925</v>
      </c>
      <c r="B1827" t="s">
        <v>4028</v>
      </c>
      <c r="C1827" t="s">
        <v>1621</v>
      </c>
      <c r="J1827">
        <f>LEN(Table13[[#This Row],[REFERENCE_DESCR1]])</f>
        <v>7</v>
      </c>
    </row>
    <row r="1828" spans="1:10" hidden="1">
      <c r="A1828" t="s">
        <v>2925</v>
      </c>
      <c r="B1828" t="s">
        <v>4029</v>
      </c>
      <c r="C1828" t="s">
        <v>4030</v>
      </c>
      <c r="J1828">
        <f>LEN(Table13[[#This Row],[REFERENCE_DESCR1]])</f>
        <v>8</v>
      </c>
    </row>
    <row r="1829" spans="1:10" hidden="1">
      <c r="A1829" t="s">
        <v>2925</v>
      </c>
      <c r="B1829" t="s">
        <v>4031</v>
      </c>
      <c r="C1829" t="s">
        <v>4032</v>
      </c>
      <c r="J1829">
        <f>LEN(Table13[[#This Row],[REFERENCE_DESCR1]])</f>
        <v>9</v>
      </c>
    </row>
    <row r="1830" spans="1:10" hidden="1">
      <c r="A1830" t="s">
        <v>2925</v>
      </c>
      <c r="B1830" t="s">
        <v>4033</v>
      </c>
      <c r="C1830" t="s">
        <v>4034</v>
      </c>
      <c r="J1830">
        <f>LEN(Table13[[#This Row],[REFERENCE_DESCR1]])</f>
        <v>12</v>
      </c>
    </row>
    <row r="1831" spans="1:10" hidden="1">
      <c r="A1831" t="s">
        <v>2925</v>
      </c>
      <c r="B1831" t="s">
        <v>4035</v>
      </c>
      <c r="C1831" t="s">
        <v>4036</v>
      </c>
      <c r="J1831">
        <f>LEN(Table13[[#This Row],[REFERENCE_DESCR1]])</f>
        <v>14</v>
      </c>
    </row>
    <row r="1832" spans="1:10" hidden="1">
      <c r="A1832" t="s">
        <v>2925</v>
      </c>
      <c r="B1832" t="s">
        <v>4037</v>
      </c>
      <c r="C1832" t="s">
        <v>4038</v>
      </c>
      <c r="J1832">
        <f>LEN(Table13[[#This Row],[REFERENCE_DESCR1]])</f>
        <v>11</v>
      </c>
    </row>
    <row r="1833" spans="1:10" hidden="1">
      <c r="A1833" t="s">
        <v>2925</v>
      </c>
      <c r="B1833" t="s">
        <v>4039</v>
      </c>
      <c r="C1833" t="s">
        <v>4040</v>
      </c>
      <c r="J1833">
        <f>LEN(Table13[[#This Row],[REFERENCE_DESCR1]])</f>
        <v>23</v>
      </c>
    </row>
    <row r="1834" spans="1:10" hidden="1">
      <c r="A1834" t="s">
        <v>2925</v>
      </c>
      <c r="B1834" t="s">
        <v>4041</v>
      </c>
      <c r="C1834" t="s">
        <v>4042</v>
      </c>
      <c r="J1834">
        <f>LEN(Table13[[#This Row],[REFERENCE_DESCR1]])</f>
        <v>12</v>
      </c>
    </row>
    <row r="1835" spans="1:10" hidden="1">
      <c r="A1835" t="s">
        <v>2925</v>
      </c>
      <c r="B1835" t="s">
        <v>4043</v>
      </c>
      <c r="C1835" t="s">
        <v>4044</v>
      </c>
      <c r="J1835">
        <f>LEN(Table13[[#This Row],[REFERENCE_DESCR1]])</f>
        <v>24</v>
      </c>
    </row>
    <row r="1836" spans="1:10" hidden="1">
      <c r="A1836" t="s">
        <v>2925</v>
      </c>
      <c r="B1836" t="s">
        <v>4045</v>
      </c>
      <c r="C1836" t="s">
        <v>4046</v>
      </c>
      <c r="J1836">
        <f>LEN(Table13[[#This Row],[REFERENCE_DESCR1]])</f>
        <v>12</v>
      </c>
    </row>
    <row r="1837" spans="1:10" hidden="1">
      <c r="A1837" t="s">
        <v>2925</v>
      </c>
      <c r="B1837" t="s">
        <v>4047</v>
      </c>
      <c r="C1837" t="s">
        <v>4048</v>
      </c>
      <c r="J1837">
        <f>LEN(Table13[[#This Row],[REFERENCE_DESCR1]])</f>
        <v>10</v>
      </c>
    </row>
    <row r="1838" spans="1:10" hidden="1">
      <c r="A1838" t="s">
        <v>2925</v>
      </c>
      <c r="B1838" t="s">
        <v>4049</v>
      </c>
      <c r="C1838" t="s">
        <v>4050</v>
      </c>
      <c r="J1838">
        <f>LEN(Table13[[#This Row],[REFERENCE_DESCR1]])</f>
        <v>26</v>
      </c>
    </row>
    <row r="1839" spans="1:10" hidden="1">
      <c r="A1839" t="s">
        <v>2925</v>
      </c>
      <c r="B1839" t="s">
        <v>4051</v>
      </c>
      <c r="C1839" t="s">
        <v>4052</v>
      </c>
      <c r="J1839">
        <f>LEN(Table13[[#This Row],[REFERENCE_DESCR1]])</f>
        <v>40</v>
      </c>
    </row>
    <row r="1840" spans="1:10" hidden="1">
      <c r="A1840" t="s">
        <v>2925</v>
      </c>
      <c r="B1840" t="s">
        <v>4053</v>
      </c>
      <c r="C1840" t="s">
        <v>4054</v>
      </c>
      <c r="J1840">
        <f>LEN(Table13[[#This Row],[REFERENCE_DESCR1]])</f>
        <v>9</v>
      </c>
    </row>
    <row r="1841" spans="1:10" hidden="1">
      <c r="A1841" t="s">
        <v>2925</v>
      </c>
      <c r="B1841" t="s">
        <v>4055</v>
      </c>
      <c r="C1841" t="s">
        <v>4056</v>
      </c>
      <c r="J1841">
        <f>LEN(Table13[[#This Row],[REFERENCE_DESCR1]])</f>
        <v>10</v>
      </c>
    </row>
    <row r="1842" spans="1:10" hidden="1">
      <c r="A1842" t="s">
        <v>2925</v>
      </c>
      <c r="B1842" t="s">
        <v>4057</v>
      </c>
      <c r="C1842" t="s">
        <v>4058</v>
      </c>
      <c r="J1842">
        <f>LEN(Table13[[#This Row],[REFERENCE_DESCR1]])</f>
        <v>13</v>
      </c>
    </row>
    <row r="1843" spans="1:10" hidden="1">
      <c r="A1843" t="s">
        <v>2925</v>
      </c>
      <c r="B1843" t="s">
        <v>4059</v>
      </c>
      <c r="C1843" t="s">
        <v>4060</v>
      </c>
      <c r="J1843">
        <f>LEN(Table13[[#This Row],[REFERENCE_DESCR1]])</f>
        <v>7</v>
      </c>
    </row>
    <row r="1844" spans="1:10" hidden="1">
      <c r="A1844" t="s">
        <v>2925</v>
      </c>
      <c r="B1844" t="s">
        <v>4061</v>
      </c>
      <c r="C1844" t="s">
        <v>4062</v>
      </c>
      <c r="J1844">
        <f>LEN(Table13[[#This Row],[REFERENCE_DESCR1]])</f>
        <v>16</v>
      </c>
    </row>
    <row r="1845" spans="1:10" hidden="1">
      <c r="A1845" t="s">
        <v>2925</v>
      </c>
      <c r="B1845" t="s">
        <v>4063</v>
      </c>
      <c r="C1845" t="s">
        <v>4064</v>
      </c>
      <c r="J1845">
        <f>LEN(Table13[[#This Row],[REFERENCE_DESCR1]])</f>
        <v>9</v>
      </c>
    </row>
    <row r="1846" spans="1:10" hidden="1">
      <c r="A1846" t="s">
        <v>2925</v>
      </c>
      <c r="B1846" t="s">
        <v>4065</v>
      </c>
      <c r="C1846" t="s">
        <v>4066</v>
      </c>
      <c r="J1846">
        <f>LEN(Table13[[#This Row],[REFERENCE_DESCR1]])</f>
        <v>12</v>
      </c>
    </row>
    <row r="1847" spans="1:10" hidden="1">
      <c r="A1847" t="s">
        <v>2925</v>
      </c>
      <c r="B1847" t="s">
        <v>4067</v>
      </c>
      <c r="C1847" t="s">
        <v>4068</v>
      </c>
      <c r="J1847">
        <f>LEN(Table13[[#This Row],[REFERENCE_DESCR1]])</f>
        <v>7</v>
      </c>
    </row>
    <row r="1848" spans="1:10" hidden="1">
      <c r="A1848" t="s">
        <v>2925</v>
      </c>
      <c r="B1848" t="s">
        <v>4069</v>
      </c>
      <c r="C1848" t="s">
        <v>4070</v>
      </c>
      <c r="J1848">
        <f>LEN(Table13[[#This Row],[REFERENCE_DESCR1]])</f>
        <v>12</v>
      </c>
    </row>
    <row r="1849" spans="1:10" hidden="1">
      <c r="A1849" t="s">
        <v>2925</v>
      </c>
      <c r="B1849" t="s">
        <v>4071</v>
      </c>
      <c r="C1849" t="s">
        <v>4072</v>
      </c>
      <c r="J1849">
        <f>LEN(Table13[[#This Row],[REFERENCE_DESCR1]])</f>
        <v>11</v>
      </c>
    </row>
    <row r="1850" spans="1:10" hidden="1">
      <c r="A1850" t="s">
        <v>2925</v>
      </c>
      <c r="B1850" t="s">
        <v>4073</v>
      </c>
      <c r="C1850" t="s">
        <v>4074</v>
      </c>
      <c r="J1850">
        <f>LEN(Table13[[#This Row],[REFERENCE_DESCR1]])</f>
        <v>11</v>
      </c>
    </row>
    <row r="1851" spans="1:10" hidden="1">
      <c r="A1851" t="s">
        <v>2925</v>
      </c>
      <c r="B1851" t="s">
        <v>4075</v>
      </c>
      <c r="C1851" t="s">
        <v>4076</v>
      </c>
      <c r="J1851">
        <f>LEN(Table13[[#This Row],[REFERENCE_DESCR1]])</f>
        <v>28</v>
      </c>
    </row>
    <row r="1852" spans="1:10" hidden="1">
      <c r="A1852" t="s">
        <v>2925</v>
      </c>
      <c r="B1852" t="s">
        <v>4077</v>
      </c>
      <c r="C1852" t="s">
        <v>4078</v>
      </c>
      <c r="J1852">
        <f>LEN(Table13[[#This Row],[REFERENCE_DESCR1]])</f>
        <v>31</v>
      </c>
    </row>
    <row r="1853" spans="1:10" hidden="1">
      <c r="A1853" t="s">
        <v>2925</v>
      </c>
      <c r="B1853" t="s">
        <v>4079</v>
      </c>
      <c r="C1853" t="s">
        <v>4080</v>
      </c>
      <c r="J1853">
        <f>LEN(Table13[[#This Row],[REFERENCE_DESCR1]])</f>
        <v>31</v>
      </c>
    </row>
    <row r="1854" spans="1:10" hidden="1">
      <c r="A1854" t="s">
        <v>2925</v>
      </c>
      <c r="B1854" t="s">
        <v>4081</v>
      </c>
      <c r="C1854" t="s">
        <v>4082</v>
      </c>
      <c r="J1854">
        <f>LEN(Table13[[#This Row],[REFERENCE_DESCR1]])</f>
        <v>31</v>
      </c>
    </row>
    <row r="1855" spans="1:10" hidden="1">
      <c r="A1855" t="s">
        <v>2925</v>
      </c>
      <c r="B1855" t="s">
        <v>4083</v>
      </c>
      <c r="C1855" t="s">
        <v>4084</v>
      </c>
      <c r="J1855">
        <f>LEN(Table13[[#This Row],[REFERENCE_DESCR1]])</f>
        <v>31</v>
      </c>
    </row>
    <row r="1856" spans="1:10" hidden="1">
      <c r="A1856" t="s">
        <v>2925</v>
      </c>
      <c r="B1856" t="s">
        <v>4085</v>
      </c>
      <c r="C1856" t="s">
        <v>4086</v>
      </c>
      <c r="J1856">
        <f>LEN(Table13[[#This Row],[REFERENCE_DESCR1]])</f>
        <v>28</v>
      </c>
    </row>
    <row r="1857" spans="1:10" hidden="1">
      <c r="A1857" t="s">
        <v>2925</v>
      </c>
      <c r="B1857" t="s">
        <v>4087</v>
      </c>
      <c r="C1857" t="s">
        <v>4088</v>
      </c>
      <c r="J1857">
        <f>LEN(Table13[[#This Row],[REFERENCE_DESCR1]])</f>
        <v>13</v>
      </c>
    </row>
    <row r="1858" spans="1:10" hidden="1">
      <c r="A1858" t="s">
        <v>2925</v>
      </c>
      <c r="B1858" t="s">
        <v>4089</v>
      </c>
      <c r="C1858" t="s">
        <v>4090</v>
      </c>
      <c r="J1858">
        <f>LEN(Table13[[#This Row],[REFERENCE_DESCR1]])</f>
        <v>10</v>
      </c>
    </row>
    <row r="1859" spans="1:10" hidden="1">
      <c r="A1859" t="s">
        <v>2925</v>
      </c>
      <c r="B1859" t="s">
        <v>4091</v>
      </c>
      <c r="C1859" t="s">
        <v>4092</v>
      </c>
      <c r="J1859">
        <f>LEN(Table13[[#This Row],[REFERENCE_DESCR1]])</f>
        <v>27</v>
      </c>
    </row>
    <row r="1860" spans="1:10" hidden="1">
      <c r="A1860" t="s">
        <v>2925</v>
      </c>
      <c r="B1860" t="s">
        <v>4093</v>
      </c>
      <c r="C1860" t="s">
        <v>4094</v>
      </c>
      <c r="J1860">
        <f>LEN(Table13[[#This Row],[REFERENCE_DESCR1]])</f>
        <v>13</v>
      </c>
    </row>
    <row r="1861" spans="1:10" hidden="1">
      <c r="A1861" t="s">
        <v>2925</v>
      </c>
      <c r="B1861" t="s">
        <v>4095</v>
      </c>
      <c r="C1861" t="s">
        <v>4096</v>
      </c>
      <c r="J1861">
        <f>LEN(Table13[[#This Row],[REFERENCE_DESCR1]])</f>
        <v>18</v>
      </c>
    </row>
    <row r="1862" spans="1:10" hidden="1">
      <c r="A1862" t="s">
        <v>2925</v>
      </c>
      <c r="B1862" t="s">
        <v>4097</v>
      </c>
      <c r="C1862" t="s">
        <v>4098</v>
      </c>
      <c r="J1862">
        <f>LEN(Table13[[#This Row],[REFERENCE_DESCR1]])</f>
        <v>8</v>
      </c>
    </row>
    <row r="1863" spans="1:10" hidden="1">
      <c r="A1863" t="s">
        <v>2925</v>
      </c>
      <c r="B1863" t="s">
        <v>4099</v>
      </c>
      <c r="C1863" t="s">
        <v>4100</v>
      </c>
      <c r="J1863">
        <f>LEN(Table13[[#This Row],[REFERENCE_DESCR1]])</f>
        <v>8</v>
      </c>
    </row>
    <row r="1864" spans="1:10" hidden="1">
      <c r="A1864" t="s">
        <v>2925</v>
      </c>
      <c r="B1864" t="s">
        <v>4101</v>
      </c>
      <c r="C1864" t="s">
        <v>4102</v>
      </c>
      <c r="J1864">
        <f>LEN(Table13[[#This Row],[REFERENCE_DESCR1]])</f>
        <v>38</v>
      </c>
    </row>
    <row r="1865" spans="1:10" hidden="1">
      <c r="A1865" t="s">
        <v>2925</v>
      </c>
      <c r="B1865" t="s">
        <v>4103</v>
      </c>
      <c r="C1865" t="s">
        <v>4104</v>
      </c>
      <c r="J1865">
        <f>LEN(Table13[[#This Row],[REFERENCE_DESCR1]])</f>
        <v>8</v>
      </c>
    </row>
    <row r="1866" spans="1:10" hidden="1">
      <c r="A1866" t="s">
        <v>2925</v>
      </c>
      <c r="B1866" t="s">
        <v>4105</v>
      </c>
      <c r="C1866" t="s">
        <v>4106</v>
      </c>
      <c r="J1866">
        <f>LEN(Table13[[#This Row],[REFERENCE_DESCR1]])</f>
        <v>12</v>
      </c>
    </row>
    <row r="1867" spans="1:10" hidden="1">
      <c r="A1867" t="s">
        <v>2925</v>
      </c>
      <c r="B1867" t="s">
        <v>4107</v>
      </c>
      <c r="C1867" t="s">
        <v>4108</v>
      </c>
      <c r="J1867">
        <f>LEN(Table13[[#This Row],[REFERENCE_DESCR1]])</f>
        <v>15</v>
      </c>
    </row>
    <row r="1868" spans="1:10" hidden="1">
      <c r="A1868" t="s">
        <v>2925</v>
      </c>
      <c r="B1868" t="s">
        <v>4109</v>
      </c>
      <c r="C1868" t="s">
        <v>4110</v>
      </c>
      <c r="J1868">
        <f>LEN(Table13[[#This Row],[REFERENCE_DESCR1]])</f>
        <v>13</v>
      </c>
    </row>
    <row r="1869" spans="1:10" hidden="1">
      <c r="A1869" t="s">
        <v>2925</v>
      </c>
      <c r="B1869" t="s">
        <v>4111</v>
      </c>
      <c r="C1869" t="s">
        <v>4112</v>
      </c>
      <c r="J1869">
        <f>LEN(Table13[[#This Row],[REFERENCE_DESCR1]])</f>
        <v>11</v>
      </c>
    </row>
    <row r="1870" spans="1:10" hidden="1">
      <c r="A1870" t="s">
        <v>2925</v>
      </c>
      <c r="B1870" t="s">
        <v>4113</v>
      </c>
      <c r="C1870" t="s">
        <v>4114</v>
      </c>
      <c r="J1870">
        <f>LEN(Table13[[#This Row],[REFERENCE_DESCR1]])</f>
        <v>18</v>
      </c>
    </row>
    <row r="1871" spans="1:10" hidden="1">
      <c r="A1871" t="s">
        <v>2925</v>
      </c>
      <c r="B1871" t="s">
        <v>4115</v>
      </c>
      <c r="C1871" t="s">
        <v>4116</v>
      </c>
      <c r="J1871">
        <f>LEN(Table13[[#This Row],[REFERENCE_DESCR1]])</f>
        <v>18</v>
      </c>
    </row>
    <row r="1872" spans="1:10" hidden="1">
      <c r="A1872" t="s">
        <v>2925</v>
      </c>
      <c r="B1872" t="s">
        <v>4117</v>
      </c>
      <c r="C1872" t="s">
        <v>4118</v>
      </c>
      <c r="J1872">
        <f>LEN(Table13[[#This Row],[REFERENCE_DESCR1]])</f>
        <v>17</v>
      </c>
    </row>
    <row r="1873" spans="1:10" hidden="1">
      <c r="A1873" t="s">
        <v>2925</v>
      </c>
      <c r="B1873" t="s">
        <v>4119</v>
      </c>
      <c r="C1873" t="s">
        <v>4120</v>
      </c>
      <c r="J1873">
        <f>LEN(Table13[[#This Row],[REFERENCE_DESCR1]])</f>
        <v>11</v>
      </c>
    </row>
    <row r="1874" spans="1:10" hidden="1">
      <c r="A1874" t="s">
        <v>2925</v>
      </c>
      <c r="B1874" t="s">
        <v>4121</v>
      </c>
      <c r="C1874" t="s">
        <v>4122</v>
      </c>
      <c r="J1874">
        <f>LEN(Table13[[#This Row],[REFERENCE_DESCR1]])</f>
        <v>6</v>
      </c>
    </row>
    <row r="1875" spans="1:10" hidden="1">
      <c r="A1875" t="s">
        <v>2925</v>
      </c>
      <c r="B1875" t="s">
        <v>4123</v>
      </c>
      <c r="C1875" t="s">
        <v>4124</v>
      </c>
      <c r="J1875">
        <f>LEN(Table13[[#This Row],[REFERENCE_DESCR1]])</f>
        <v>13</v>
      </c>
    </row>
    <row r="1876" spans="1:10" hidden="1">
      <c r="A1876" t="s">
        <v>2925</v>
      </c>
      <c r="B1876" t="s">
        <v>4125</v>
      </c>
      <c r="C1876" t="s">
        <v>4126</v>
      </c>
      <c r="J1876">
        <f>LEN(Table13[[#This Row],[REFERENCE_DESCR1]])</f>
        <v>10</v>
      </c>
    </row>
    <row r="1877" spans="1:10" hidden="1">
      <c r="A1877" t="s">
        <v>2925</v>
      </c>
      <c r="B1877" t="s">
        <v>4127</v>
      </c>
      <c r="C1877" t="s">
        <v>4128</v>
      </c>
      <c r="J1877">
        <f>LEN(Table13[[#This Row],[REFERENCE_DESCR1]])</f>
        <v>15</v>
      </c>
    </row>
    <row r="1878" spans="1:10" hidden="1">
      <c r="A1878" t="s">
        <v>2925</v>
      </c>
      <c r="B1878" t="s">
        <v>4129</v>
      </c>
      <c r="C1878" t="s">
        <v>4130</v>
      </c>
      <c r="J1878">
        <f>LEN(Table13[[#This Row],[REFERENCE_DESCR1]])</f>
        <v>11</v>
      </c>
    </row>
    <row r="1879" spans="1:10" hidden="1">
      <c r="A1879" t="s">
        <v>2925</v>
      </c>
      <c r="B1879" t="s">
        <v>4131</v>
      </c>
      <c r="C1879" t="s">
        <v>4132</v>
      </c>
      <c r="J1879">
        <f>LEN(Table13[[#This Row],[REFERENCE_DESCR1]])</f>
        <v>12</v>
      </c>
    </row>
    <row r="1880" spans="1:10" hidden="1">
      <c r="A1880" t="s">
        <v>2925</v>
      </c>
      <c r="B1880" t="s">
        <v>4133</v>
      </c>
      <c r="C1880" t="s">
        <v>4134</v>
      </c>
      <c r="J1880">
        <f>LEN(Table13[[#This Row],[REFERENCE_DESCR1]])</f>
        <v>11</v>
      </c>
    </row>
    <row r="1881" spans="1:10" hidden="1">
      <c r="A1881" t="s">
        <v>2925</v>
      </c>
      <c r="B1881" t="s">
        <v>4135</v>
      </c>
      <c r="C1881" t="s">
        <v>4136</v>
      </c>
      <c r="J1881">
        <f>LEN(Table13[[#This Row],[REFERENCE_DESCR1]])</f>
        <v>23</v>
      </c>
    </row>
    <row r="1882" spans="1:10" hidden="1">
      <c r="A1882" t="s">
        <v>2925</v>
      </c>
      <c r="B1882" t="s">
        <v>4137</v>
      </c>
      <c r="C1882" t="s">
        <v>4138</v>
      </c>
      <c r="J1882">
        <f>LEN(Table13[[#This Row],[REFERENCE_DESCR1]])</f>
        <v>16</v>
      </c>
    </row>
    <row r="1883" spans="1:10" hidden="1">
      <c r="A1883" t="s">
        <v>2925</v>
      </c>
      <c r="B1883" t="s">
        <v>4139</v>
      </c>
      <c r="C1883" t="s">
        <v>4140</v>
      </c>
      <c r="J1883">
        <f>LEN(Table13[[#This Row],[REFERENCE_DESCR1]])</f>
        <v>16</v>
      </c>
    </row>
    <row r="1884" spans="1:10" hidden="1">
      <c r="A1884" t="s">
        <v>2925</v>
      </c>
      <c r="B1884" t="s">
        <v>4141</v>
      </c>
      <c r="C1884" t="s">
        <v>4142</v>
      </c>
      <c r="J1884">
        <f>LEN(Table13[[#This Row],[REFERENCE_DESCR1]])</f>
        <v>16</v>
      </c>
    </row>
    <row r="1885" spans="1:10" hidden="1">
      <c r="A1885" t="s">
        <v>2925</v>
      </c>
      <c r="B1885" t="s">
        <v>4143</v>
      </c>
      <c r="C1885" t="s">
        <v>4144</v>
      </c>
      <c r="J1885">
        <f>LEN(Table13[[#This Row],[REFERENCE_DESCR1]])</f>
        <v>8</v>
      </c>
    </row>
    <row r="1886" spans="1:10" hidden="1">
      <c r="A1886" t="s">
        <v>2925</v>
      </c>
      <c r="B1886" t="s">
        <v>4145</v>
      </c>
      <c r="C1886" t="s">
        <v>4146</v>
      </c>
      <c r="J1886">
        <f>LEN(Table13[[#This Row],[REFERENCE_DESCR1]])</f>
        <v>20</v>
      </c>
    </row>
    <row r="1887" spans="1:10" hidden="1">
      <c r="A1887" t="s">
        <v>2925</v>
      </c>
      <c r="B1887" t="s">
        <v>4147</v>
      </c>
      <c r="C1887" t="s">
        <v>4148</v>
      </c>
      <c r="J1887">
        <f>LEN(Table13[[#This Row],[REFERENCE_DESCR1]])</f>
        <v>20</v>
      </c>
    </row>
    <row r="1888" spans="1:10" hidden="1">
      <c r="A1888" t="s">
        <v>2925</v>
      </c>
      <c r="B1888" t="s">
        <v>4149</v>
      </c>
      <c r="C1888" t="s">
        <v>4150</v>
      </c>
      <c r="J1888">
        <f>LEN(Table13[[#This Row],[REFERENCE_DESCR1]])</f>
        <v>11</v>
      </c>
    </row>
    <row r="1889" spans="1:10" hidden="1">
      <c r="A1889" t="s">
        <v>2925</v>
      </c>
      <c r="B1889" t="s">
        <v>4151</v>
      </c>
      <c r="C1889" t="s">
        <v>4152</v>
      </c>
      <c r="J1889">
        <f>LEN(Table13[[#This Row],[REFERENCE_DESCR1]])</f>
        <v>6</v>
      </c>
    </row>
    <row r="1890" spans="1:10" hidden="1">
      <c r="A1890" t="s">
        <v>2925</v>
      </c>
      <c r="B1890" t="s">
        <v>4153</v>
      </c>
      <c r="C1890" t="s">
        <v>4154</v>
      </c>
      <c r="J1890">
        <f>LEN(Table13[[#This Row],[REFERENCE_DESCR1]])</f>
        <v>8</v>
      </c>
    </row>
    <row r="1891" spans="1:10" hidden="1">
      <c r="A1891" t="s">
        <v>2925</v>
      </c>
      <c r="B1891" t="s">
        <v>4155</v>
      </c>
      <c r="C1891" t="s">
        <v>4156</v>
      </c>
      <c r="J1891">
        <f>LEN(Table13[[#This Row],[REFERENCE_DESCR1]])</f>
        <v>8</v>
      </c>
    </row>
    <row r="1892" spans="1:10" hidden="1">
      <c r="A1892" t="s">
        <v>2925</v>
      </c>
      <c r="B1892" t="s">
        <v>4157</v>
      </c>
      <c r="C1892" t="s">
        <v>4158</v>
      </c>
      <c r="J1892">
        <f>LEN(Table13[[#This Row],[REFERENCE_DESCR1]])</f>
        <v>10</v>
      </c>
    </row>
    <row r="1893" spans="1:10" hidden="1">
      <c r="A1893" t="s">
        <v>2925</v>
      </c>
      <c r="B1893" t="s">
        <v>4159</v>
      </c>
      <c r="C1893" t="s">
        <v>4160</v>
      </c>
      <c r="J1893">
        <f>LEN(Table13[[#This Row],[REFERENCE_DESCR1]])</f>
        <v>6</v>
      </c>
    </row>
    <row r="1894" spans="1:10" hidden="1">
      <c r="A1894" t="s">
        <v>2925</v>
      </c>
      <c r="B1894" t="s">
        <v>4161</v>
      </c>
      <c r="C1894" t="s">
        <v>4162</v>
      </c>
      <c r="J1894">
        <f>LEN(Table13[[#This Row],[REFERENCE_DESCR1]])</f>
        <v>5</v>
      </c>
    </row>
    <row r="1895" spans="1:10" hidden="1">
      <c r="A1895" t="s">
        <v>2925</v>
      </c>
      <c r="B1895" t="s">
        <v>4163</v>
      </c>
      <c r="C1895" t="s">
        <v>4164</v>
      </c>
      <c r="J1895">
        <f>LEN(Table13[[#This Row],[REFERENCE_DESCR1]])</f>
        <v>15</v>
      </c>
    </row>
    <row r="1896" spans="1:10" hidden="1">
      <c r="A1896" t="s">
        <v>2925</v>
      </c>
      <c r="B1896" t="s">
        <v>4165</v>
      </c>
      <c r="C1896" t="s">
        <v>4166</v>
      </c>
      <c r="J1896">
        <f>LEN(Table13[[#This Row],[REFERENCE_DESCR1]])</f>
        <v>8</v>
      </c>
    </row>
    <row r="1897" spans="1:10" hidden="1">
      <c r="A1897" t="s">
        <v>2925</v>
      </c>
      <c r="B1897" t="s">
        <v>4167</v>
      </c>
      <c r="C1897" t="s">
        <v>4168</v>
      </c>
      <c r="J1897">
        <f>LEN(Table13[[#This Row],[REFERENCE_DESCR1]])</f>
        <v>10</v>
      </c>
    </row>
    <row r="1898" spans="1:10" hidden="1">
      <c r="A1898" t="s">
        <v>2925</v>
      </c>
      <c r="B1898" t="s">
        <v>4169</v>
      </c>
      <c r="C1898" t="s">
        <v>4170</v>
      </c>
      <c r="J1898">
        <f>LEN(Table13[[#This Row],[REFERENCE_DESCR1]])</f>
        <v>17</v>
      </c>
    </row>
    <row r="1899" spans="1:10" hidden="1">
      <c r="A1899" t="s">
        <v>2925</v>
      </c>
      <c r="B1899" t="s">
        <v>4171</v>
      </c>
      <c r="C1899" t="s">
        <v>4172</v>
      </c>
      <c r="J1899">
        <f>LEN(Table13[[#This Row],[REFERENCE_DESCR1]])</f>
        <v>13</v>
      </c>
    </row>
    <row r="1900" spans="1:10" hidden="1">
      <c r="A1900" t="s">
        <v>2925</v>
      </c>
      <c r="B1900" t="s">
        <v>4173</v>
      </c>
      <c r="C1900" t="s">
        <v>4174</v>
      </c>
      <c r="J1900">
        <f>LEN(Table13[[#This Row],[REFERENCE_DESCR1]])</f>
        <v>8</v>
      </c>
    </row>
    <row r="1901" spans="1:10" hidden="1">
      <c r="A1901" t="s">
        <v>2925</v>
      </c>
      <c r="B1901" t="s">
        <v>4175</v>
      </c>
      <c r="C1901" t="s">
        <v>4176</v>
      </c>
      <c r="J1901">
        <f>LEN(Table13[[#This Row],[REFERENCE_DESCR1]])</f>
        <v>8</v>
      </c>
    </row>
    <row r="1902" spans="1:10" hidden="1">
      <c r="A1902" t="s">
        <v>2925</v>
      </c>
      <c r="B1902" t="s">
        <v>4177</v>
      </c>
      <c r="C1902" t="s">
        <v>4178</v>
      </c>
      <c r="J1902">
        <f>LEN(Table13[[#This Row],[REFERENCE_DESCR1]])</f>
        <v>7</v>
      </c>
    </row>
    <row r="1903" spans="1:10" hidden="1">
      <c r="A1903" t="s">
        <v>2925</v>
      </c>
      <c r="B1903" t="s">
        <v>4179</v>
      </c>
      <c r="C1903" t="s">
        <v>4180</v>
      </c>
      <c r="J1903">
        <f>LEN(Table13[[#This Row],[REFERENCE_DESCR1]])</f>
        <v>19</v>
      </c>
    </row>
    <row r="1904" spans="1:10" hidden="1">
      <c r="A1904" t="s">
        <v>2925</v>
      </c>
      <c r="B1904" t="s">
        <v>4181</v>
      </c>
      <c r="C1904" t="s">
        <v>4182</v>
      </c>
      <c r="J1904">
        <f>LEN(Table13[[#This Row],[REFERENCE_DESCR1]])</f>
        <v>8</v>
      </c>
    </row>
    <row r="1905" spans="1:10" hidden="1">
      <c r="A1905" t="s">
        <v>2925</v>
      </c>
      <c r="B1905" t="s">
        <v>4183</v>
      </c>
      <c r="C1905" t="s">
        <v>4184</v>
      </c>
      <c r="J1905">
        <f>LEN(Table13[[#This Row],[REFERENCE_DESCR1]])</f>
        <v>6</v>
      </c>
    </row>
    <row r="1906" spans="1:10" hidden="1">
      <c r="A1906" t="s">
        <v>2925</v>
      </c>
      <c r="B1906" t="s">
        <v>4185</v>
      </c>
      <c r="C1906" t="s">
        <v>4186</v>
      </c>
      <c r="J1906">
        <f>LEN(Table13[[#This Row],[REFERENCE_DESCR1]])</f>
        <v>5</v>
      </c>
    </row>
    <row r="1907" spans="1:10" hidden="1">
      <c r="A1907" t="s">
        <v>2925</v>
      </c>
      <c r="B1907" t="s">
        <v>4187</v>
      </c>
      <c r="C1907" t="s">
        <v>4188</v>
      </c>
      <c r="J1907">
        <f>LEN(Table13[[#This Row],[REFERENCE_DESCR1]])</f>
        <v>7</v>
      </c>
    </row>
    <row r="1908" spans="1:10" hidden="1">
      <c r="A1908" t="s">
        <v>2925</v>
      </c>
      <c r="B1908" t="s">
        <v>4189</v>
      </c>
      <c r="C1908" t="s">
        <v>4190</v>
      </c>
      <c r="J1908">
        <f>LEN(Table13[[#This Row],[REFERENCE_DESCR1]])</f>
        <v>12</v>
      </c>
    </row>
    <row r="1909" spans="1:10" hidden="1">
      <c r="A1909" t="s">
        <v>2925</v>
      </c>
      <c r="B1909" t="s">
        <v>4191</v>
      </c>
      <c r="C1909" t="s">
        <v>4192</v>
      </c>
      <c r="J1909">
        <f>LEN(Table13[[#This Row],[REFERENCE_DESCR1]])</f>
        <v>6</v>
      </c>
    </row>
    <row r="1910" spans="1:10" hidden="1">
      <c r="A1910" t="s">
        <v>2925</v>
      </c>
      <c r="B1910" t="s">
        <v>4193</v>
      </c>
      <c r="C1910" t="s">
        <v>4194</v>
      </c>
      <c r="J1910">
        <f>LEN(Table13[[#This Row],[REFERENCE_DESCR1]])</f>
        <v>19</v>
      </c>
    </row>
    <row r="1911" spans="1:10" hidden="1">
      <c r="A1911" t="s">
        <v>2925</v>
      </c>
      <c r="B1911" t="s">
        <v>4195</v>
      </c>
      <c r="C1911" t="s">
        <v>4196</v>
      </c>
      <c r="J1911">
        <f>LEN(Table13[[#This Row],[REFERENCE_DESCR1]])</f>
        <v>14</v>
      </c>
    </row>
    <row r="1912" spans="1:10" hidden="1">
      <c r="A1912" t="s">
        <v>2925</v>
      </c>
      <c r="B1912" t="s">
        <v>4197</v>
      </c>
      <c r="C1912" t="s">
        <v>4198</v>
      </c>
      <c r="J1912">
        <f>LEN(Table13[[#This Row],[REFERENCE_DESCR1]])</f>
        <v>14</v>
      </c>
    </row>
    <row r="1913" spans="1:10" hidden="1">
      <c r="A1913" t="s">
        <v>2925</v>
      </c>
      <c r="B1913" t="s">
        <v>4199</v>
      </c>
      <c r="C1913" t="s">
        <v>4200</v>
      </c>
      <c r="J1913">
        <f>LEN(Table13[[#This Row],[REFERENCE_DESCR1]])</f>
        <v>7</v>
      </c>
    </row>
    <row r="1914" spans="1:10" hidden="1">
      <c r="A1914" t="s">
        <v>2925</v>
      </c>
      <c r="B1914" t="s">
        <v>4201</v>
      </c>
      <c r="C1914" t="s">
        <v>4202</v>
      </c>
      <c r="J1914">
        <f>LEN(Table13[[#This Row],[REFERENCE_DESCR1]])</f>
        <v>8</v>
      </c>
    </row>
    <row r="1915" spans="1:10" hidden="1">
      <c r="A1915" t="s">
        <v>2925</v>
      </c>
      <c r="B1915" t="s">
        <v>4203</v>
      </c>
      <c r="C1915" t="s">
        <v>4204</v>
      </c>
      <c r="J1915">
        <f>LEN(Table13[[#This Row],[REFERENCE_DESCR1]])</f>
        <v>20</v>
      </c>
    </row>
    <row r="1916" spans="1:10" hidden="1">
      <c r="A1916" t="s">
        <v>2925</v>
      </c>
      <c r="B1916" t="s">
        <v>4205</v>
      </c>
      <c r="C1916" t="s">
        <v>4206</v>
      </c>
      <c r="J1916">
        <f>LEN(Table13[[#This Row],[REFERENCE_DESCR1]])</f>
        <v>8</v>
      </c>
    </row>
    <row r="1917" spans="1:10" hidden="1">
      <c r="A1917" t="s">
        <v>2925</v>
      </c>
      <c r="B1917" t="s">
        <v>4207</v>
      </c>
      <c r="C1917" t="s">
        <v>4208</v>
      </c>
      <c r="J1917">
        <f>LEN(Table13[[#This Row],[REFERENCE_DESCR1]])</f>
        <v>4</v>
      </c>
    </row>
    <row r="1918" spans="1:10" hidden="1">
      <c r="A1918" t="s">
        <v>2925</v>
      </c>
      <c r="B1918" t="s">
        <v>4209</v>
      </c>
      <c r="C1918" t="s">
        <v>4210</v>
      </c>
      <c r="J1918">
        <f>LEN(Table13[[#This Row],[REFERENCE_DESCR1]])</f>
        <v>16</v>
      </c>
    </row>
    <row r="1919" spans="1:10" hidden="1">
      <c r="A1919" t="s">
        <v>2925</v>
      </c>
      <c r="B1919" t="s">
        <v>4211</v>
      </c>
      <c r="C1919" t="s">
        <v>4212</v>
      </c>
      <c r="J1919">
        <f>LEN(Table13[[#This Row],[REFERENCE_DESCR1]])</f>
        <v>7</v>
      </c>
    </row>
    <row r="1920" spans="1:10" hidden="1">
      <c r="A1920" t="s">
        <v>2925</v>
      </c>
      <c r="B1920" t="s">
        <v>4213</v>
      </c>
      <c r="C1920" t="s">
        <v>4214</v>
      </c>
      <c r="J1920">
        <f>LEN(Table13[[#This Row],[REFERENCE_DESCR1]])</f>
        <v>19</v>
      </c>
    </row>
    <row r="1921" spans="1:10" hidden="1">
      <c r="A1921" t="s">
        <v>2925</v>
      </c>
      <c r="B1921" t="s">
        <v>4215</v>
      </c>
      <c r="C1921" t="s">
        <v>4216</v>
      </c>
      <c r="J1921">
        <f>LEN(Table13[[#This Row],[REFERENCE_DESCR1]])</f>
        <v>7</v>
      </c>
    </row>
    <row r="1922" spans="1:10" hidden="1">
      <c r="A1922" t="s">
        <v>2925</v>
      </c>
      <c r="B1922" t="s">
        <v>4217</v>
      </c>
      <c r="C1922" t="s">
        <v>4218</v>
      </c>
      <c r="J1922">
        <f>LEN(Table13[[#This Row],[REFERENCE_DESCR1]])</f>
        <v>13</v>
      </c>
    </row>
    <row r="1923" spans="1:10" hidden="1">
      <c r="A1923" t="s">
        <v>2925</v>
      </c>
      <c r="B1923" t="s">
        <v>4219</v>
      </c>
      <c r="C1923" t="s">
        <v>4220</v>
      </c>
      <c r="J1923">
        <f>LEN(Table13[[#This Row],[REFERENCE_DESCR1]])</f>
        <v>13</v>
      </c>
    </row>
    <row r="1924" spans="1:10" hidden="1">
      <c r="A1924" t="s">
        <v>2925</v>
      </c>
      <c r="B1924" t="s">
        <v>4221</v>
      </c>
      <c r="C1924" t="s">
        <v>4222</v>
      </c>
      <c r="J1924">
        <f>LEN(Table13[[#This Row],[REFERENCE_DESCR1]])</f>
        <v>9</v>
      </c>
    </row>
    <row r="1925" spans="1:10" hidden="1">
      <c r="A1925" t="s">
        <v>2925</v>
      </c>
      <c r="B1925" t="s">
        <v>4223</v>
      </c>
      <c r="C1925" t="s">
        <v>4224</v>
      </c>
      <c r="J1925">
        <f>LEN(Table13[[#This Row],[REFERENCE_DESCR1]])</f>
        <v>14</v>
      </c>
    </row>
    <row r="1926" spans="1:10" hidden="1">
      <c r="A1926" t="s">
        <v>2925</v>
      </c>
      <c r="B1926" t="s">
        <v>4225</v>
      </c>
      <c r="C1926" t="s">
        <v>4226</v>
      </c>
      <c r="J1926">
        <f>LEN(Table13[[#This Row],[REFERENCE_DESCR1]])</f>
        <v>10</v>
      </c>
    </row>
    <row r="1927" spans="1:10" hidden="1">
      <c r="A1927" t="s">
        <v>2925</v>
      </c>
      <c r="B1927" t="s">
        <v>4227</v>
      </c>
      <c r="C1927" t="s">
        <v>4228</v>
      </c>
      <c r="J1927">
        <f>LEN(Table13[[#This Row],[REFERENCE_DESCR1]])</f>
        <v>8</v>
      </c>
    </row>
    <row r="1928" spans="1:10" hidden="1">
      <c r="A1928" t="s">
        <v>2925</v>
      </c>
      <c r="B1928" t="s">
        <v>4229</v>
      </c>
      <c r="C1928" t="s">
        <v>4230</v>
      </c>
      <c r="J1928">
        <f>LEN(Table13[[#This Row],[REFERENCE_DESCR1]])</f>
        <v>7</v>
      </c>
    </row>
    <row r="1929" spans="1:10" hidden="1">
      <c r="A1929" t="s">
        <v>2925</v>
      </c>
      <c r="B1929" t="s">
        <v>4231</v>
      </c>
      <c r="C1929" t="s">
        <v>4232</v>
      </c>
      <c r="J1929">
        <f>LEN(Table13[[#This Row],[REFERENCE_DESCR1]])</f>
        <v>13</v>
      </c>
    </row>
    <row r="1930" spans="1:10" hidden="1">
      <c r="A1930" t="s">
        <v>2925</v>
      </c>
      <c r="B1930" t="s">
        <v>4233</v>
      </c>
      <c r="C1930" t="s">
        <v>4234</v>
      </c>
      <c r="J1930">
        <f>LEN(Table13[[#This Row],[REFERENCE_DESCR1]])</f>
        <v>9</v>
      </c>
    </row>
    <row r="1931" spans="1:10" hidden="1">
      <c r="A1931" t="s">
        <v>2925</v>
      </c>
      <c r="B1931" t="s">
        <v>4235</v>
      </c>
      <c r="C1931" t="s">
        <v>4236</v>
      </c>
      <c r="J1931">
        <f>LEN(Table13[[#This Row],[REFERENCE_DESCR1]])</f>
        <v>21</v>
      </c>
    </row>
    <row r="1932" spans="1:10" hidden="1">
      <c r="A1932" t="s">
        <v>2925</v>
      </c>
      <c r="B1932" t="s">
        <v>4237</v>
      </c>
      <c r="C1932" t="s">
        <v>4238</v>
      </c>
      <c r="J1932">
        <f>LEN(Table13[[#This Row],[REFERENCE_DESCR1]])</f>
        <v>8</v>
      </c>
    </row>
    <row r="1933" spans="1:10" hidden="1">
      <c r="A1933" t="s">
        <v>2925</v>
      </c>
      <c r="B1933" t="s">
        <v>4239</v>
      </c>
      <c r="C1933" t="s">
        <v>4240</v>
      </c>
      <c r="J1933">
        <f>LEN(Table13[[#This Row],[REFERENCE_DESCR1]])</f>
        <v>20</v>
      </c>
    </row>
    <row r="1934" spans="1:10" hidden="1">
      <c r="A1934" t="s">
        <v>2925</v>
      </c>
      <c r="B1934" t="s">
        <v>1822</v>
      </c>
      <c r="C1934" t="s">
        <v>4241</v>
      </c>
      <c r="J1934">
        <f>LEN(Table13[[#This Row],[REFERENCE_DESCR1]])</f>
        <v>10</v>
      </c>
    </row>
    <row r="1935" spans="1:10" hidden="1">
      <c r="A1935" t="s">
        <v>2925</v>
      </c>
      <c r="B1935" t="s">
        <v>4242</v>
      </c>
      <c r="C1935" t="s">
        <v>4243</v>
      </c>
      <c r="J1935">
        <f>LEN(Table13[[#This Row],[REFERENCE_DESCR1]])</f>
        <v>9</v>
      </c>
    </row>
    <row r="1936" spans="1:10" hidden="1">
      <c r="A1936" t="s">
        <v>2925</v>
      </c>
      <c r="B1936" t="s">
        <v>4244</v>
      </c>
      <c r="C1936" t="s">
        <v>4245</v>
      </c>
      <c r="J1936">
        <f>LEN(Table13[[#This Row],[REFERENCE_DESCR1]])</f>
        <v>7</v>
      </c>
    </row>
    <row r="1937" spans="1:10" hidden="1">
      <c r="A1937" t="s">
        <v>2925</v>
      </c>
      <c r="B1937" t="s">
        <v>4246</v>
      </c>
      <c r="C1937" t="s">
        <v>4247</v>
      </c>
      <c r="J1937">
        <f>LEN(Table13[[#This Row],[REFERENCE_DESCR1]])</f>
        <v>8</v>
      </c>
    </row>
    <row r="1938" spans="1:10" hidden="1">
      <c r="A1938" t="s">
        <v>2925</v>
      </c>
      <c r="B1938" t="s">
        <v>4248</v>
      </c>
      <c r="C1938" t="s">
        <v>4249</v>
      </c>
      <c r="J1938">
        <f>LEN(Table13[[#This Row],[REFERENCE_DESCR1]])</f>
        <v>20</v>
      </c>
    </row>
    <row r="1939" spans="1:10" hidden="1">
      <c r="A1939" t="s">
        <v>2925</v>
      </c>
      <c r="B1939" t="s">
        <v>4250</v>
      </c>
      <c r="C1939" t="s">
        <v>4251</v>
      </c>
      <c r="J1939">
        <f>LEN(Table13[[#This Row],[REFERENCE_DESCR1]])</f>
        <v>14</v>
      </c>
    </row>
    <row r="1940" spans="1:10" hidden="1">
      <c r="A1940" t="s">
        <v>2925</v>
      </c>
      <c r="B1940" t="s">
        <v>4252</v>
      </c>
      <c r="C1940" t="s">
        <v>4253</v>
      </c>
      <c r="J1940">
        <f>LEN(Table13[[#This Row],[REFERENCE_DESCR1]])</f>
        <v>11</v>
      </c>
    </row>
    <row r="1941" spans="1:10" hidden="1">
      <c r="A1941" t="s">
        <v>2925</v>
      </c>
      <c r="B1941" t="s">
        <v>4254</v>
      </c>
      <c r="C1941" t="s">
        <v>4255</v>
      </c>
      <c r="J1941">
        <f>LEN(Table13[[#This Row],[REFERENCE_DESCR1]])</f>
        <v>17</v>
      </c>
    </row>
    <row r="1942" spans="1:10" hidden="1">
      <c r="A1942" t="s">
        <v>2925</v>
      </c>
      <c r="B1942" t="s">
        <v>4256</v>
      </c>
      <c r="C1942" t="s">
        <v>4257</v>
      </c>
      <c r="J1942">
        <f>LEN(Table13[[#This Row],[REFERENCE_DESCR1]])</f>
        <v>13</v>
      </c>
    </row>
    <row r="1943" spans="1:10" hidden="1">
      <c r="A1943" t="s">
        <v>2925</v>
      </c>
      <c r="B1943" t="s">
        <v>4258</v>
      </c>
      <c r="C1943" t="s">
        <v>4259</v>
      </c>
      <c r="J1943">
        <f>LEN(Table13[[#This Row],[REFERENCE_DESCR1]])</f>
        <v>8</v>
      </c>
    </row>
    <row r="1944" spans="1:10" hidden="1">
      <c r="A1944" t="s">
        <v>2925</v>
      </c>
      <c r="B1944" t="s">
        <v>4260</v>
      </c>
      <c r="C1944" t="s">
        <v>4261</v>
      </c>
      <c r="J1944">
        <f>LEN(Table13[[#This Row],[REFERENCE_DESCR1]])</f>
        <v>8</v>
      </c>
    </row>
    <row r="1945" spans="1:10" hidden="1">
      <c r="A1945" t="s">
        <v>2925</v>
      </c>
      <c r="B1945" t="s">
        <v>4262</v>
      </c>
      <c r="C1945" t="s">
        <v>4263</v>
      </c>
      <c r="J1945">
        <f>LEN(Table13[[#This Row],[REFERENCE_DESCR1]])</f>
        <v>9</v>
      </c>
    </row>
    <row r="1946" spans="1:10" hidden="1">
      <c r="A1946" t="s">
        <v>2925</v>
      </c>
      <c r="B1946" t="s">
        <v>4264</v>
      </c>
      <c r="C1946" t="s">
        <v>4265</v>
      </c>
      <c r="J1946">
        <f>LEN(Table13[[#This Row],[REFERENCE_DESCR1]])</f>
        <v>7</v>
      </c>
    </row>
    <row r="1947" spans="1:10" hidden="1">
      <c r="A1947" t="s">
        <v>2925</v>
      </c>
      <c r="B1947" t="s">
        <v>4266</v>
      </c>
      <c r="C1947" t="s">
        <v>4267</v>
      </c>
      <c r="J1947">
        <f>LEN(Table13[[#This Row],[REFERENCE_DESCR1]])</f>
        <v>20</v>
      </c>
    </row>
    <row r="1948" spans="1:10" hidden="1">
      <c r="A1948" t="s">
        <v>2925</v>
      </c>
      <c r="B1948" t="s">
        <v>1821</v>
      </c>
      <c r="C1948" t="s">
        <v>4268</v>
      </c>
      <c r="J1948">
        <f>LEN(Table13[[#This Row],[REFERENCE_DESCR1]])</f>
        <v>8</v>
      </c>
    </row>
    <row r="1949" spans="1:10" hidden="1">
      <c r="A1949" t="s">
        <v>2925</v>
      </c>
      <c r="B1949" t="s">
        <v>1824</v>
      </c>
      <c r="C1949" t="s">
        <v>4269</v>
      </c>
      <c r="J1949">
        <f>LEN(Table13[[#This Row],[REFERENCE_DESCR1]])</f>
        <v>9</v>
      </c>
    </row>
    <row r="1950" spans="1:10" hidden="1">
      <c r="A1950" t="s">
        <v>2925</v>
      </c>
      <c r="B1950" t="s">
        <v>4270</v>
      </c>
      <c r="C1950" t="s">
        <v>4271</v>
      </c>
      <c r="J1950">
        <f>LEN(Table13[[#This Row],[REFERENCE_DESCR1]])</f>
        <v>10</v>
      </c>
    </row>
    <row r="1951" spans="1:10" hidden="1">
      <c r="A1951" t="s">
        <v>2925</v>
      </c>
      <c r="B1951" t="s">
        <v>4272</v>
      </c>
      <c r="C1951" t="s">
        <v>4273</v>
      </c>
      <c r="J1951">
        <f>LEN(Table13[[#This Row],[REFERENCE_DESCR1]])</f>
        <v>7</v>
      </c>
    </row>
    <row r="1952" spans="1:10" hidden="1">
      <c r="A1952" t="s">
        <v>2925</v>
      </c>
      <c r="B1952" t="s">
        <v>4274</v>
      </c>
      <c r="C1952" t="s">
        <v>4275</v>
      </c>
      <c r="J1952">
        <f>LEN(Table13[[#This Row],[REFERENCE_DESCR1]])</f>
        <v>6</v>
      </c>
    </row>
    <row r="1953" spans="1:10" hidden="1">
      <c r="A1953" t="s">
        <v>2925</v>
      </c>
      <c r="B1953" t="s">
        <v>4276</v>
      </c>
      <c r="C1953" t="s">
        <v>4277</v>
      </c>
      <c r="J1953">
        <f>LEN(Table13[[#This Row],[REFERENCE_DESCR1]])</f>
        <v>6</v>
      </c>
    </row>
    <row r="1954" spans="1:10" hidden="1">
      <c r="A1954" t="s">
        <v>2925</v>
      </c>
      <c r="B1954" t="s">
        <v>4278</v>
      </c>
      <c r="C1954" t="s">
        <v>4279</v>
      </c>
      <c r="J1954">
        <f>LEN(Table13[[#This Row],[REFERENCE_DESCR1]])</f>
        <v>9</v>
      </c>
    </row>
    <row r="1955" spans="1:10" hidden="1">
      <c r="A1955" t="s">
        <v>2925</v>
      </c>
      <c r="B1955" t="s">
        <v>4280</v>
      </c>
      <c r="C1955" t="s">
        <v>4281</v>
      </c>
      <c r="J1955">
        <f>LEN(Table13[[#This Row],[REFERENCE_DESCR1]])</f>
        <v>15</v>
      </c>
    </row>
    <row r="1956" spans="1:10" hidden="1">
      <c r="A1956" t="s">
        <v>2925</v>
      </c>
      <c r="B1956" t="s">
        <v>4282</v>
      </c>
      <c r="C1956" t="s">
        <v>4283</v>
      </c>
      <c r="J1956">
        <f>LEN(Table13[[#This Row],[REFERENCE_DESCR1]])</f>
        <v>11</v>
      </c>
    </row>
    <row r="1957" spans="1:10" hidden="1">
      <c r="A1957" t="s">
        <v>2925</v>
      </c>
      <c r="B1957" t="s">
        <v>4284</v>
      </c>
      <c r="C1957" t="s">
        <v>4285</v>
      </c>
      <c r="J1957">
        <f>LEN(Table13[[#This Row],[REFERENCE_DESCR1]])</f>
        <v>14</v>
      </c>
    </row>
    <row r="1958" spans="1:10" hidden="1">
      <c r="A1958" t="s">
        <v>2925</v>
      </c>
      <c r="B1958" t="s">
        <v>4286</v>
      </c>
      <c r="C1958" t="s">
        <v>4287</v>
      </c>
      <c r="J1958">
        <f>LEN(Table13[[#This Row],[REFERENCE_DESCR1]])</f>
        <v>12</v>
      </c>
    </row>
    <row r="1959" spans="1:10" hidden="1">
      <c r="A1959" t="s">
        <v>2925</v>
      </c>
      <c r="B1959" t="s">
        <v>4288</v>
      </c>
      <c r="C1959" t="s">
        <v>4289</v>
      </c>
      <c r="J1959">
        <f>LEN(Table13[[#This Row],[REFERENCE_DESCR1]])</f>
        <v>13</v>
      </c>
    </row>
    <row r="1960" spans="1:10" hidden="1">
      <c r="A1960" t="s">
        <v>2925</v>
      </c>
      <c r="B1960" t="s">
        <v>4290</v>
      </c>
      <c r="C1960" t="s">
        <v>4291</v>
      </c>
      <c r="J1960">
        <f>LEN(Table13[[#This Row],[REFERENCE_DESCR1]])</f>
        <v>10</v>
      </c>
    </row>
    <row r="1961" spans="1:10" hidden="1">
      <c r="A1961" t="s">
        <v>2925</v>
      </c>
      <c r="B1961" t="s">
        <v>4292</v>
      </c>
      <c r="C1961" t="s">
        <v>4293</v>
      </c>
      <c r="J1961">
        <f>LEN(Table13[[#This Row],[REFERENCE_DESCR1]])</f>
        <v>11</v>
      </c>
    </row>
    <row r="1962" spans="1:10" hidden="1">
      <c r="A1962" t="s">
        <v>2925</v>
      </c>
      <c r="B1962" t="s">
        <v>4294</v>
      </c>
      <c r="C1962" t="s">
        <v>4295</v>
      </c>
      <c r="J1962">
        <f>LEN(Table13[[#This Row],[REFERENCE_DESCR1]])</f>
        <v>11</v>
      </c>
    </row>
    <row r="1963" spans="1:10" hidden="1">
      <c r="A1963" t="s">
        <v>2925</v>
      </c>
      <c r="B1963" t="s">
        <v>4296</v>
      </c>
      <c r="C1963" t="s">
        <v>4297</v>
      </c>
      <c r="J1963">
        <f>LEN(Table13[[#This Row],[REFERENCE_DESCR1]])</f>
        <v>12</v>
      </c>
    </row>
    <row r="1964" spans="1:10" hidden="1">
      <c r="A1964" t="s">
        <v>2925</v>
      </c>
      <c r="B1964" t="s">
        <v>4298</v>
      </c>
      <c r="C1964" t="s">
        <v>4299</v>
      </c>
      <c r="J1964">
        <f>LEN(Table13[[#This Row],[REFERENCE_DESCR1]])</f>
        <v>13</v>
      </c>
    </row>
    <row r="1965" spans="1:10" hidden="1">
      <c r="A1965" t="s">
        <v>2925</v>
      </c>
      <c r="B1965" t="s">
        <v>4300</v>
      </c>
      <c r="C1965" t="s">
        <v>4301</v>
      </c>
      <c r="J1965">
        <f>LEN(Table13[[#This Row],[REFERENCE_DESCR1]])</f>
        <v>18</v>
      </c>
    </row>
    <row r="1966" spans="1:10" hidden="1">
      <c r="A1966" t="s">
        <v>2925</v>
      </c>
      <c r="B1966" t="s">
        <v>4302</v>
      </c>
      <c r="C1966" t="s">
        <v>4303</v>
      </c>
      <c r="J1966">
        <f>LEN(Table13[[#This Row],[REFERENCE_DESCR1]])</f>
        <v>12</v>
      </c>
    </row>
    <row r="1967" spans="1:10" hidden="1">
      <c r="A1967" t="s">
        <v>2925</v>
      </c>
      <c r="B1967" t="s">
        <v>4304</v>
      </c>
      <c r="C1967" t="s">
        <v>4305</v>
      </c>
      <c r="J1967">
        <f>LEN(Table13[[#This Row],[REFERENCE_DESCR1]])</f>
        <v>7</v>
      </c>
    </row>
    <row r="1968" spans="1:10" hidden="1">
      <c r="A1968" t="s">
        <v>2925</v>
      </c>
      <c r="B1968" t="s">
        <v>4306</v>
      </c>
      <c r="C1968" t="s">
        <v>4307</v>
      </c>
      <c r="J1968">
        <f>LEN(Table13[[#This Row],[REFERENCE_DESCR1]])</f>
        <v>6</v>
      </c>
    </row>
    <row r="1969" spans="1:10" hidden="1">
      <c r="A1969" t="s">
        <v>2925</v>
      </c>
      <c r="B1969" t="s">
        <v>4308</v>
      </c>
      <c r="C1969" t="s">
        <v>4309</v>
      </c>
      <c r="J1969">
        <f>LEN(Table13[[#This Row],[REFERENCE_DESCR1]])</f>
        <v>13</v>
      </c>
    </row>
    <row r="1970" spans="1:10" hidden="1">
      <c r="A1970" t="s">
        <v>2925</v>
      </c>
      <c r="B1970" t="s">
        <v>4310</v>
      </c>
      <c r="C1970" t="s">
        <v>4311</v>
      </c>
      <c r="J1970">
        <f>LEN(Table13[[#This Row],[REFERENCE_DESCR1]])</f>
        <v>12</v>
      </c>
    </row>
    <row r="1971" spans="1:10" hidden="1">
      <c r="A1971" t="s">
        <v>2925</v>
      </c>
      <c r="B1971" t="s">
        <v>4312</v>
      </c>
      <c r="C1971" t="s">
        <v>4313</v>
      </c>
      <c r="J1971">
        <f>LEN(Table13[[#This Row],[REFERENCE_DESCR1]])</f>
        <v>8</v>
      </c>
    </row>
    <row r="1972" spans="1:10" hidden="1">
      <c r="A1972" t="s">
        <v>2925</v>
      </c>
      <c r="B1972" t="s">
        <v>4314</v>
      </c>
      <c r="C1972" t="s">
        <v>4315</v>
      </c>
      <c r="J1972">
        <f>LEN(Table13[[#This Row],[REFERENCE_DESCR1]])</f>
        <v>8</v>
      </c>
    </row>
    <row r="1973" spans="1:10" hidden="1">
      <c r="A1973" t="s">
        <v>2925</v>
      </c>
      <c r="B1973" t="s">
        <v>4316</v>
      </c>
      <c r="C1973" t="s">
        <v>4317</v>
      </c>
      <c r="J1973">
        <f>LEN(Table13[[#This Row],[REFERENCE_DESCR1]])</f>
        <v>9</v>
      </c>
    </row>
    <row r="1974" spans="1:10" hidden="1">
      <c r="A1974" t="s">
        <v>2925</v>
      </c>
      <c r="B1974" t="s">
        <v>4318</v>
      </c>
      <c r="C1974" t="s">
        <v>4319</v>
      </c>
      <c r="J1974">
        <f>LEN(Table13[[#This Row],[REFERENCE_DESCR1]])</f>
        <v>7</v>
      </c>
    </row>
    <row r="1975" spans="1:10" hidden="1">
      <c r="A1975" t="s">
        <v>2925</v>
      </c>
      <c r="B1975" t="s">
        <v>4320</v>
      </c>
      <c r="C1975" t="s">
        <v>4321</v>
      </c>
      <c r="J1975">
        <f>LEN(Table13[[#This Row],[REFERENCE_DESCR1]])</f>
        <v>11</v>
      </c>
    </row>
    <row r="1976" spans="1:10" hidden="1">
      <c r="A1976" t="s">
        <v>2925</v>
      </c>
      <c r="B1976" t="s">
        <v>4322</v>
      </c>
      <c r="C1976" t="s">
        <v>4323</v>
      </c>
      <c r="J1976">
        <f>LEN(Table13[[#This Row],[REFERENCE_DESCR1]])</f>
        <v>7</v>
      </c>
    </row>
    <row r="1977" spans="1:10" hidden="1">
      <c r="A1977" t="s">
        <v>2925</v>
      </c>
      <c r="B1977" t="s">
        <v>4324</v>
      </c>
      <c r="C1977" t="s">
        <v>4325</v>
      </c>
      <c r="J1977">
        <f>LEN(Table13[[#This Row],[REFERENCE_DESCR1]])</f>
        <v>9</v>
      </c>
    </row>
    <row r="1978" spans="1:10" hidden="1">
      <c r="A1978" t="s">
        <v>2925</v>
      </c>
      <c r="B1978" t="s">
        <v>4326</v>
      </c>
      <c r="C1978" t="s">
        <v>4327</v>
      </c>
      <c r="J1978">
        <f>LEN(Table13[[#This Row],[REFERENCE_DESCR1]])</f>
        <v>7</v>
      </c>
    </row>
    <row r="1979" spans="1:10" hidden="1">
      <c r="A1979" t="s">
        <v>2925</v>
      </c>
      <c r="B1979" t="s">
        <v>4328</v>
      </c>
      <c r="C1979" t="s">
        <v>4329</v>
      </c>
      <c r="J1979">
        <f>LEN(Table13[[#This Row],[REFERENCE_DESCR1]])</f>
        <v>12</v>
      </c>
    </row>
    <row r="1980" spans="1:10" hidden="1">
      <c r="A1980" t="s">
        <v>2925</v>
      </c>
      <c r="B1980" t="s">
        <v>4330</v>
      </c>
      <c r="C1980" t="s">
        <v>4331</v>
      </c>
      <c r="J1980">
        <f>LEN(Table13[[#This Row],[REFERENCE_DESCR1]])</f>
        <v>8</v>
      </c>
    </row>
    <row r="1981" spans="1:10" hidden="1">
      <c r="A1981" t="s">
        <v>2925</v>
      </c>
      <c r="B1981" t="s">
        <v>4332</v>
      </c>
      <c r="C1981" t="s">
        <v>4333</v>
      </c>
      <c r="J1981">
        <f>LEN(Table13[[#This Row],[REFERENCE_DESCR1]])</f>
        <v>10</v>
      </c>
    </row>
    <row r="1982" spans="1:10" hidden="1">
      <c r="A1982" t="s">
        <v>2925</v>
      </c>
      <c r="B1982" t="s">
        <v>4334</v>
      </c>
      <c r="C1982" t="s">
        <v>4335</v>
      </c>
      <c r="J1982">
        <f>LEN(Table13[[#This Row],[REFERENCE_DESCR1]])</f>
        <v>9</v>
      </c>
    </row>
    <row r="1983" spans="1:10" hidden="1">
      <c r="A1983" t="s">
        <v>2925</v>
      </c>
      <c r="B1983" t="s">
        <v>4336</v>
      </c>
      <c r="C1983" t="s">
        <v>4337</v>
      </c>
      <c r="J1983">
        <f>LEN(Table13[[#This Row],[REFERENCE_DESCR1]])</f>
        <v>5</v>
      </c>
    </row>
    <row r="1984" spans="1:10" hidden="1">
      <c r="A1984" t="s">
        <v>2925</v>
      </c>
      <c r="B1984" t="s">
        <v>4338</v>
      </c>
      <c r="C1984" t="s">
        <v>4339</v>
      </c>
      <c r="J1984">
        <f>LEN(Table13[[#This Row],[REFERENCE_DESCR1]])</f>
        <v>7</v>
      </c>
    </row>
    <row r="1985" spans="1:10" hidden="1">
      <c r="A1985" t="s">
        <v>2925</v>
      </c>
      <c r="B1985" t="s">
        <v>4340</v>
      </c>
      <c r="C1985" t="s">
        <v>4341</v>
      </c>
      <c r="J1985">
        <f>LEN(Table13[[#This Row],[REFERENCE_DESCR1]])</f>
        <v>7</v>
      </c>
    </row>
    <row r="1986" spans="1:10" hidden="1">
      <c r="A1986" t="s">
        <v>2925</v>
      </c>
      <c r="B1986" t="s">
        <v>4342</v>
      </c>
      <c r="C1986" t="s">
        <v>4343</v>
      </c>
      <c r="J1986">
        <f>LEN(Table13[[#This Row],[REFERENCE_DESCR1]])</f>
        <v>12</v>
      </c>
    </row>
    <row r="1987" spans="1:10" hidden="1">
      <c r="A1987" t="s">
        <v>2925</v>
      </c>
      <c r="B1987" t="s">
        <v>4344</v>
      </c>
      <c r="C1987" t="s">
        <v>4345</v>
      </c>
      <c r="J1987">
        <f>LEN(Table13[[#This Row],[REFERENCE_DESCR1]])</f>
        <v>21</v>
      </c>
    </row>
    <row r="1988" spans="1:10" hidden="1">
      <c r="A1988" t="s">
        <v>2925</v>
      </c>
      <c r="B1988" t="s">
        <v>4346</v>
      </c>
      <c r="C1988" t="s">
        <v>1620</v>
      </c>
      <c r="J1988">
        <f>LEN(Table13[[#This Row],[REFERENCE_DESCR1]])</f>
        <v>8</v>
      </c>
    </row>
    <row r="1989" spans="1:10" hidden="1">
      <c r="A1989" t="s">
        <v>2925</v>
      </c>
      <c r="B1989" t="s">
        <v>4347</v>
      </c>
      <c r="C1989" t="s">
        <v>4348</v>
      </c>
      <c r="J1989">
        <f>LEN(Table13[[#This Row],[REFERENCE_DESCR1]])</f>
        <v>11</v>
      </c>
    </row>
    <row r="1990" spans="1:10" hidden="1">
      <c r="A1990" t="s">
        <v>2925</v>
      </c>
      <c r="B1990" t="s">
        <v>4349</v>
      </c>
      <c r="C1990" t="s">
        <v>4350</v>
      </c>
      <c r="J1990">
        <f>LEN(Table13[[#This Row],[REFERENCE_DESCR1]])</f>
        <v>31</v>
      </c>
    </row>
    <row r="1991" spans="1:10" hidden="1">
      <c r="A1991" t="s">
        <v>2925</v>
      </c>
      <c r="B1991" t="s">
        <v>4351</v>
      </c>
      <c r="C1991" t="s">
        <v>4352</v>
      </c>
      <c r="J1991">
        <f>LEN(Table13[[#This Row],[REFERENCE_DESCR1]])</f>
        <v>6</v>
      </c>
    </row>
    <row r="1992" spans="1:10" hidden="1">
      <c r="A1992" t="s">
        <v>2925</v>
      </c>
      <c r="B1992" t="s">
        <v>4353</v>
      </c>
      <c r="C1992" t="s">
        <v>4354</v>
      </c>
      <c r="J1992">
        <f>LEN(Table13[[#This Row],[REFERENCE_DESCR1]])</f>
        <v>10</v>
      </c>
    </row>
    <row r="1993" spans="1:10" hidden="1">
      <c r="A1993" t="s">
        <v>2925</v>
      </c>
      <c r="B1993" t="s">
        <v>4355</v>
      </c>
      <c r="C1993" t="s">
        <v>4356</v>
      </c>
      <c r="J1993">
        <f>LEN(Table13[[#This Row],[REFERENCE_DESCR1]])</f>
        <v>11</v>
      </c>
    </row>
    <row r="1994" spans="1:10" hidden="1">
      <c r="A1994" t="s">
        <v>2925</v>
      </c>
      <c r="B1994" t="s">
        <v>4357</v>
      </c>
      <c r="C1994" t="s">
        <v>4358</v>
      </c>
      <c r="J1994">
        <f>LEN(Table13[[#This Row],[REFERENCE_DESCR1]])</f>
        <v>13</v>
      </c>
    </row>
    <row r="1995" spans="1:10" hidden="1">
      <c r="A1995" t="s">
        <v>2925</v>
      </c>
      <c r="B1995" t="s">
        <v>4359</v>
      </c>
      <c r="C1995" t="s">
        <v>4360</v>
      </c>
      <c r="J1995">
        <f>LEN(Table13[[#This Row],[REFERENCE_DESCR1]])</f>
        <v>11</v>
      </c>
    </row>
    <row r="1996" spans="1:10" hidden="1">
      <c r="A1996" t="s">
        <v>2925</v>
      </c>
      <c r="B1996" t="s">
        <v>4361</v>
      </c>
      <c r="C1996" t="s">
        <v>4362</v>
      </c>
      <c r="J1996">
        <f>LEN(Table13[[#This Row],[REFERENCE_DESCR1]])</f>
        <v>13</v>
      </c>
    </row>
    <row r="1997" spans="1:10" hidden="1">
      <c r="A1997" t="s">
        <v>2925</v>
      </c>
      <c r="B1997" t="s">
        <v>4363</v>
      </c>
      <c r="C1997" t="s">
        <v>4364</v>
      </c>
      <c r="J1997">
        <f>LEN(Table13[[#This Row],[REFERENCE_DESCR1]])</f>
        <v>8</v>
      </c>
    </row>
    <row r="1998" spans="1:10" hidden="1">
      <c r="A1998" t="s">
        <v>2925</v>
      </c>
      <c r="B1998" t="s">
        <v>4365</v>
      </c>
      <c r="C1998" t="s">
        <v>4366</v>
      </c>
      <c r="J1998">
        <f>LEN(Table13[[#This Row],[REFERENCE_DESCR1]])</f>
        <v>13</v>
      </c>
    </row>
    <row r="1999" spans="1:10" hidden="1">
      <c r="A1999" t="s">
        <v>2925</v>
      </c>
      <c r="B1999" t="s">
        <v>4367</v>
      </c>
      <c r="C1999" t="s">
        <v>4368</v>
      </c>
      <c r="J1999">
        <f>LEN(Table13[[#This Row],[REFERENCE_DESCR1]])</f>
        <v>9</v>
      </c>
    </row>
    <row r="2000" spans="1:10" hidden="1">
      <c r="A2000" t="s">
        <v>2925</v>
      </c>
      <c r="B2000" t="s">
        <v>4369</v>
      </c>
      <c r="C2000" t="s">
        <v>4370</v>
      </c>
      <c r="J2000">
        <f>LEN(Table13[[#This Row],[REFERENCE_DESCR1]])</f>
        <v>22</v>
      </c>
    </row>
    <row r="2001" spans="1:10" hidden="1">
      <c r="A2001" t="s">
        <v>2925</v>
      </c>
      <c r="B2001" t="s">
        <v>4371</v>
      </c>
      <c r="C2001" t="s">
        <v>4372</v>
      </c>
      <c r="J2001">
        <f>LEN(Table13[[#This Row],[REFERENCE_DESCR1]])</f>
        <v>12</v>
      </c>
    </row>
    <row r="2002" spans="1:10" hidden="1">
      <c r="A2002" t="s">
        <v>2925</v>
      </c>
      <c r="B2002" t="s">
        <v>4373</v>
      </c>
      <c r="C2002" t="s">
        <v>4374</v>
      </c>
      <c r="J2002">
        <f>LEN(Table13[[#This Row],[REFERENCE_DESCR1]])</f>
        <v>24</v>
      </c>
    </row>
    <row r="2003" spans="1:10" hidden="1">
      <c r="A2003" t="s">
        <v>2925</v>
      </c>
      <c r="B2003" t="s">
        <v>4375</v>
      </c>
      <c r="C2003" t="s">
        <v>4376</v>
      </c>
      <c r="J2003">
        <f>LEN(Table13[[#This Row],[REFERENCE_DESCR1]])</f>
        <v>31</v>
      </c>
    </row>
    <row r="2004" spans="1:10" hidden="1">
      <c r="A2004" t="s">
        <v>2925</v>
      </c>
      <c r="B2004" t="s">
        <v>4377</v>
      </c>
      <c r="C2004" t="s">
        <v>4378</v>
      </c>
      <c r="J2004">
        <f>LEN(Table13[[#This Row],[REFERENCE_DESCR1]])</f>
        <v>33</v>
      </c>
    </row>
    <row r="2005" spans="1:10" hidden="1">
      <c r="A2005" t="s">
        <v>2925</v>
      </c>
      <c r="B2005" t="s">
        <v>4379</v>
      </c>
      <c r="C2005" t="s">
        <v>4380</v>
      </c>
      <c r="J2005">
        <f>LEN(Table13[[#This Row],[REFERENCE_DESCR1]])</f>
        <v>18</v>
      </c>
    </row>
    <row r="2006" spans="1:10" hidden="1">
      <c r="A2006" t="s">
        <v>2925</v>
      </c>
      <c r="B2006" t="s">
        <v>4381</v>
      </c>
      <c r="C2006" t="s">
        <v>4382</v>
      </c>
      <c r="J2006">
        <f>LEN(Table13[[#This Row],[REFERENCE_DESCR1]])</f>
        <v>14</v>
      </c>
    </row>
    <row r="2007" spans="1:10" hidden="1">
      <c r="A2007" t="s">
        <v>2925</v>
      </c>
      <c r="B2007" t="s">
        <v>4383</v>
      </c>
      <c r="C2007" t="s">
        <v>4384</v>
      </c>
      <c r="J2007">
        <f>LEN(Table13[[#This Row],[REFERENCE_DESCR1]])</f>
        <v>16</v>
      </c>
    </row>
    <row r="2008" spans="1:10" hidden="1">
      <c r="A2008" t="s">
        <v>2925</v>
      </c>
      <c r="B2008" t="s">
        <v>4385</v>
      </c>
      <c r="C2008" t="s">
        <v>4386</v>
      </c>
      <c r="J2008">
        <f>LEN(Table13[[#This Row],[REFERENCE_DESCR1]])</f>
        <v>15</v>
      </c>
    </row>
    <row r="2009" spans="1:10" hidden="1">
      <c r="A2009" t="s">
        <v>2925</v>
      </c>
      <c r="B2009" t="s">
        <v>4387</v>
      </c>
      <c r="C2009" t="s">
        <v>4388</v>
      </c>
      <c r="J2009">
        <f>LEN(Table13[[#This Row],[REFERENCE_DESCR1]])</f>
        <v>10</v>
      </c>
    </row>
    <row r="2010" spans="1:10" hidden="1">
      <c r="A2010" t="s">
        <v>2925</v>
      </c>
      <c r="B2010" t="s">
        <v>4389</v>
      </c>
      <c r="C2010" t="s">
        <v>4390</v>
      </c>
      <c r="J2010">
        <f>LEN(Table13[[#This Row],[REFERENCE_DESCR1]])</f>
        <v>8</v>
      </c>
    </row>
    <row r="2011" spans="1:10" hidden="1">
      <c r="A2011" t="s">
        <v>2925</v>
      </c>
      <c r="B2011" t="s">
        <v>4391</v>
      </c>
      <c r="C2011" t="s">
        <v>4392</v>
      </c>
      <c r="J2011">
        <f>LEN(Table13[[#This Row],[REFERENCE_DESCR1]])</f>
        <v>13</v>
      </c>
    </row>
    <row r="2012" spans="1:10" hidden="1">
      <c r="A2012" t="s">
        <v>2925</v>
      </c>
      <c r="B2012" t="s">
        <v>4393</v>
      </c>
      <c r="C2012" t="s">
        <v>4394</v>
      </c>
      <c r="J2012">
        <f>LEN(Table13[[#This Row],[REFERENCE_DESCR1]])</f>
        <v>5</v>
      </c>
    </row>
    <row r="2013" spans="1:10" hidden="1">
      <c r="A2013" t="s">
        <v>2925</v>
      </c>
      <c r="B2013" t="s">
        <v>4395</v>
      </c>
      <c r="C2013" t="s">
        <v>4396</v>
      </c>
      <c r="J2013">
        <f>LEN(Table13[[#This Row],[REFERENCE_DESCR1]])</f>
        <v>49</v>
      </c>
    </row>
    <row r="2014" spans="1:10" hidden="1">
      <c r="A2014" t="s">
        <v>2925</v>
      </c>
      <c r="B2014" t="s">
        <v>4397</v>
      </c>
      <c r="C2014" t="s">
        <v>4398</v>
      </c>
      <c r="J2014">
        <f>LEN(Table13[[#This Row],[REFERENCE_DESCR1]])</f>
        <v>21</v>
      </c>
    </row>
    <row r="2015" spans="1:10" hidden="1">
      <c r="A2015" t="s">
        <v>2925</v>
      </c>
      <c r="B2015" t="s">
        <v>4399</v>
      </c>
      <c r="C2015" t="s">
        <v>4400</v>
      </c>
      <c r="J2015">
        <f>LEN(Table13[[#This Row],[REFERENCE_DESCR1]])</f>
        <v>8</v>
      </c>
    </row>
    <row r="2016" spans="1:10" hidden="1">
      <c r="A2016" t="s">
        <v>2925</v>
      </c>
      <c r="B2016" t="s">
        <v>4401</v>
      </c>
      <c r="C2016" t="s">
        <v>4402</v>
      </c>
      <c r="J2016">
        <f>LEN(Table13[[#This Row],[REFERENCE_DESCR1]])</f>
        <v>16</v>
      </c>
    </row>
    <row r="2017" spans="1:10" hidden="1">
      <c r="A2017" t="s">
        <v>2925</v>
      </c>
      <c r="B2017" t="s">
        <v>4403</v>
      </c>
      <c r="C2017" t="s">
        <v>4404</v>
      </c>
      <c r="J2017">
        <f>LEN(Table13[[#This Row],[REFERENCE_DESCR1]])</f>
        <v>13</v>
      </c>
    </row>
    <row r="2018" spans="1:10" hidden="1">
      <c r="A2018" t="s">
        <v>2925</v>
      </c>
      <c r="B2018" t="s">
        <v>4405</v>
      </c>
      <c r="C2018" t="s">
        <v>4406</v>
      </c>
      <c r="J2018">
        <f>LEN(Table13[[#This Row],[REFERENCE_DESCR1]])</f>
        <v>37</v>
      </c>
    </row>
    <row r="2019" spans="1:10" hidden="1">
      <c r="A2019" t="s">
        <v>2925</v>
      </c>
      <c r="B2019" t="s">
        <v>4407</v>
      </c>
      <c r="C2019" t="s">
        <v>4408</v>
      </c>
      <c r="J2019">
        <f>LEN(Table13[[#This Row],[REFERENCE_DESCR1]])</f>
        <v>39</v>
      </c>
    </row>
    <row r="2020" spans="1:10" hidden="1">
      <c r="A2020" t="s">
        <v>2925</v>
      </c>
      <c r="B2020" t="s">
        <v>4409</v>
      </c>
      <c r="C2020" t="s">
        <v>4410</v>
      </c>
      <c r="J2020">
        <f>LEN(Table13[[#This Row],[REFERENCE_DESCR1]])</f>
        <v>16</v>
      </c>
    </row>
    <row r="2021" spans="1:10" hidden="1">
      <c r="A2021" t="s">
        <v>2925</v>
      </c>
      <c r="B2021" t="s">
        <v>4411</v>
      </c>
      <c r="C2021" t="s">
        <v>4412</v>
      </c>
      <c r="J2021">
        <f>LEN(Table13[[#This Row],[REFERENCE_DESCR1]])</f>
        <v>5</v>
      </c>
    </row>
    <row r="2022" spans="1:10" hidden="1">
      <c r="A2022" t="s">
        <v>2925</v>
      </c>
      <c r="B2022" t="s">
        <v>4413</v>
      </c>
      <c r="C2022" t="s">
        <v>4414</v>
      </c>
      <c r="J2022">
        <f>LEN(Table13[[#This Row],[REFERENCE_DESCR1]])</f>
        <v>10</v>
      </c>
    </row>
    <row r="2023" spans="1:10" hidden="1">
      <c r="A2023" t="s">
        <v>2925</v>
      </c>
      <c r="B2023" t="s">
        <v>4415</v>
      </c>
      <c r="C2023" t="s">
        <v>4416</v>
      </c>
      <c r="J2023">
        <f>LEN(Table13[[#This Row],[REFERENCE_DESCR1]])</f>
        <v>8</v>
      </c>
    </row>
    <row r="2024" spans="1:10" hidden="1">
      <c r="A2024" t="s">
        <v>2925</v>
      </c>
      <c r="B2024" t="s">
        <v>4417</v>
      </c>
      <c r="C2024" t="s">
        <v>4418</v>
      </c>
      <c r="J2024">
        <f>LEN(Table13[[#This Row],[REFERENCE_DESCR1]])</f>
        <v>6</v>
      </c>
    </row>
    <row r="2025" spans="1:10" hidden="1">
      <c r="A2025" t="s">
        <v>2925</v>
      </c>
      <c r="B2025" t="s">
        <v>4419</v>
      </c>
      <c r="C2025" t="s">
        <v>4134</v>
      </c>
      <c r="J2025">
        <f>LEN(Table13[[#This Row],[REFERENCE_DESCR1]])</f>
        <v>11</v>
      </c>
    </row>
    <row r="2026" spans="1:10" hidden="1">
      <c r="A2026" t="s">
        <v>2925</v>
      </c>
      <c r="B2026" t="s">
        <v>4420</v>
      </c>
      <c r="C2026" t="s">
        <v>4421</v>
      </c>
      <c r="J2026">
        <f>LEN(Table13[[#This Row],[REFERENCE_DESCR1]])</f>
        <v>13</v>
      </c>
    </row>
    <row r="2027" spans="1:10" hidden="1">
      <c r="A2027" t="s">
        <v>2925</v>
      </c>
      <c r="B2027" t="s">
        <v>4422</v>
      </c>
      <c r="C2027" t="s">
        <v>4423</v>
      </c>
      <c r="J2027">
        <f>LEN(Table13[[#This Row],[REFERENCE_DESCR1]])</f>
        <v>10</v>
      </c>
    </row>
    <row r="2028" spans="1:10" hidden="1">
      <c r="A2028" t="s">
        <v>2925</v>
      </c>
      <c r="B2028" t="s">
        <v>4424</v>
      </c>
      <c r="C2028" t="s">
        <v>4425</v>
      </c>
      <c r="J2028">
        <f>LEN(Table13[[#This Row],[REFERENCE_DESCR1]])</f>
        <v>16</v>
      </c>
    </row>
    <row r="2029" spans="1:10" hidden="1">
      <c r="A2029" t="s">
        <v>2925</v>
      </c>
      <c r="B2029" t="s">
        <v>4426</v>
      </c>
      <c r="C2029" t="s">
        <v>4427</v>
      </c>
      <c r="J2029">
        <f>LEN(Table13[[#This Row],[REFERENCE_DESCR1]])</f>
        <v>5</v>
      </c>
    </row>
    <row r="2030" spans="1:10" hidden="1">
      <c r="A2030" t="s">
        <v>2925</v>
      </c>
      <c r="B2030" t="s">
        <v>4428</v>
      </c>
      <c r="C2030" t="s">
        <v>4429</v>
      </c>
      <c r="J2030">
        <f>LEN(Table13[[#This Row],[REFERENCE_DESCR1]])</f>
        <v>9</v>
      </c>
    </row>
    <row r="2031" spans="1:10" hidden="1">
      <c r="A2031" t="s">
        <v>2925</v>
      </c>
      <c r="B2031" t="s">
        <v>4430</v>
      </c>
      <c r="C2031" t="s">
        <v>4431</v>
      </c>
      <c r="J2031">
        <f>LEN(Table13[[#This Row],[REFERENCE_DESCR1]])</f>
        <v>40</v>
      </c>
    </row>
    <row r="2032" spans="1:10" hidden="1">
      <c r="A2032" t="s">
        <v>2925</v>
      </c>
      <c r="B2032" t="s">
        <v>4432</v>
      </c>
      <c r="C2032" t="s">
        <v>4433</v>
      </c>
      <c r="J2032">
        <f>LEN(Table13[[#This Row],[REFERENCE_DESCR1]])</f>
        <v>38</v>
      </c>
    </row>
    <row r="2033" spans="1:10" hidden="1">
      <c r="A2033" t="s">
        <v>2925</v>
      </c>
      <c r="B2033" t="s">
        <v>4434</v>
      </c>
      <c r="C2033" t="s">
        <v>4435</v>
      </c>
      <c r="J2033">
        <f>LEN(Table13[[#This Row],[REFERENCE_DESCR1]])</f>
        <v>27</v>
      </c>
    </row>
    <row r="2034" spans="1:10" hidden="1">
      <c r="A2034" t="s">
        <v>2925</v>
      </c>
      <c r="B2034" t="s">
        <v>4436</v>
      </c>
      <c r="C2034" t="s">
        <v>4437</v>
      </c>
      <c r="J2034">
        <f>LEN(Table13[[#This Row],[REFERENCE_DESCR1]])</f>
        <v>26</v>
      </c>
    </row>
    <row r="2035" spans="1:10" hidden="1">
      <c r="A2035" t="s">
        <v>2925</v>
      </c>
      <c r="B2035" t="s">
        <v>4438</v>
      </c>
      <c r="C2035" t="s">
        <v>4439</v>
      </c>
      <c r="J2035">
        <f>LEN(Table13[[#This Row],[REFERENCE_DESCR1]])</f>
        <v>26</v>
      </c>
    </row>
    <row r="2036" spans="1:10" hidden="1">
      <c r="A2036" t="s">
        <v>2925</v>
      </c>
      <c r="B2036" t="s">
        <v>4440</v>
      </c>
      <c r="C2036" t="s">
        <v>4441</v>
      </c>
      <c r="J2036">
        <f>LEN(Table13[[#This Row],[REFERENCE_DESCR1]])</f>
        <v>27</v>
      </c>
    </row>
    <row r="2037" spans="1:10" hidden="1">
      <c r="A2037" t="s">
        <v>2925</v>
      </c>
      <c r="B2037" t="s">
        <v>4442</v>
      </c>
      <c r="C2037" t="s">
        <v>4443</v>
      </c>
      <c r="J2037">
        <f>LEN(Table13[[#This Row],[REFERENCE_DESCR1]])</f>
        <v>40</v>
      </c>
    </row>
    <row r="2038" spans="1:10" hidden="1">
      <c r="A2038" t="s">
        <v>2925</v>
      </c>
      <c r="B2038" t="s">
        <v>4444</v>
      </c>
      <c r="C2038" t="s">
        <v>4445</v>
      </c>
      <c r="J2038">
        <f>LEN(Table13[[#This Row],[REFERENCE_DESCR1]])</f>
        <v>9</v>
      </c>
    </row>
    <row r="2039" spans="1:10" hidden="1">
      <c r="A2039" t="s">
        <v>2925</v>
      </c>
      <c r="B2039" t="s">
        <v>4446</v>
      </c>
      <c r="C2039" t="s">
        <v>4447</v>
      </c>
      <c r="J2039">
        <f>LEN(Table13[[#This Row],[REFERENCE_DESCR1]])</f>
        <v>5</v>
      </c>
    </row>
    <row r="2040" spans="1:10" hidden="1">
      <c r="A2040" t="s">
        <v>2925</v>
      </c>
      <c r="B2040" t="s">
        <v>4448</v>
      </c>
      <c r="C2040" t="s">
        <v>4449</v>
      </c>
      <c r="J2040">
        <f>LEN(Table13[[#This Row],[REFERENCE_DESCR1]])</f>
        <v>17</v>
      </c>
    </row>
    <row r="2041" spans="1:10" hidden="1">
      <c r="A2041" t="s">
        <v>2925</v>
      </c>
      <c r="B2041" t="s">
        <v>4450</v>
      </c>
      <c r="C2041" t="s">
        <v>1623</v>
      </c>
      <c r="J2041">
        <f>LEN(Table13[[#This Row],[REFERENCE_DESCR1]])</f>
        <v>6</v>
      </c>
    </row>
    <row r="2042" spans="1:10" hidden="1">
      <c r="A2042" t="s">
        <v>2925</v>
      </c>
      <c r="B2042" t="s">
        <v>4451</v>
      </c>
      <c r="C2042" t="s">
        <v>4452</v>
      </c>
      <c r="J2042">
        <f>LEN(Table13[[#This Row],[REFERENCE_DESCR1]])</f>
        <v>10</v>
      </c>
    </row>
    <row r="2043" spans="1:10" hidden="1">
      <c r="A2043" t="s">
        <v>2925</v>
      </c>
      <c r="B2043" t="s">
        <v>4453</v>
      </c>
      <c r="C2043" t="s">
        <v>4454</v>
      </c>
      <c r="J2043">
        <f>LEN(Table13[[#This Row],[REFERENCE_DESCR1]])</f>
        <v>11</v>
      </c>
    </row>
    <row r="2044" spans="1:10" hidden="1">
      <c r="A2044" t="s">
        <v>2925</v>
      </c>
      <c r="B2044" t="s">
        <v>4455</v>
      </c>
      <c r="C2044" t="s">
        <v>4456</v>
      </c>
      <c r="J2044">
        <f>LEN(Table13[[#This Row],[REFERENCE_DESCR1]])</f>
        <v>11</v>
      </c>
    </row>
    <row r="2045" spans="1:10" hidden="1">
      <c r="A2045" t="s">
        <v>2925</v>
      </c>
      <c r="B2045" t="s">
        <v>4457</v>
      </c>
      <c r="C2045" t="s">
        <v>4458</v>
      </c>
      <c r="J2045">
        <f>LEN(Table13[[#This Row],[REFERENCE_DESCR1]])</f>
        <v>15</v>
      </c>
    </row>
    <row r="2046" spans="1:10" hidden="1">
      <c r="A2046" t="s">
        <v>2925</v>
      </c>
      <c r="B2046" t="s">
        <v>4459</v>
      </c>
      <c r="C2046" t="s">
        <v>4460</v>
      </c>
      <c r="J2046">
        <f>LEN(Table13[[#This Row],[REFERENCE_DESCR1]])</f>
        <v>14</v>
      </c>
    </row>
    <row r="2047" spans="1:10" hidden="1">
      <c r="A2047" t="s">
        <v>2925</v>
      </c>
      <c r="B2047" t="s">
        <v>4461</v>
      </c>
      <c r="C2047" t="s">
        <v>4462</v>
      </c>
      <c r="J2047">
        <f>LEN(Table13[[#This Row],[REFERENCE_DESCR1]])</f>
        <v>7</v>
      </c>
    </row>
    <row r="2048" spans="1:10" hidden="1">
      <c r="A2048" t="s">
        <v>2925</v>
      </c>
      <c r="B2048" t="s">
        <v>4463</v>
      </c>
      <c r="C2048" t="s">
        <v>4464</v>
      </c>
      <c r="J2048">
        <f>LEN(Table13[[#This Row],[REFERENCE_DESCR1]])</f>
        <v>23</v>
      </c>
    </row>
    <row r="2049" spans="1:10" hidden="1">
      <c r="A2049" t="s">
        <v>2925</v>
      </c>
      <c r="B2049" t="s">
        <v>4465</v>
      </c>
      <c r="C2049" t="s">
        <v>4466</v>
      </c>
      <c r="J2049">
        <f>LEN(Table13[[#This Row],[REFERENCE_DESCR1]])</f>
        <v>10</v>
      </c>
    </row>
    <row r="2050" spans="1:10" hidden="1">
      <c r="A2050" t="s">
        <v>2925</v>
      </c>
      <c r="B2050" t="s">
        <v>4467</v>
      </c>
      <c r="C2050" t="s">
        <v>4468</v>
      </c>
      <c r="J2050">
        <f>LEN(Table13[[#This Row],[REFERENCE_DESCR1]])</f>
        <v>16</v>
      </c>
    </row>
    <row r="2051" spans="1:10" hidden="1">
      <c r="A2051" t="s">
        <v>2925</v>
      </c>
      <c r="B2051" t="s">
        <v>4469</v>
      </c>
      <c r="C2051" t="s">
        <v>4470</v>
      </c>
      <c r="J2051">
        <f>LEN(Table13[[#This Row],[REFERENCE_DESCR1]])</f>
        <v>15</v>
      </c>
    </row>
    <row r="2052" spans="1:10" hidden="1">
      <c r="A2052" t="s">
        <v>2925</v>
      </c>
      <c r="B2052" t="s">
        <v>4471</v>
      </c>
      <c r="C2052" t="s">
        <v>4472</v>
      </c>
      <c r="J2052">
        <f>LEN(Table13[[#This Row],[REFERENCE_DESCR1]])</f>
        <v>13</v>
      </c>
    </row>
    <row r="2053" spans="1:10" hidden="1">
      <c r="A2053" t="s">
        <v>2925</v>
      </c>
      <c r="B2053" t="s">
        <v>4473</v>
      </c>
      <c r="C2053" t="s">
        <v>4474</v>
      </c>
      <c r="J2053">
        <f>LEN(Table13[[#This Row],[REFERENCE_DESCR1]])</f>
        <v>25</v>
      </c>
    </row>
    <row r="2054" spans="1:10" hidden="1">
      <c r="A2054" t="s">
        <v>2925</v>
      </c>
      <c r="B2054" t="s">
        <v>4475</v>
      </c>
      <c r="C2054" t="s">
        <v>4476</v>
      </c>
      <c r="J2054">
        <f>LEN(Table13[[#This Row],[REFERENCE_DESCR1]])</f>
        <v>34</v>
      </c>
    </row>
    <row r="2055" spans="1:10" hidden="1">
      <c r="A2055" t="s">
        <v>2925</v>
      </c>
      <c r="B2055" t="s">
        <v>4477</v>
      </c>
      <c r="C2055" t="s">
        <v>4478</v>
      </c>
      <c r="J2055">
        <f>LEN(Table13[[#This Row],[REFERENCE_DESCR1]])</f>
        <v>9</v>
      </c>
    </row>
    <row r="2056" spans="1:10" hidden="1">
      <c r="A2056" t="s">
        <v>2925</v>
      </c>
      <c r="B2056" t="s">
        <v>4479</v>
      </c>
      <c r="C2056" t="s">
        <v>4480</v>
      </c>
      <c r="J2056">
        <f>LEN(Table13[[#This Row],[REFERENCE_DESCR1]])</f>
        <v>19</v>
      </c>
    </row>
    <row r="2057" spans="1:10" hidden="1">
      <c r="A2057" t="s">
        <v>2925</v>
      </c>
      <c r="B2057" t="s">
        <v>4481</v>
      </c>
      <c r="C2057" t="s">
        <v>4482</v>
      </c>
      <c r="J2057">
        <f>LEN(Table13[[#This Row],[REFERENCE_DESCR1]])</f>
        <v>34</v>
      </c>
    </row>
    <row r="2058" spans="1:10" hidden="1">
      <c r="A2058" t="s">
        <v>2925</v>
      </c>
      <c r="B2058" t="s">
        <v>4483</v>
      </c>
      <c r="C2058" t="s">
        <v>4484</v>
      </c>
      <c r="J2058">
        <f>LEN(Table13[[#This Row],[REFERENCE_DESCR1]])</f>
        <v>37</v>
      </c>
    </row>
    <row r="2059" spans="1:10" hidden="1">
      <c r="A2059" t="s">
        <v>2925</v>
      </c>
      <c r="B2059" t="s">
        <v>4485</v>
      </c>
      <c r="C2059" t="s">
        <v>4486</v>
      </c>
      <c r="J2059">
        <f>LEN(Table13[[#This Row],[REFERENCE_DESCR1]])</f>
        <v>18</v>
      </c>
    </row>
    <row r="2060" spans="1:10" hidden="1">
      <c r="A2060" t="s">
        <v>2925</v>
      </c>
      <c r="B2060" t="s">
        <v>4487</v>
      </c>
      <c r="C2060" t="s">
        <v>4488</v>
      </c>
      <c r="J2060">
        <f>LEN(Table13[[#This Row],[REFERENCE_DESCR1]])</f>
        <v>11</v>
      </c>
    </row>
    <row r="2061" spans="1:10" hidden="1">
      <c r="A2061" t="s">
        <v>2925</v>
      </c>
      <c r="B2061" t="s">
        <v>4489</v>
      </c>
      <c r="C2061" t="s">
        <v>4490</v>
      </c>
      <c r="J2061">
        <f>LEN(Table13[[#This Row],[REFERENCE_DESCR1]])</f>
        <v>9</v>
      </c>
    </row>
    <row r="2062" spans="1:10" hidden="1">
      <c r="A2062" t="s">
        <v>2925</v>
      </c>
      <c r="B2062" t="s">
        <v>4491</v>
      </c>
      <c r="C2062" t="s">
        <v>4492</v>
      </c>
      <c r="J2062">
        <f>LEN(Table13[[#This Row],[REFERENCE_DESCR1]])</f>
        <v>5</v>
      </c>
    </row>
    <row r="2063" spans="1:10" hidden="1">
      <c r="A2063" t="s">
        <v>2925</v>
      </c>
      <c r="B2063" t="s">
        <v>4493</v>
      </c>
      <c r="C2063" t="s">
        <v>4494</v>
      </c>
      <c r="J2063">
        <f>LEN(Table13[[#This Row],[REFERENCE_DESCR1]])</f>
        <v>17</v>
      </c>
    </row>
    <row r="2064" spans="1:10" hidden="1">
      <c r="A2064" t="s">
        <v>2925</v>
      </c>
      <c r="B2064" t="s">
        <v>4495</v>
      </c>
      <c r="C2064" t="s">
        <v>4496</v>
      </c>
      <c r="J2064">
        <f>LEN(Table13[[#This Row],[REFERENCE_DESCR1]])</f>
        <v>11</v>
      </c>
    </row>
    <row r="2065" spans="1:10" hidden="1">
      <c r="A2065" t="s">
        <v>2925</v>
      </c>
      <c r="B2065" t="s">
        <v>4497</v>
      </c>
      <c r="C2065" t="s">
        <v>4498</v>
      </c>
      <c r="J2065">
        <f>LEN(Table13[[#This Row],[REFERENCE_DESCR1]])</f>
        <v>8</v>
      </c>
    </row>
    <row r="2066" spans="1:10" hidden="1">
      <c r="A2066" t="s">
        <v>2925</v>
      </c>
      <c r="B2066" t="s">
        <v>4499</v>
      </c>
      <c r="C2066" t="s">
        <v>4500</v>
      </c>
      <c r="J2066">
        <f>LEN(Table13[[#This Row],[REFERENCE_DESCR1]])</f>
        <v>8</v>
      </c>
    </row>
    <row r="2067" spans="1:10" hidden="1">
      <c r="A2067" t="s">
        <v>2925</v>
      </c>
      <c r="B2067" t="s">
        <v>4501</v>
      </c>
      <c r="C2067" t="s">
        <v>4502</v>
      </c>
      <c r="J2067">
        <f>LEN(Table13[[#This Row],[REFERENCE_DESCR1]])</f>
        <v>5</v>
      </c>
    </row>
    <row r="2068" spans="1:10" hidden="1">
      <c r="A2068" t="s">
        <v>2925</v>
      </c>
      <c r="B2068" t="s">
        <v>4503</v>
      </c>
      <c r="C2068" t="s">
        <v>4504</v>
      </c>
      <c r="J2068">
        <f>LEN(Table13[[#This Row],[REFERENCE_DESCR1]])</f>
        <v>29</v>
      </c>
    </row>
    <row r="2069" spans="1:10" hidden="1">
      <c r="A2069" t="s">
        <v>2925</v>
      </c>
      <c r="B2069" t="s">
        <v>4505</v>
      </c>
      <c r="C2069" t="s">
        <v>4506</v>
      </c>
      <c r="J2069">
        <f>LEN(Table13[[#This Row],[REFERENCE_DESCR1]])</f>
        <v>32</v>
      </c>
    </row>
    <row r="2070" spans="1:10" hidden="1">
      <c r="A2070" t="s">
        <v>2925</v>
      </c>
      <c r="B2070" t="s">
        <v>4507</v>
      </c>
      <c r="C2070" t="s">
        <v>4508</v>
      </c>
      <c r="J2070">
        <f>LEN(Table13[[#This Row],[REFERENCE_DESCR1]])</f>
        <v>30</v>
      </c>
    </row>
    <row r="2071" spans="1:10" hidden="1">
      <c r="A2071" t="s">
        <v>2925</v>
      </c>
      <c r="B2071" t="s">
        <v>4509</v>
      </c>
      <c r="C2071" t="s">
        <v>4510</v>
      </c>
      <c r="J2071">
        <f>LEN(Table13[[#This Row],[REFERENCE_DESCR1]])</f>
        <v>37</v>
      </c>
    </row>
    <row r="2072" spans="1:10" hidden="1">
      <c r="A2072" t="s">
        <v>2925</v>
      </c>
      <c r="B2072" t="s">
        <v>4511</v>
      </c>
      <c r="C2072" t="s">
        <v>4512</v>
      </c>
      <c r="J2072">
        <f>LEN(Table13[[#This Row],[REFERENCE_DESCR1]])</f>
        <v>9</v>
      </c>
    </row>
    <row r="2073" spans="1:10" hidden="1">
      <c r="A2073" t="s">
        <v>2925</v>
      </c>
      <c r="B2073" t="s">
        <v>4513</v>
      </c>
      <c r="C2073" t="s">
        <v>4514</v>
      </c>
      <c r="J2073">
        <f>LEN(Table13[[#This Row],[REFERENCE_DESCR1]])</f>
        <v>10</v>
      </c>
    </row>
    <row r="2074" spans="1:10" hidden="1">
      <c r="A2074" t="s">
        <v>2925</v>
      </c>
      <c r="B2074" t="s">
        <v>4515</v>
      </c>
      <c r="C2074" t="s">
        <v>4516</v>
      </c>
      <c r="J2074">
        <f>LEN(Table13[[#This Row],[REFERENCE_DESCR1]])</f>
        <v>10</v>
      </c>
    </row>
    <row r="2075" spans="1:10" hidden="1">
      <c r="A2075" t="s">
        <v>2925</v>
      </c>
      <c r="B2075" t="s">
        <v>4517</v>
      </c>
      <c r="C2075" t="s">
        <v>4518</v>
      </c>
      <c r="J2075">
        <f>LEN(Table13[[#This Row],[REFERENCE_DESCR1]])</f>
        <v>22</v>
      </c>
    </row>
    <row r="2076" spans="1:10" hidden="1">
      <c r="A2076" t="s">
        <v>2925</v>
      </c>
      <c r="B2076" t="s">
        <v>4519</v>
      </c>
      <c r="C2076" t="s">
        <v>4520</v>
      </c>
      <c r="J2076">
        <f>LEN(Table13[[#This Row],[REFERENCE_DESCR1]])</f>
        <v>16</v>
      </c>
    </row>
    <row r="2077" spans="1:10" hidden="1">
      <c r="A2077" t="s">
        <v>2925</v>
      </c>
      <c r="B2077" t="s">
        <v>4521</v>
      </c>
      <c r="C2077" t="s">
        <v>4522</v>
      </c>
      <c r="J2077">
        <f>LEN(Table13[[#This Row],[REFERENCE_DESCR1]])</f>
        <v>6</v>
      </c>
    </row>
    <row r="2078" spans="1:10" hidden="1">
      <c r="A2078" t="s">
        <v>2925</v>
      </c>
      <c r="B2078" t="s">
        <v>4523</v>
      </c>
      <c r="C2078" t="s">
        <v>4524</v>
      </c>
      <c r="J2078">
        <f>LEN(Table13[[#This Row],[REFERENCE_DESCR1]])</f>
        <v>7</v>
      </c>
    </row>
    <row r="2079" spans="1:10" hidden="1">
      <c r="A2079" t="s">
        <v>2925</v>
      </c>
      <c r="B2079" t="s">
        <v>4525</v>
      </c>
      <c r="C2079" t="s">
        <v>4526</v>
      </c>
      <c r="J2079">
        <f>LEN(Table13[[#This Row],[REFERENCE_DESCR1]])</f>
        <v>14</v>
      </c>
    </row>
    <row r="2080" spans="1:10" hidden="1">
      <c r="A2080" t="s">
        <v>2925</v>
      </c>
      <c r="B2080" t="s">
        <v>4527</v>
      </c>
      <c r="C2080" t="s">
        <v>4528</v>
      </c>
      <c r="J2080">
        <f>LEN(Table13[[#This Row],[REFERENCE_DESCR1]])</f>
        <v>6</v>
      </c>
    </row>
    <row r="2081" spans="1:10" hidden="1">
      <c r="A2081" t="s">
        <v>2925</v>
      </c>
      <c r="B2081" t="s">
        <v>4529</v>
      </c>
      <c r="C2081" t="s">
        <v>4530</v>
      </c>
      <c r="J2081">
        <f>LEN(Table13[[#This Row],[REFERENCE_DESCR1]])</f>
        <v>9</v>
      </c>
    </row>
    <row r="2082" spans="1:10" hidden="1">
      <c r="A2082" t="s">
        <v>2925</v>
      </c>
      <c r="B2082" t="s">
        <v>4531</v>
      </c>
      <c r="C2082" t="s">
        <v>4532</v>
      </c>
      <c r="J2082">
        <f>LEN(Table13[[#This Row],[REFERENCE_DESCR1]])</f>
        <v>7</v>
      </c>
    </row>
    <row r="2083" spans="1:10" hidden="1">
      <c r="A2083" t="s">
        <v>2925</v>
      </c>
      <c r="B2083" t="s">
        <v>4533</v>
      </c>
      <c r="C2083" t="s">
        <v>4534</v>
      </c>
      <c r="J2083">
        <f>LEN(Table13[[#This Row],[REFERENCE_DESCR1]])</f>
        <v>11</v>
      </c>
    </row>
    <row r="2084" spans="1:10" hidden="1">
      <c r="A2084" t="s">
        <v>2925</v>
      </c>
      <c r="B2084" t="s">
        <v>4535</v>
      </c>
      <c r="C2084" t="s">
        <v>4536</v>
      </c>
      <c r="J2084">
        <f>LEN(Table13[[#This Row],[REFERENCE_DESCR1]])</f>
        <v>10</v>
      </c>
    </row>
    <row r="2085" spans="1:10" hidden="1">
      <c r="A2085" t="s">
        <v>2925</v>
      </c>
      <c r="B2085" t="s">
        <v>4537</v>
      </c>
      <c r="C2085" t="s">
        <v>4538</v>
      </c>
      <c r="J2085">
        <f>LEN(Table13[[#This Row],[REFERENCE_DESCR1]])</f>
        <v>8</v>
      </c>
    </row>
    <row r="2086" spans="1:10" hidden="1">
      <c r="A2086" t="s">
        <v>2925</v>
      </c>
      <c r="B2086" t="s">
        <v>4539</v>
      </c>
      <c r="C2086" t="s">
        <v>4540</v>
      </c>
      <c r="J2086">
        <f>LEN(Table13[[#This Row],[REFERENCE_DESCR1]])</f>
        <v>11</v>
      </c>
    </row>
    <row r="2087" spans="1:10" hidden="1">
      <c r="A2087" t="s">
        <v>2925</v>
      </c>
      <c r="B2087" t="s">
        <v>4541</v>
      </c>
      <c r="C2087" t="s">
        <v>4542</v>
      </c>
      <c r="J2087">
        <f>LEN(Table13[[#This Row],[REFERENCE_DESCR1]])</f>
        <v>24</v>
      </c>
    </row>
    <row r="2088" spans="1:10" hidden="1">
      <c r="A2088" t="s">
        <v>2925</v>
      </c>
      <c r="B2088" t="s">
        <v>4543</v>
      </c>
      <c r="C2088" t="s">
        <v>4544</v>
      </c>
      <c r="J2088">
        <f>LEN(Table13[[#This Row],[REFERENCE_DESCR1]])</f>
        <v>15</v>
      </c>
    </row>
    <row r="2089" spans="1:10" hidden="1">
      <c r="A2089" t="s">
        <v>2925</v>
      </c>
      <c r="B2089" t="s">
        <v>4545</v>
      </c>
      <c r="C2089" t="s">
        <v>4546</v>
      </c>
      <c r="J2089">
        <f>LEN(Table13[[#This Row],[REFERENCE_DESCR1]])</f>
        <v>23</v>
      </c>
    </row>
    <row r="2090" spans="1:10" hidden="1">
      <c r="A2090" t="s">
        <v>2925</v>
      </c>
      <c r="B2090" t="s">
        <v>4547</v>
      </c>
      <c r="C2090" t="s">
        <v>4548</v>
      </c>
      <c r="J2090">
        <f>LEN(Table13[[#This Row],[REFERENCE_DESCR1]])</f>
        <v>24</v>
      </c>
    </row>
    <row r="2091" spans="1:10" hidden="1">
      <c r="A2091" t="s">
        <v>2925</v>
      </c>
      <c r="B2091" t="s">
        <v>4549</v>
      </c>
      <c r="C2091" t="s">
        <v>4550</v>
      </c>
      <c r="J2091">
        <f>LEN(Table13[[#This Row],[REFERENCE_DESCR1]])</f>
        <v>8</v>
      </c>
    </row>
    <row r="2092" spans="1:10" hidden="1">
      <c r="A2092" t="s">
        <v>2925</v>
      </c>
      <c r="B2092" t="s">
        <v>4551</v>
      </c>
      <c r="C2092" t="s">
        <v>4552</v>
      </c>
      <c r="J2092">
        <f>LEN(Table13[[#This Row],[REFERENCE_DESCR1]])</f>
        <v>12</v>
      </c>
    </row>
    <row r="2093" spans="1:10" hidden="1">
      <c r="A2093" t="s">
        <v>2925</v>
      </c>
      <c r="B2093" t="s">
        <v>4553</v>
      </c>
      <c r="C2093" t="s">
        <v>4554</v>
      </c>
      <c r="J2093">
        <f>LEN(Table13[[#This Row],[REFERENCE_DESCR1]])</f>
        <v>24</v>
      </c>
    </row>
    <row r="2094" spans="1:10" hidden="1">
      <c r="A2094" t="s">
        <v>2925</v>
      </c>
      <c r="B2094" t="s">
        <v>4555</v>
      </c>
      <c r="C2094" t="s">
        <v>4554</v>
      </c>
      <c r="J2094">
        <f>LEN(Table13[[#This Row],[REFERENCE_DESCR1]])</f>
        <v>24</v>
      </c>
    </row>
    <row r="2095" spans="1:10" hidden="1">
      <c r="A2095" t="s">
        <v>2925</v>
      </c>
      <c r="B2095" t="s">
        <v>4556</v>
      </c>
      <c r="C2095" t="s">
        <v>4557</v>
      </c>
      <c r="J2095">
        <f>LEN(Table13[[#This Row],[REFERENCE_DESCR1]])</f>
        <v>23</v>
      </c>
    </row>
    <row r="2096" spans="1:10" hidden="1">
      <c r="A2096" t="s">
        <v>2925</v>
      </c>
      <c r="B2096" t="s">
        <v>4558</v>
      </c>
      <c r="C2096" t="s">
        <v>4559</v>
      </c>
      <c r="J2096">
        <f>LEN(Table13[[#This Row],[REFERENCE_DESCR1]])</f>
        <v>12</v>
      </c>
    </row>
    <row r="2097" spans="1:10" hidden="1">
      <c r="A2097" t="s">
        <v>2925</v>
      </c>
      <c r="B2097" t="s">
        <v>4560</v>
      </c>
      <c r="C2097" t="s">
        <v>4561</v>
      </c>
      <c r="J2097">
        <f>LEN(Table13[[#This Row],[REFERENCE_DESCR1]])</f>
        <v>30</v>
      </c>
    </row>
    <row r="2098" spans="1:10" hidden="1">
      <c r="A2098" t="s">
        <v>2925</v>
      </c>
      <c r="B2098" t="s">
        <v>4562</v>
      </c>
      <c r="C2098" t="s">
        <v>4563</v>
      </c>
      <c r="J2098">
        <f>LEN(Table13[[#This Row],[REFERENCE_DESCR1]])</f>
        <v>11</v>
      </c>
    </row>
    <row r="2099" spans="1:10" hidden="1">
      <c r="A2099" t="s">
        <v>2925</v>
      </c>
      <c r="B2099" t="s">
        <v>4564</v>
      </c>
      <c r="C2099" t="s">
        <v>4565</v>
      </c>
      <c r="J2099">
        <f>LEN(Table13[[#This Row],[REFERENCE_DESCR1]])</f>
        <v>7</v>
      </c>
    </row>
    <row r="2100" spans="1:10" hidden="1">
      <c r="A2100" t="s">
        <v>2925</v>
      </c>
      <c r="B2100" t="s">
        <v>4566</v>
      </c>
      <c r="C2100" t="s">
        <v>4567</v>
      </c>
      <c r="J2100">
        <f>LEN(Table13[[#This Row],[REFERENCE_DESCR1]])</f>
        <v>8</v>
      </c>
    </row>
    <row r="2101" spans="1:10" hidden="1">
      <c r="A2101" t="s">
        <v>2925</v>
      </c>
      <c r="B2101" t="s">
        <v>4568</v>
      </c>
      <c r="C2101" t="s">
        <v>4569</v>
      </c>
      <c r="J2101">
        <f>LEN(Table13[[#This Row],[REFERENCE_DESCR1]])</f>
        <v>8</v>
      </c>
    </row>
    <row r="2102" spans="1:10" hidden="1">
      <c r="A2102" t="s">
        <v>2925</v>
      </c>
      <c r="B2102" t="s">
        <v>4570</v>
      </c>
      <c r="C2102" t="s">
        <v>4571</v>
      </c>
      <c r="J2102">
        <f>LEN(Table13[[#This Row],[REFERENCE_DESCR1]])</f>
        <v>14</v>
      </c>
    </row>
    <row r="2103" spans="1:10" hidden="1">
      <c r="A2103" t="s">
        <v>2925</v>
      </c>
      <c r="B2103" t="s">
        <v>4572</v>
      </c>
      <c r="C2103" t="s">
        <v>4573</v>
      </c>
      <c r="J2103">
        <f>LEN(Table13[[#This Row],[REFERENCE_DESCR1]])</f>
        <v>7</v>
      </c>
    </row>
    <row r="2104" spans="1:10" hidden="1">
      <c r="A2104" t="s">
        <v>2925</v>
      </c>
      <c r="B2104" t="s">
        <v>4574</v>
      </c>
      <c r="C2104" t="s">
        <v>4575</v>
      </c>
      <c r="J2104">
        <f>LEN(Table13[[#This Row],[REFERENCE_DESCR1]])</f>
        <v>16</v>
      </c>
    </row>
    <row r="2105" spans="1:10" hidden="1">
      <c r="A2105" t="s">
        <v>2925</v>
      </c>
      <c r="B2105" t="s">
        <v>4576</v>
      </c>
      <c r="C2105" t="s">
        <v>4577</v>
      </c>
      <c r="J2105">
        <f>LEN(Table13[[#This Row],[REFERENCE_DESCR1]])</f>
        <v>9</v>
      </c>
    </row>
    <row r="2106" spans="1:10" hidden="1">
      <c r="A2106" t="s">
        <v>2925</v>
      </c>
      <c r="B2106" t="s">
        <v>4578</v>
      </c>
      <c r="C2106" t="s">
        <v>4579</v>
      </c>
      <c r="J2106">
        <f>LEN(Table13[[#This Row],[REFERENCE_DESCR1]])</f>
        <v>11</v>
      </c>
    </row>
    <row r="2107" spans="1:10" hidden="1">
      <c r="A2107" t="s">
        <v>2925</v>
      </c>
      <c r="B2107" t="s">
        <v>4580</v>
      </c>
      <c r="C2107" t="s">
        <v>4581</v>
      </c>
      <c r="J2107">
        <f>LEN(Table13[[#This Row],[REFERENCE_DESCR1]])</f>
        <v>22</v>
      </c>
    </row>
    <row r="2108" spans="1:10" hidden="1">
      <c r="A2108" t="s">
        <v>2925</v>
      </c>
      <c r="B2108" t="s">
        <v>4582</v>
      </c>
      <c r="C2108" t="s">
        <v>4583</v>
      </c>
      <c r="J2108">
        <f>LEN(Table13[[#This Row],[REFERENCE_DESCR1]])</f>
        <v>21</v>
      </c>
    </row>
    <row r="2109" spans="1:10" hidden="1">
      <c r="A2109" t="s">
        <v>2925</v>
      </c>
      <c r="B2109" t="s">
        <v>4584</v>
      </c>
      <c r="C2109" t="s">
        <v>4585</v>
      </c>
      <c r="J2109">
        <f>LEN(Table13[[#This Row],[REFERENCE_DESCR1]])</f>
        <v>30</v>
      </c>
    </row>
    <row r="2110" spans="1:10" hidden="1">
      <c r="A2110" t="s">
        <v>2925</v>
      </c>
      <c r="B2110" t="s">
        <v>4586</v>
      </c>
      <c r="C2110" t="s">
        <v>4587</v>
      </c>
      <c r="J2110">
        <f>LEN(Table13[[#This Row],[REFERENCE_DESCR1]])</f>
        <v>13</v>
      </c>
    </row>
    <row r="2111" spans="1:10" hidden="1">
      <c r="A2111" t="s">
        <v>2925</v>
      </c>
      <c r="B2111" t="s">
        <v>4588</v>
      </c>
      <c r="C2111" t="s">
        <v>4589</v>
      </c>
      <c r="J2111">
        <f>LEN(Table13[[#This Row],[REFERENCE_DESCR1]])</f>
        <v>8</v>
      </c>
    </row>
    <row r="2112" spans="1:10" hidden="1">
      <c r="A2112" t="s">
        <v>2925</v>
      </c>
      <c r="B2112" t="s">
        <v>4590</v>
      </c>
      <c r="C2112" t="s">
        <v>4591</v>
      </c>
      <c r="J2112">
        <f>LEN(Table13[[#This Row],[REFERENCE_DESCR1]])</f>
        <v>15</v>
      </c>
    </row>
    <row r="2113" spans="1:10" hidden="1">
      <c r="A2113" t="s">
        <v>2925</v>
      </c>
      <c r="B2113" t="s">
        <v>4592</v>
      </c>
      <c r="C2113" t="s">
        <v>4593</v>
      </c>
      <c r="J2113">
        <f>LEN(Table13[[#This Row],[REFERENCE_DESCR1]])</f>
        <v>9</v>
      </c>
    </row>
    <row r="2114" spans="1:10" hidden="1">
      <c r="A2114" t="s">
        <v>2925</v>
      </c>
      <c r="B2114" t="s">
        <v>4594</v>
      </c>
      <c r="C2114" t="s">
        <v>4595</v>
      </c>
      <c r="J2114">
        <f>LEN(Table13[[#This Row],[REFERENCE_DESCR1]])</f>
        <v>7</v>
      </c>
    </row>
    <row r="2115" spans="1:10" hidden="1">
      <c r="A2115" t="s">
        <v>2925</v>
      </c>
      <c r="B2115" t="s">
        <v>4596</v>
      </c>
      <c r="C2115" t="s">
        <v>4597</v>
      </c>
      <c r="J2115">
        <f>LEN(Table13[[#This Row],[REFERENCE_DESCR1]])</f>
        <v>9</v>
      </c>
    </row>
    <row r="2116" spans="1:10" hidden="1">
      <c r="A2116" t="s">
        <v>2925</v>
      </c>
      <c r="B2116" t="s">
        <v>4598</v>
      </c>
      <c r="C2116" t="s">
        <v>4599</v>
      </c>
      <c r="J2116">
        <f>LEN(Table13[[#This Row],[REFERENCE_DESCR1]])</f>
        <v>6</v>
      </c>
    </row>
    <row r="2117" spans="1:10" hidden="1">
      <c r="A2117" t="s">
        <v>2925</v>
      </c>
      <c r="B2117" t="s">
        <v>4600</v>
      </c>
      <c r="C2117" t="s">
        <v>4601</v>
      </c>
      <c r="J2117">
        <f>LEN(Table13[[#This Row],[REFERENCE_DESCR1]])</f>
        <v>7</v>
      </c>
    </row>
    <row r="2118" spans="1:10" hidden="1">
      <c r="A2118" t="s">
        <v>2925</v>
      </c>
      <c r="B2118" t="s">
        <v>4602</v>
      </c>
      <c r="C2118" t="s">
        <v>4603</v>
      </c>
      <c r="J2118">
        <f>LEN(Table13[[#This Row],[REFERENCE_DESCR1]])</f>
        <v>10</v>
      </c>
    </row>
    <row r="2119" spans="1:10" hidden="1">
      <c r="A2119" t="s">
        <v>2925</v>
      </c>
      <c r="B2119" t="s">
        <v>4604</v>
      </c>
      <c r="C2119" t="s">
        <v>4605</v>
      </c>
      <c r="J2119">
        <f>LEN(Table13[[#This Row],[REFERENCE_DESCR1]])</f>
        <v>9</v>
      </c>
    </row>
    <row r="2120" spans="1:10" hidden="1">
      <c r="A2120" t="s">
        <v>2925</v>
      </c>
      <c r="B2120" t="s">
        <v>4606</v>
      </c>
      <c r="C2120" t="s">
        <v>4607</v>
      </c>
      <c r="J2120">
        <f>LEN(Table13[[#This Row],[REFERENCE_DESCR1]])</f>
        <v>9</v>
      </c>
    </row>
    <row r="2121" spans="1:10" hidden="1">
      <c r="A2121" t="s">
        <v>2925</v>
      </c>
      <c r="B2121" t="s">
        <v>4608</v>
      </c>
      <c r="C2121" t="s">
        <v>4609</v>
      </c>
      <c r="J2121">
        <f>LEN(Table13[[#This Row],[REFERENCE_DESCR1]])</f>
        <v>10</v>
      </c>
    </row>
    <row r="2122" spans="1:10" hidden="1">
      <c r="A2122" t="s">
        <v>2925</v>
      </c>
      <c r="B2122" t="s">
        <v>4610</v>
      </c>
      <c r="C2122" t="s">
        <v>4611</v>
      </c>
      <c r="J2122">
        <f>LEN(Table13[[#This Row],[REFERENCE_DESCR1]])</f>
        <v>8</v>
      </c>
    </row>
    <row r="2123" spans="1:10" hidden="1">
      <c r="A2123" t="s">
        <v>2925</v>
      </c>
      <c r="B2123" t="s">
        <v>4612</v>
      </c>
      <c r="C2123" t="s">
        <v>4613</v>
      </c>
      <c r="J2123">
        <f>LEN(Table13[[#This Row],[REFERENCE_DESCR1]])</f>
        <v>20</v>
      </c>
    </row>
    <row r="2124" spans="1:10" hidden="1">
      <c r="A2124" t="s">
        <v>2925</v>
      </c>
      <c r="B2124" t="s">
        <v>4614</v>
      </c>
      <c r="C2124" t="s">
        <v>4615</v>
      </c>
      <c r="J2124">
        <f>LEN(Table13[[#This Row],[REFERENCE_DESCR1]])</f>
        <v>7</v>
      </c>
    </row>
    <row r="2125" spans="1:10" hidden="1">
      <c r="A2125" t="s">
        <v>2925</v>
      </c>
      <c r="B2125" t="s">
        <v>4616</v>
      </c>
      <c r="C2125" t="s">
        <v>4617</v>
      </c>
      <c r="J2125">
        <f>LEN(Table13[[#This Row],[REFERENCE_DESCR1]])</f>
        <v>10</v>
      </c>
    </row>
    <row r="2126" spans="1:10" hidden="1">
      <c r="A2126" t="s">
        <v>2925</v>
      </c>
      <c r="B2126" t="s">
        <v>4618</v>
      </c>
      <c r="C2126" t="s">
        <v>4619</v>
      </c>
      <c r="J2126">
        <f>LEN(Table13[[#This Row],[REFERENCE_DESCR1]])</f>
        <v>12</v>
      </c>
    </row>
    <row r="2127" spans="1:10" hidden="1">
      <c r="A2127" t="s">
        <v>2925</v>
      </c>
      <c r="B2127" t="s">
        <v>4620</v>
      </c>
      <c r="C2127" t="s">
        <v>4621</v>
      </c>
      <c r="J2127">
        <f>LEN(Table13[[#This Row],[REFERENCE_DESCR1]])</f>
        <v>10</v>
      </c>
    </row>
    <row r="2128" spans="1:10" hidden="1">
      <c r="A2128" t="s">
        <v>2925</v>
      </c>
      <c r="B2128" t="s">
        <v>4622</v>
      </c>
      <c r="C2128" t="s">
        <v>4623</v>
      </c>
      <c r="J2128">
        <f>LEN(Table13[[#This Row],[REFERENCE_DESCR1]])</f>
        <v>13</v>
      </c>
    </row>
    <row r="2129" spans="1:10" hidden="1">
      <c r="A2129" t="s">
        <v>2925</v>
      </c>
      <c r="B2129" t="s">
        <v>4624</v>
      </c>
      <c r="C2129" t="s">
        <v>4625</v>
      </c>
      <c r="J2129">
        <f>LEN(Table13[[#This Row],[REFERENCE_DESCR1]])</f>
        <v>11</v>
      </c>
    </row>
    <row r="2130" spans="1:10" hidden="1">
      <c r="A2130" t="s">
        <v>2925</v>
      </c>
      <c r="B2130" t="s">
        <v>4626</v>
      </c>
      <c r="C2130" t="s">
        <v>4627</v>
      </c>
      <c r="J2130">
        <f>LEN(Table13[[#This Row],[REFERENCE_DESCR1]])</f>
        <v>7</v>
      </c>
    </row>
    <row r="2131" spans="1:10" hidden="1">
      <c r="A2131" t="s">
        <v>2925</v>
      </c>
      <c r="B2131" t="s">
        <v>4628</v>
      </c>
      <c r="C2131" t="s">
        <v>4629</v>
      </c>
      <c r="J2131">
        <f>LEN(Table13[[#This Row],[REFERENCE_DESCR1]])</f>
        <v>10</v>
      </c>
    </row>
    <row r="2132" spans="1:10" hidden="1">
      <c r="A2132" t="s">
        <v>2925</v>
      </c>
      <c r="B2132" t="s">
        <v>4630</v>
      </c>
      <c r="C2132" t="s">
        <v>4631</v>
      </c>
      <c r="J2132">
        <f>LEN(Table13[[#This Row],[REFERENCE_DESCR1]])</f>
        <v>6</v>
      </c>
    </row>
    <row r="2133" spans="1:10" hidden="1">
      <c r="A2133" t="s">
        <v>2925</v>
      </c>
      <c r="B2133" t="s">
        <v>4632</v>
      </c>
      <c r="C2133" t="s">
        <v>4633</v>
      </c>
      <c r="J2133">
        <f>LEN(Table13[[#This Row],[REFERENCE_DESCR1]])</f>
        <v>4</v>
      </c>
    </row>
    <row r="2134" spans="1:10" hidden="1">
      <c r="A2134" t="s">
        <v>2925</v>
      </c>
      <c r="B2134" t="s">
        <v>4634</v>
      </c>
      <c r="C2134" t="s">
        <v>4635</v>
      </c>
      <c r="J2134">
        <f>LEN(Table13[[#This Row],[REFERENCE_DESCR1]])</f>
        <v>12</v>
      </c>
    </row>
    <row r="2135" spans="1:10" hidden="1">
      <c r="A2135" t="s">
        <v>2925</v>
      </c>
      <c r="B2135" t="s">
        <v>4636</v>
      </c>
      <c r="C2135" t="s">
        <v>4637</v>
      </c>
      <c r="J2135">
        <f>LEN(Table13[[#This Row],[REFERENCE_DESCR1]])</f>
        <v>6</v>
      </c>
    </row>
    <row r="2136" spans="1:10" hidden="1">
      <c r="A2136" t="s">
        <v>2925</v>
      </c>
      <c r="B2136" t="s">
        <v>4638</v>
      </c>
      <c r="C2136" t="s">
        <v>4639</v>
      </c>
      <c r="J2136">
        <f>LEN(Table13[[#This Row],[REFERENCE_DESCR1]])</f>
        <v>5</v>
      </c>
    </row>
    <row r="2137" spans="1:10" hidden="1">
      <c r="A2137" t="s">
        <v>2925</v>
      </c>
      <c r="B2137" t="s">
        <v>4640</v>
      </c>
      <c r="C2137" t="s">
        <v>4641</v>
      </c>
      <c r="J2137">
        <f>LEN(Table13[[#This Row],[REFERENCE_DESCR1]])</f>
        <v>6</v>
      </c>
    </row>
    <row r="2138" spans="1:10" hidden="1">
      <c r="A2138" t="s">
        <v>2925</v>
      </c>
      <c r="B2138" t="s">
        <v>2565</v>
      </c>
      <c r="C2138" t="s">
        <v>4642</v>
      </c>
      <c r="J2138">
        <f>LEN(Table13[[#This Row],[REFERENCE_DESCR1]])</f>
        <v>13</v>
      </c>
    </row>
    <row r="2139" spans="1:10" hidden="1">
      <c r="A2139" t="s">
        <v>2925</v>
      </c>
      <c r="B2139" t="s">
        <v>2821</v>
      </c>
      <c r="C2139" t="s">
        <v>4643</v>
      </c>
      <c r="J2139">
        <f>LEN(Table13[[#This Row],[REFERENCE_DESCR1]])</f>
        <v>17</v>
      </c>
    </row>
    <row r="2140" spans="1:10" hidden="1">
      <c r="A2140" t="s">
        <v>2925</v>
      </c>
      <c r="B2140" t="s">
        <v>4644</v>
      </c>
      <c r="C2140" t="s">
        <v>4645</v>
      </c>
      <c r="J2140">
        <f>LEN(Table13[[#This Row],[REFERENCE_DESCR1]])</f>
        <v>11</v>
      </c>
    </row>
    <row r="2141" spans="1:10" hidden="1">
      <c r="A2141" t="s">
        <v>2925</v>
      </c>
      <c r="B2141" t="s">
        <v>4646</v>
      </c>
      <c r="C2141" t="s">
        <v>4647</v>
      </c>
      <c r="J2141">
        <f>LEN(Table13[[#This Row],[REFERENCE_DESCR1]])</f>
        <v>13</v>
      </c>
    </row>
    <row r="2142" spans="1:10" hidden="1">
      <c r="A2142" t="s">
        <v>2925</v>
      </c>
      <c r="B2142" t="s">
        <v>4648</v>
      </c>
      <c r="C2142" t="s">
        <v>4649</v>
      </c>
      <c r="J2142">
        <f>LEN(Table13[[#This Row],[REFERENCE_DESCR1]])</f>
        <v>18</v>
      </c>
    </row>
    <row r="2143" spans="1:10" hidden="1">
      <c r="A2143" t="s">
        <v>2925</v>
      </c>
      <c r="B2143" t="s">
        <v>4650</v>
      </c>
      <c r="C2143" t="s">
        <v>4651</v>
      </c>
      <c r="J2143">
        <f>LEN(Table13[[#This Row],[REFERENCE_DESCR1]])</f>
        <v>11</v>
      </c>
    </row>
    <row r="2144" spans="1:10" hidden="1">
      <c r="A2144" t="s">
        <v>2925</v>
      </c>
      <c r="B2144" t="s">
        <v>4652</v>
      </c>
      <c r="C2144" t="s">
        <v>4653</v>
      </c>
      <c r="J2144">
        <f>LEN(Table13[[#This Row],[REFERENCE_DESCR1]])</f>
        <v>12</v>
      </c>
    </row>
    <row r="2145" spans="1:10" hidden="1">
      <c r="A2145" t="s">
        <v>2925</v>
      </c>
      <c r="B2145" t="s">
        <v>4654</v>
      </c>
      <c r="C2145" t="s">
        <v>4655</v>
      </c>
      <c r="J2145">
        <f>LEN(Table13[[#This Row],[REFERENCE_DESCR1]])</f>
        <v>13</v>
      </c>
    </row>
    <row r="2146" spans="1:10" hidden="1">
      <c r="A2146" t="s">
        <v>2925</v>
      </c>
      <c r="B2146" t="s">
        <v>4656</v>
      </c>
      <c r="C2146" t="s">
        <v>4657</v>
      </c>
      <c r="J2146">
        <f>LEN(Table13[[#This Row],[REFERENCE_DESCR1]])</f>
        <v>7</v>
      </c>
    </row>
    <row r="2147" spans="1:10" hidden="1">
      <c r="A2147" t="s">
        <v>2925</v>
      </c>
      <c r="B2147" t="s">
        <v>4658</v>
      </c>
      <c r="C2147" t="s">
        <v>4659</v>
      </c>
      <c r="J2147">
        <f>LEN(Table13[[#This Row],[REFERENCE_DESCR1]])</f>
        <v>19</v>
      </c>
    </row>
    <row r="2148" spans="1:10" hidden="1">
      <c r="A2148" t="s">
        <v>2925</v>
      </c>
      <c r="B2148" t="s">
        <v>4660</v>
      </c>
      <c r="C2148" t="s">
        <v>4661</v>
      </c>
      <c r="J2148">
        <f>LEN(Table13[[#This Row],[REFERENCE_DESCR1]])</f>
        <v>6</v>
      </c>
    </row>
    <row r="2149" spans="1:10" hidden="1">
      <c r="A2149" t="s">
        <v>2925</v>
      </c>
      <c r="B2149" t="s">
        <v>4662</v>
      </c>
      <c r="C2149" t="s">
        <v>4663</v>
      </c>
      <c r="J2149">
        <f>LEN(Table13[[#This Row],[REFERENCE_DESCR1]])</f>
        <v>14</v>
      </c>
    </row>
    <row r="2150" spans="1:10" hidden="1">
      <c r="A2150" t="s">
        <v>2925</v>
      </c>
      <c r="B2150" t="s">
        <v>4664</v>
      </c>
      <c r="C2150" t="s">
        <v>4665</v>
      </c>
      <c r="J2150">
        <f>LEN(Table13[[#This Row],[REFERENCE_DESCR1]])</f>
        <v>11</v>
      </c>
    </row>
    <row r="2151" spans="1:10" hidden="1">
      <c r="A2151" t="s">
        <v>2925</v>
      </c>
      <c r="B2151" t="s">
        <v>4666</v>
      </c>
      <c r="C2151" t="s">
        <v>4667</v>
      </c>
      <c r="J2151">
        <f>LEN(Table13[[#This Row],[REFERENCE_DESCR1]])</f>
        <v>40</v>
      </c>
    </row>
    <row r="2152" spans="1:10" hidden="1">
      <c r="A2152" t="s">
        <v>2925</v>
      </c>
      <c r="B2152" t="s">
        <v>4668</v>
      </c>
      <c r="C2152" t="s">
        <v>4669</v>
      </c>
      <c r="J2152">
        <f>LEN(Table13[[#This Row],[REFERENCE_DESCR1]])</f>
        <v>7</v>
      </c>
    </row>
    <row r="2153" spans="1:10" hidden="1">
      <c r="A2153" t="s">
        <v>2925</v>
      </c>
      <c r="B2153" t="s">
        <v>4670</v>
      </c>
      <c r="C2153" t="s">
        <v>4671</v>
      </c>
      <c r="J2153">
        <f>LEN(Table13[[#This Row],[REFERENCE_DESCR1]])</f>
        <v>9</v>
      </c>
    </row>
    <row r="2154" spans="1:10" hidden="1">
      <c r="A2154" t="s">
        <v>2925</v>
      </c>
      <c r="B2154" t="s">
        <v>4672</v>
      </c>
      <c r="C2154" t="s">
        <v>4673</v>
      </c>
      <c r="J2154">
        <f>LEN(Table13[[#This Row],[REFERENCE_DESCR1]])</f>
        <v>6</v>
      </c>
    </row>
    <row r="2155" spans="1:10" hidden="1">
      <c r="A2155" t="s">
        <v>2925</v>
      </c>
      <c r="B2155" t="s">
        <v>4674</v>
      </c>
      <c r="C2155" t="s">
        <v>4675</v>
      </c>
      <c r="J2155">
        <f>LEN(Table13[[#This Row],[REFERENCE_DESCR1]])</f>
        <v>13</v>
      </c>
    </row>
    <row r="2156" spans="1:10" hidden="1">
      <c r="A2156" t="s">
        <v>2925</v>
      </c>
      <c r="B2156" t="s">
        <v>4676</v>
      </c>
      <c r="C2156" t="s">
        <v>4677</v>
      </c>
      <c r="J2156">
        <f>LEN(Table13[[#This Row],[REFERENCE_DESCR1]])</f>
        <v>11</v>
      </c>
    </row>
    <row r="2157" spans="1:10" hidden="1">
      <c r="A2157" t="s">
        <v>2925</v>
      </c>
      <c r="B2157" t="s">
        <v>4678</v>
      </c>
      <c r="C2157" t="s">
        <v>4679</v>
      </c>
      <c r="J2157">
        <f>LEN(Table13[[#This Row],[REFERENCE_DESCR1]])</f>
        <v>12</v>
      </c>
    </row>
    <row r="2158" spans="1:10" hidden="1">
      <c r="A2158" t="s">
        <v>2925</v>
      </c>
      <c r="B2158" t="s">
        <v>4680</v>
      </c>
      <c r="C2158" t="s">
        <v>4681</v>
      </c>
      <c r="J2158">
        <f>LEN(Table13[[#This Row],[REFERENCE_DESCR1]])</f>
        <v>10</v>
      </c>
    </row>
    <row r="2159" spans="1:10" hidden="1">
      <c r="A2159" t="s">
        <v>2925</v>
      </c>
      <c r="B2159" t="s">
        <v>4682</v>
      </c>
      <c r="C2159" t="s">
        <v>4683</v>
      </c>
      <c r="J2159">
        <f>LEN(Table13[[#This Row],[REFERENCE_DESCR1]])</f>
        <v>7</v>
      </c>
    </row>
    <row r="2160" spans="1:10" hidden="1">
      <c r="A2160" t="s">
        <v>2925</v>
      </c>
      <c r="B2160" t="s">
        <v>4684</v>
      </c>
      <c r="C2160" t="s">
        <v>4685</v>
      </c>
      <c r="J2160">
        <f>LEN(Table13[[#This Row],[REFERENCE_DESCR1]])</f>
        <v>13</v>
      </c>
    </row>
    <row r="2161" spans="1:10" hidden="1">
      <c r="A2161" t="s">
        <v>2925</v>
      </c>
      <c r="B2161" t="s">
        <v>4686</v>
      </c>
      <c r="C2161" t="s">
        <v>4687</v>
      </c>
      <c r="J2161">
        <f>LEN(Table13[[#This Row],[REFERENCE_DESCR1]])</f>
        <v>30</v>
      </c>
    </row>
    <row r="2162" spans="1:10" hidden="1">
      <c r="A2162" t="s">
        <v>2925</v>
      </c>
      <c r="B2162" t="s">
        <v>4688</v>
      </c>
      <c r="C2162" t="s">
        <v>4689</v>
      </c>
      <c r="J2162">
        <f>LEN(Table13[[#This Row],[REFERENCE_DESCR1]])</f>
        <v>16</v>
      </c>
    </row>
    <row r="2163" spans="1:10" hidden="1">
      <c r="A2163" t="s">
        <v>2925</v>
      </c>
      <c r="B2163" t="s">
        <v>4690</v>
      </c>
      <c r="C2163" t="s">
        <v>4691</v>
      </c>
      <c r="J2163">
        <f>LEN(Table13[[#This Row],[REFERENCE_DESCR1]])</f>
        <v>9</v>
      </c>
    </row>
    <row r="2164" spans="1:10" hidden="1">
      <c r="A2164" t="s">
        <v>2925</v>
      </c>
      <c r="B2164" t="s">
        <v>4692</v>
      </c>
      <c r="C2164" t="s">
        <v>4693</v>
      </c>
      <c r="J2164">
        <f>LEN(Table13[[#This Row],[REFERENCE_DESCR1]])</f>
        <v>9</v>
      </c>
    </row>
    <row r="2165" spans="1:10" hidden="1">
      <c r="A2165" t="s">
        <v>2925</v>
      </c>
      <c r="B2165" t="s">
        <v>4694</v>
      </c>
      <c r="C2165" t="s">
        <v>4695</v>
      </c>
      <c r="J2165">
        <f>LEN(Table13[[#This Row],[REFERENCE_DESCR1]])</f>
        <v>21</v>
      </c>
    </row>
    <row r="2166" spans="1:10" hidden="1">
      <c r="A2166" t="s">
        <v>2925</v>
      </c>
      <c r="B2166" t="s">
        <v>4696</v>
      </c>
      <c r="C2166" t="s">
        <v>4697</v>
      </c>
      <c r="J2166">
        <f>LEN(Table13[[#This Row],[REFERENCE_DESCR1]])</f>
        <v>4</v>
      </c>
    </row>
    <row r="2167" spans="1:10" hidden="1">
      <c r="A2167" t="s">
        <v>2925</v>
      </c>
      <c r="B2167" t="s">
        <v>4698</v>
      </c>
      <c r="C2167" t="s">
        <v>4699</v>
      </c>
      <c r="J2167">
        <f>LEN(Table13[[#This Row],[REFERENCE_DESCR1]])</f>
        <v>15</v>
      </c>
    </row>
    <row r="2168" spans="1:10" hidden="1">
      <c r="A2168" t="s">
        <v>2925</v>
      </c>
      <c r="B2168" t="s">
        <v>4700</v>
      </c>
      <c r="C2168" t="s">
        <v>4701</v>
      </c>
      <c r="J2168">
        <f>LEN(Table13[[#This Row],[REFERENCE_DESCR1]])</f>
        <v>16</v>
      </c>
    </row>
    <row r="2169" spans="1:10" hidden="1">
      <c r="A2169" t="s">
        <v>2925</v>
      </c>
      <c r="B2169" t="s">
        <v>4702</v>
      </c>
      <c r="C2169" t="s">
        <v>4703</v>
      </c>
      <c r="J2169">
        <f>LEN(Table13[[#This Row],[REFERENCE_DESCR1]])</f>
        <v>19</v>
      </c>
    </row>
    <row r="2170" spans="1:10" hidden="1">
      <c r="A2170" t="s">
        <v>2925</v>
      </c>
      <c r="B2170" t="s">
        <v>4704</v>
      </c>
      <c r="C2170" t="s">
        <v>4705</v>
      </c>
      <c r="J2170">
        <f>LEN(Table13[[#This Row],[REFERENCE_DESCR1]])</f>
        <v>14</v>
      </c>
    </row>
    <row r="2171" spans="1:10" hidden="1">
      <c r="A2171" t="s">
        <v>2925</v>
      </c>
      <c r="B2171" t="s">
        <v>4706</v>
      </c>
      <c r="C2171" t="s">
        <v>4707</v>
      </c>
      <c r="J2171">
        <f>LEN(Table13[[#This Row],[REFERENCE_DESCR1]])</f>
        <v>16</v>
      </c>
    </row>
    <row r="2172" spans="1:10" hidden="1">
      <c r="A2172" t="s">
        <v>2925</v>
      </c>
      <c r="B2172" t="s">
        <v>4708</v>
      </c>
      <c r="C2172" t="s">
        <v>4709</v>
      </c>
      <c r="J2172">
        <f>LEN(Table13[[#This Row],[REFERENCE_DESCR1]])</f>
        <v>14</v>
      </c>
    </row>
    <row r="2173" spans="1:10" hidden="1">
      <c r="A2173" t="s">
        <v>2925</v>
      </c>
      <c r="B2173" t="s">
        <v>4710</v>
      </c>
      <c r="C2173" t="s">
        <v>4711</v>
      </c>
      <c r="J2173">
        <f>LEN(Table13[[#This Row],[REFERENCE_DESCR1]])</f>
        <v>26</v>
      </c>
    </row>
    <row r="2174" spans="1:10" hidden="1">
      <c r="A2174" t="s">
        <v>2925</v>
      </c>
      <c r="B2174" t="s">
        <v>4712</v>
      </c>
      <c r="C2174" t="s">
        <v>4713</v>
      </c>
      <c r="J2174">
        <f>LEN(Table13[[#This Row],[REFERENCE_DESCR1]])</f>
        <v>12</v>
      </c>
    </row>
    <row r="2175" spans="1:10" hidden="1">
      <c r="A2175" t="s">
        <v>2925</v>
      </c>
      <c r="B2175" t="s">
        <v>4714</v>
      </c>
      <c r="C2175" t="s">
        <v>4715</v>
      </c>
      <c r="J2175">
        <f>LEN(Table13[[#This Row],[REFERENCE_DESCR1]])</f>
        <v>8</v>
      </c>
    </row>
    <row r="2176" spans="1:10" hidden="1">
      <c r="A2176" t="s">
        <v>2925</v>
      </c>
      <c r="B2176" t="s">
        <v>4716</v>
      </c>
      <c r="C2176" t="s">
        <v>4717</v>
      </c>
      <c r="J2176">
        <f>LEN(Table13[[#This Row],[REFERENCE_DESCR1]])</f>
        <v>20</v>
      </c>
    </row>
    <row r="2177" spans="1:10" hidden="1">
      <c r="A2177" t="s">
        <v>2925</v>
      </c>
      <c r="B2177" t="s">
        <v>4718</v>
      </c>
      <c r="C2177" t="s">
        <v>4719</v>
      </c>
      <c r="J2177">
        <f>LEN(Table13[[#This Row],[REFERENCE_DESCR1]])</f>
        <v>8</v>
      </c>
    </row>
    <row r="2178" spans="1:10" hidden="1">
      <c r="A2178" t="s">
        <v>2925</v>
      </c>
      <c r="B2178" t="s">
        <v>4720</v>
      </c>
      <c r="C2178" t="s">
        <v>4721</v>
      </c>
      <c r="J2178">
        <f>LEN(Table13[[#This Row],[REFERENCE_DESCR1]])</f>
        <v>14</v>
      </c>
    </row>
    <row r="2179" spans="1:10" hidden="1">
      <c r="A2179" t="s">
        <v>2925</v>
      </c>
      <c r="B2179" t="s">
        <v>4722</v>
      </c>
      <c r="C2179" t="s">
        <v>4723</v>
      </c>
      <c r="J2179">
        <f>LEN(Table13[[#This Row],[REFERENCE_DESCR1]])</f>
        <v>19</v>
      </c>
    </row>
    <row r="2180" spans="1:10" hidden="1">
      <c r="A2180" t="s">
        <v>2925</v>
      </c>
      <c r="B2180" t="s">
        <v>4724</v>
      </c>
      <c r="C2180" t="s">
        <v>4725</v>
      </c>
      <c r="J2180">
        <f>LEN(Table13[[#This Row],[REFERENCE_DESCR1]])</f>
        <v>12</v>
      </c>
    </row>
    <row r="2181" spans="1:10" hidden="1">
      <c r="A2181" t="s">
        <v>2925</v>
      </c>
      <c r="B2181" t="s">
        <v>4726</v>
      </c>
      <c r="C2181" t="s">
        <v>4727</v>
      </c>
      <c r="J2181">
        <f>LEN(Table13[[#This Row],[REFERENCE_DESCR1]])</f>
        <v>12</v>
      </c>
    </row>
    <row r="2182" spans="1:10" hidden="1">
      <c r="A2182" t="s">
        <v>2925</v>
      </c>
      <c r="B2182" t="s">
        <v>4728</v>
      </c>
      <c r="C2182" t="s">
        <v>4729</v>
      </c>
      <c r="J2182">
        <f>LEN(Table13[[#This Row],[REFERENCE_DESCR1]])</f>
        <v>10</v>
      </c>
    </row>
    <row r="2183" spans="1:10" hidden="1">
      <c r="A2183" t="s">
        <v>2925</v>
      </c>
      <c r="B2183" t="s">
        <v>4730</v>
      </c>
      <c r="C2183" t="s">
        <v>4731</v>
      </c>
      <c r="J2183">
        <f>LEN(Table13[[#This Row],[REFERENCE_DESCR1]])</f>
        <v>24</v>
      </c>
    </row>
    <row r="2184" spans="1:10" hidden="1">
      <c r="A2184" t="s">
        <v>2925</v>
      </c>
      <c r="B2184" t="s">
        <v>4732</v>
      </c>
      <c r="C2184" t="s">
        <v>4733</v>
      </c>
      <c r="J2184">
        <f>LEN(Table13[[#This Row],[REFERENCE_DESCR1]])</f>
        <v>17</v>
      </c>
    </row>
    <row r="2185" spans="1:10" hidden="1">
      <c r="A2185" t="s">
        <v>2925</v>
      </c>
      <c r="B2185" t="s">
        <v>4734</v>
      </c>
      <c r="C2185" t="s">
        <v>4735</v>
      </c>
      <c r="J2185">
        <f>LEN(Table13[[#This Row],[REFERENCE_DESCR1]])</f>
        <v>29</v>
      </c>
    </row>
    <row r="2186" spans="1:10" hidden="1">
      <c r="A2186" t="s">
        <v>2925</v>
      </c>
      <c r="B2186" t="s">
        <v>4736</v>
      </c>
      <c r="C2186" t="s">
        <v>4737</v>
      </c>
      <c r="J2186">
        <f>LEN(Table13[[#This Row],[REFERENCE_DESCR1]])</f>
        <v>17</v>
      </c>
    </row>
    <row r="2187" spans="1:10" hidden="1">
      <c r="A2187" t="s">
        <v>2925</v>
      </c>
      <c r="B2187" t="s">
        <v>4738</v>
      </c>
      <c r="C2187" t="s">
        <v>4739</v>
      </c>
      <c r="J2187">
        <f>LEN(Table13[[#This Row],[REFERENCE_DESCR1]])</f>
        <v>9</v>
      </c>
    </row>
    <row r="2188" spans="1:10" hidden="1">
      <c r="A2188" t="s">
        <v>2925</v>
      </c>
      <c r="B2188" t="s">
        <v>4740</v>
      </c>
      <c r="C2188" t="s">
        <v>4741</v>
      </c>
      <c r="J2188">
        <f>LEN(Table13[[#This Row],[REFERENCE_DESCR1]])</f>
        <v>9</v>
      </c>
    </row>
    <row r="2189" spans="1:10" hidden="1">
      <c r="A2189" t="s">
        <v>2925</v>
      </c>
      <c r="B2189" t="s">
        <v>4742</v>
      </c>
      <c r="C2189" t="s">
        <v>4743</v>
      </c>
      <c r="J2189">
        <f>LEN(Table13[[#This Row],[REFERENCE_DESCR1]])</f>
        <v>11</v>
      </c>
    </row>
    <row r="2190" spans="1:10" hidden="1">
      <c r="A2190" t="s">
        <v>2925</v>
      </c>
      <c r="B2190" t="s">
        <v>4744</v>
      </c>
      <c r="C2190" t="s">
        <v>4745</v>
      </c>
      <c r="J2190">
        <f>LEN(Table13[[#This Row],[REFERENCE_DESCR1]])</f>
        <v>8</v>
      </c>
    </row>
    <row r="2191" spans="1:10" hidden="1">
      <c r="A2191" t="s">
        <v>2925</v>
      </c>
      <c r="B2191" t="s">
        <v>4746</v>
      </c>
      <c r="C2191" t="s">
        <v>4747</v>
      </c>
      <c r="J2191">
        <f>LEN(Table13[[#This Row],[REFERENCE_DESCR1]])</f>
        <v>6</v>
      </c>
    </row>
    <row r="2192" spans="1:10" hidden="1">
      <c r="A2192" t="s">
        <v>2925</v>
      </c>
      <c r="B2192" t="s">
        <v>4748</v>
      </c>
      <c r="C2192" t="s">
        <v>4749</v>
      </c>
      <c r="J2192">
        <f>LEN(Table13[[#This Row],[REFERENCE_DESCR1]])</f>
        <v>21</v>
      </c>
    </row>
    <row r="2193" spans="1:10" hidden="1">
      <c r="A2193" t="s">
        <v>2925</v>
      </c>
      <c r="B2193" t="s">
        <v>4750</v>
      </c>
      <c r="C2193" t="s">
        <v>4751</v>
      </c>
      <c r="J2193">
        <f>LEN(Table13[[#This Row],[REFERENCE_DESCR1]])</f>
        <v>5</v>
      </c>
    </row>
    <row r="2194" spans="1:10" hidden="1">
      <c r="A2194" t="s">
        <v>2925</v>
      </c>
      <c r="B2194" t="s">
        <v>4752</v>
      </c>
      <c r="C2194" t="s">
        <v>4753</v>
      </c>
      <c r="J2194">
        <f>LEN(Table13[[#This Row],[REFERENCE_DESCR1]])</f>
        <v>13</v>
      </c>
    </row>
    <row r="2195" spans="1:10" hidden="1">
      <c r="A2195" t="s">
        <v>2925</v>
      </c>
      <c r="B2195" t="s">
        <v>4754</v>
      </c>
      <c r="C2195" t="s">
        <v>4755</v>
      </c>
      <c r="J2195">
        <f>LEN(Table13[[#This Row],[REFERENCE_DESCR1]])</f>
        <v>7</v>
      </c>
    </row>
    <row r="2196" spans="1:10" hidden="1">
      <c r="A2196" t="s">
        <v>2925</v>
      </c>
      <c r="B2196" t="s">
        <v>4756</v>
      </c>
      <c r="C2196" t="s">
        <v>4757</v>
      </c>
      <c r="J2196">
        <f>LEN(Table13[[#This Row],[REFERENCE_DESCR1]])</f>
        <v>6</v>
      </c>
    </row>
    <row r="2197" spans="1:10" hidden="1">
      <c r="A2197" t="s">
        <v>2925</v>
      </c>
      <c r="B2197" t="s">
        <v>4758</v>
      </c>
      <c r="C2197" t="s">
        <v>4759</v>
      </c>
      <c r="J2197">
        <f>LEN(Table13[[#This Row],[REFERENCE_DESCR1]])</f>
        <v>9</v>
      </c>
    </row>
    <row r="2198" spans="1:10" hidden="1">
      <c r="A2198" t="s">
        <v>2925</v>
      </c>
      <c r="B2198" t="s">
        <v>4760</v>
      </c>
      <c r="C2198" t="s">
        <v>4761</v>
      </c>
      <c r="J2198">
        <f>LEN(Table13[[#This Row],[REFERENCE_DESCR1]])</f>
        <v>6</v>
      </c>
    </row>
    <row r="2199" spans="1:10" hidden="1">
      <c r="A2199" t="s">
        <v>2925</v>
      </c>
      <c r="B2199" t="s">
        <v>4762</v>
      </c>
      <c r="C2199" t="s">
        <v>4763</v>
      </c>
      <c r="J2199">
        <f>LEN(Table13[[#This Row],[REFERENCE_DESCR1]])</f>
        <v>6</v>
      </c>
    </row>
    <row r="2200" spans="1:10" hidden="1">
      <c r="A2200" t="s">
        <v>2925</v>
      </c>
      <c r="B2200" t="s">
        <v>4764</v>
      </c>
      <c r="C2200" t="s">
        <v>4765</v>
      </c>
      <c r="J2200">
        <f>LEN(Table13[[#This Row],[REFERENCE_DESCR1]])</f>
        <v>18</v>
      </c>
    </row>
    <row r="2201" spans="1:10" hidden="1">
      <c r="A2201" t="s">
        <v>2925</v>
      </c>
      <c r="B2201" t="s">
        <v>4766</v>
      </c>
      <c r="C2201" t="s">
        <v>4767</v>
      </c>
      <c r="J2201">
        <f>LEN(Table13[[#This Row],[REFERENCE_DESCR1]])</f>
        <v>23</v>
      </c>
    </row>
    <row r="2202" spans="1:10" hidden="1">
      <c r="A2202" t="s">
        <v>2925</v>
      </c>
      <c r="B2202" t="s">
        <v>4768</v>
      </c>
      <c r="C2202" t="s">
        <v>4769</v>
      </c>
      <c r="J2202">
        <f>LEN(Table13[[#This Row],[REFERENCE_DESCR1]])</f>
        <v>23</v>
      </c>
    </row>
    <row r="2203" spans="1:10" hidden="1">
      <c r="A2203" t="s">
        <v>2925</v>
      </c>
      <c r="B2203" t="s">
        <v>4770</v>
      </c>
      <c r="C2203" t="s">
        <v>4771</v>
      </c>
      <c r="J2203">
        <f>LEN(Table13[[#This Row],[REFERENCE_DESCR1]])</f>
        <v>16</v>
      </c>
    </row>
    <row r="2204" spans="1:10" hidden="1">
      <c r="A2204" t="s">
        <v>2925</v>
      </c>
      <c r="B2204" t="s">
        <v>4772</v>
      </c>
      <c r="C2204" t="s">
        <v>4773</v>
      </c>
      <c r="J2204">
        <f>LEN(Table13[[#This Row],[REFERENCE_DESCR1]])</f>
        <v>26</v>
      </c>
    </row>
    <row r="2205" spans="1:10" hidden="1">
      <c r="A2205" t="s">
        <v>2925</v>
      </c>
      <c r="B2205" t="s">
        <v>4774</v>
      </c>
      <c r="C2205" t="s">
        <v>4775</v>
      </c>
      <c r="J2205">
        <f>LEN(Table13[[#This Row],[REFERENCE_DESCR1]])</f>
        <v>23</v>
      </c>
    </row>
    <row r="2206" spans="1:10" hidden="1">
      <c r="A2206" t="s">
        <v>2925</v>
      </c>
      <c r="B2206" t="s">
        <v>4776</v>
      </c>
      <c r="C2206" t="s">
        <v>4777</v>
      </c>
      <c r="J2206">
        <f>LEN(Table13[[#This Row],[REFERENCE_DESCR1]])</f>
        <v>10</v>
      </c>
    </row>
    <row r="2207" spans="1:10" hidden="1">
      <c r="A2207" t="s">
        <v>2925</v>
      </c>
      <c r="B2207" t="s">
        <v>4778</v>
      </c>
      <c r="C2207" t="s">
        <v>4779</v>
      </c>
      <c r="J2207">
        <f>LEN(Table13[[#This Row],[REFERENCE_DESCR1]])</f>
        <v>10</v>
      </c>
    </row>
    <row r="2208" spans="1:10" hidden="1">
      <c r="A2208" t="s">
        <v>2925</v>
      </c>
      <c r="B2208" t="s">
        <v>4780</v>
      </c>
      <c r="C2208" t="s">
        <v>4781</v>
      </c>
      <c r="J2208">
        <f>LEN(Table13[[#This Row],[REFERENCE_DESCR1]])</f>
        <v>22</v>
      </c>
    </row>
    <row r="2209" spans="1:10" hidden="1">
      <c r="A2209" t="s">
        <v>2925</v>
      </c>
      <c r="B2209" t="s">
        <v>4782</v>
      </c>
      <c r="C2209" t="s">
        <v>4783</v>
      </c>
      <c r="J2209">
        <f>LEN(Table13[[#This Row],[REFERENCE_DESCR1]])</f>
        <v>13</v>
      </c>
    </row>
    <row r="2210" spans="1:10" hidden="1">
      <c r="A2210" t="s">
        <v>2925</v>
      </c>
      <c r="B2210" t="s">
        <v>4784</v>
      </c>
      <c r="C2210" t="s">
        <v>4785</v>
      </c>
      <c r="J2210">
        <f>LEN(Table13[[#This Row],[REFERENCE_DESCR1]])</f>
        <v>11</v>
      </c>
    </row>
    <row r="2211" spans="1:10" hidden="1">
      <c r="A2211" t="s">
        <v>2925</v>
      </c>
      <c r="B2211" t="s">
        <v>4786</v>
      </c>
      <c r="C2211" t="s">
        <v>4787</v>
      </c>
      <c r="J2211">
        <f>LEN(Table13[[#This Row],[REFERENCE_DESCR1]])</f>
        <v>8</v>
      </c>
    </row>
    <row r="2212" spans="1:10" hidden="1">
      <c r="A2212" t="s">
        <v>2925</v>
      </c>
      <c r="B2212" t="s">
        <v>4788</v>
      </c>
      <c r="C2212" t="s">
        <v>4789</v>
      </c>
      <c r="J2212">
        <f>LEN(Table13[[#This Row],[REFERENCE_DESCR1]])</f>
        <v>4</v>
      </c>
    </row>
    <row r="2213" spans="1:10" hidden="1">
      <c r="A2213" t="s">
        <v>2925</v>
      </c>
      <c r="B2213" t="s">
        <v>4790</v>
      </c>
      <c r="C2213" t="s">
        <v>4791</v>
      </c>
      <c r="J2213">
        <f>LEN(Table13[[#This Row],[REFERENCE_DESCR1]])</f>
        <v>11</v>
      </c>
    </row>
    <row r="2214" spans="1:10" hidden="1">
      <c r="A2214" t="s">
        <v>2925</v>
      </c>
      <c r="B2214" t="s">
        <v>4792</v>
      </c>
      <c r="C2214" t="s">
        <v>4793</v>
      </c>
      <c r="J2214">
        <f>LEN(Table13[[#This Row],[REFERENCE_DESCR1]])</f>
        <v>12</v>
      </c>
    </row>
    <row r="2215" spans="1:10" hidden="1">
      <c r="A2215" t="s">
        <v>2925</v>
      </c>
      <c r="B2215" t="s">
        <v>4794</v>
      </c>
      <c r="C2215" t="s">
        <v>4795</v>
      </c>
      <c r="J2215">
        <f>LEN(Table13[[#This Row],[REFERENCE_DESCR1]])</f>
        <v>9</v>
      </c>
    </row>
    <row r="2216" spans="1:10" hidden="1">
      <c r="A2216" t="s">
        <v>2925</v>
      </c>
      <c r="B2216" t="s">
        <v>4796</v>
      </c>
      <c r="C2216" t="s">
        <v>4797</v>
      </c>
      <c r="J2216">
        <f>LEN(Table13[[#This Row],[REFERENCE_DESCR1]])</f>
        <v>7</v>
      </c>
    </row>
    <row r="2217" spans="1:10" hidden="1">
      <c r="A2217" t="s">
        <v>2925</v>
      </c>
      <c r="B2217" t="s">
        <v>4798</v>
      </c>
      <c r="C2217" t="s">
        <v>4799</v>
      </c>
      <c r="J2217">
        <f>LEN(Table13[[#This Row],[REFERENCE_DESCR1]])</f>
        <v>19</v>
      </c>
    </row>
    <row r="2218" spans="1:10" hidden="1">
      <c r="A2218" t="s">
        <v>2925</v>
      </c>
      <c r="B2218" t="s">
        <v>4800</v>
      </c>
      <c r="C2218" t="s">
        <v>4801</v>
      </c>
      <c r="J2218">
        <f>LEN(Table13[[#This Row],[REFERENCE_DESCR1]])</f>
        <v>12</v>
      </c>
    </row>
    <row r="2219" spans="1:10" hidden="1">
      <c r="A2219" t="s">
        <v>2925</v>
      </c>
      <c r="B2219" t="s">
        <v>4802</v>
      </c>
      <c r="C2219" t="s">
        <v>4803</v>
      </c>
      <c r="J2219">
        <f>LEN(Table13[[#This Row],[REFERENCE_DESCR1]])</f>
        <v>24</v>
      </c>
    </row>
    <row r="2220" spans="1:10" hidden="1">
      <c r="A2220" t="s">
        <v>2925</v>
      </c>
      <c r="B2220" t="s">
        <v>4804</v>
      </c>
      <c r="C2220" t="s">
        <v>4805</v>
      </c>
      <c r="J2220">
        <f>LEN(Table13[[#This Row],[REFERENCE_DESCR1]])</f>
        <v>33</v>
      </c>
    </row>
    <row r="2221" spans="1:10" hidden="1">
      <c r="A2221" t="s">
        <v>2925</v>
      </c>
      <c r="B2221" t="s">
        <v>4806</v>
      </c>
      <c r="C2221" t="s">
        <v>4807</v>
      </c>
      <c r="J2221">
        <f>LEN(Table13[[#This Row],[REFERENCE_DESCR1]])</f>
        <v>7</v>
      </c>
    </row>
    <row r="2222" spans="1:10" hidden="1">
      <c r="A2222" t="s">
        <v>2925</v>
      </c>
      <c r="B2222" t="s">
        <v>4808</v>
      </c>
      <c r="C2222" t="s">
        <v>4809</v>
      </c>
      <c r="J2222">
        <f>LEN(Table13[[#This Row],[REFERENCE_DESCR1]])</f>
        <v>8</v>
      </c>
    </row>
    <row r="2223" spans="1:10" hidden="1">
      <c r="A2223" t="s">
        <v>2925</v>
      </c>
      <c r="B2223" t="s">
        <v>4810</v>
      </c>
      <c r="C2223" t="s">
        <v>4811</v>
      </c>
      <c r="J2223">
        <f>LEN(Table13[[#This Row],[REFERENCE_DESCR1]])</f>
        <v>18</v>
      </c>
    </row>
    <row r="2224" spans="1:10" hidden="1">
      <c r="A2224" t="s">
        <v>2925</v>
      </c>
      <c r="B2224" t="s">
        <v>4812</v>
      </c>
      <c r="C2224" t="s">
        <v>4813</v>
      </c>
      <c r="J2224">
        <f>LEN(Table13[[#This Row],[REFERENCE_DESCR1]])</f>
        <v>7</v>
      </c>
    </row>
    <row r="2225" spans="1:10" hidden="1">
      <c r="A2225" t="s">
        <v>2925</v>
      </c>
      <c r="B2225" t="s">
        <v>4814</v>
      </c>
      <c r="C2225" t="s">
        <v>4815</v>
      </c>
      <c r="J2225">
        <f>LEN(Table13[[#This Row],[REFERENCE_DESCR1]])</f>
        <v>8</v>
      </c>
    </row>
    <row r="2226" spans="1:10" hidden="1">
      <c r="A2226" t="s">
        <v>2925</v>
      </c>
      <c r="B2226" t="s">
        <v>4816</v>
      </c>
      <c r="C2226" t="s">
        <v>4817</v>
      </c>
      <c r="J2226">
        <f>LEN(Table13[[#This Row],[REFERENCE_DESCR1]])</f>
        <v>17</v>
      </c>
    </row>
    <row r="2227" spans="1:10" hidden="1">
      <c r="A2227" t="s">
        <v>2925</v>
      </c>
      <c r="B2227" t="s">
        <v>4818</v>
      </c>
      <c r="C2227" t="s">
        <v>4819</v>
      </c>
      <c r="J2227">
        <f>LEN(Table13[[#This Row],[REFERENCE_DESCR1]])</f>
        <v>9</v>
      </c>
    </row>
    <row r="2228" spans="1:10" hidden="1">
      <c r="A2228" t="s">
        <v>2925</v>
      </c>
      <c r="B2228" t="s">
        <v>4820</v>
      </c>
      <c r="C2228" t="s">
        <v>4821</v>
      </c>
      <c r="J2228">
        <f>LEN(Table13[[#This Row],[REFERENCE_DESCR1]])</f>
        <v>14</v>
      </c>
    </row>
    <row r="2229" spans="1:10" hidden="1">
      <c r="A2229" t="s">
        <v>2925</v>
      </c>
      <c r="B2229" t="s">
        <v>4822</v>
      </c>
      <c r="C2229" t="s">
        <v>4823</v>
      </c>
      <c r="J2229">
        <f>LEN(Table13[[#This Row],[REFERENCE_DESCR1]])</f>
        <v>7</v>
      </c>
    </row>
    <row r="2230" spans="1:10" hidden="1">
      <c r="A2230" t="s">
        <v>2925</v>
      </c>
      <c r="B2230" t="s">
        <v>4824</v>
      </c>
      <c r="C2230" t="s">
        <v>4825</v>
      </c>
      <c r="J2230">
        <f>LEN(Table13[[#This Row],[REFERENCE_DESCR1]])</f>
        <v>10</v>
      </c>
    </row>
    <row r="2231" spans="1:10" hidden="1">
      <c r="A2231" t="s">
        <v>2925</v>
      </c>
      <c r="B2231" t="s">
        <v>4826</v>
      </c>
      <c r="C2231" t="s">
        <v>4827</v>
      </c>
      <c r="J2231">
        <f>LEN(Table13[[#This Row],[REFERENCE_DESCR1]])</f>
        <v>7</v>
      </c>
    </row>
    <row r="2232" spans="1:10" hidden="1">
      <c r="A2232" t="s">
        <v>2925</v>
      </c>
      <c r="B2232" t="s">
        <v>4828</v>
      </c>
      <c r="C2232" t="s">
        <v>4829</v>
      </c>
      <c r="J2232">
        <f>LEN(Table13[[#This Row],[REFERENCE_DESCR1]])</f>
        <v>8</v>
      </c>
    </row>
    <row r="2233" spans="1:10" hidden="1">
      <c r="A2233" t="s">
        <v>2925</v>
      </c>
      <c r="B2233" t="s">
        <v>4830</v>
      </c>
      <c r="C2233" t="s">
        <v>4831</v>
      </c>
      <c r="J2233">
        <f>LEN(Table13[[#This Row],[REFERENCE_DESCR1]])</f>
        <v>10</v>
      </c>
    </row>
    <row r="2234" spans="1:10" hidden="1">
      <c r="A2234" t="s">
        <v>2925</v>
      </c>
      <c r="B2234" t="s">
        <v>4832</v>
      </c>
      <c r="C2234" t="s">
        <v>4833</v>
      </c>
      <c r="J2234">
        <f>LEN(Table13[[#This Row],[REFERENCE_DESCR1]])</f>
        <v>13</v>
      </c>
    </row>
    <row r="2235" spans="1:10" hidden="1">
      <c r="A2235" t="s">
        <v>2925</v>
      </c>
      <c r="B2235" t="s">
        <v>4834</v>
      </c>
      <c r="C2235" t="s">
        <v>4835</v>
      </c>
      <c r="J2235">
        <f>LEN(Table13[[#This Row],[REFERENCE_DESCR1]])</f>
        <v>19</v>
      </c>
    </row>
    <row r="2236" spans="1:10" hidden="1">
      <c r="A2236" t="s">
        <v>2925</v>
      </c>
      <c r="B2236" t="s">
        <v>4836</v>
      </c>
      <c r="C2236" t="s">
        <v>4837</v>
      </c>
      <c r="J2236">
        <f>LEN(Table13[[#This Row],[REFERENCE_DESCR1]])</f>
        <v>19</v>
      </c>
    </row>
    <row r="2237" spans="1:10" hidden="1">
      <c r="A2237" t="s">
        <v>2925</v>
      </c>
      <c r="B2237" t="s">
        <v>4838</v>
      </c>
      <c r="C2237" t="s">
        <v>4839</v>
      </c>
      <c r="J2237">
        <f>LEN(Table13[[#This Row],[REFERENCE_DESCR1]])</f>
        <v>35</v>
      </c>
    </row>
    <row r="2238" spans="1:10" hidden="1">
      <c r="A2238" t="s">
        <v>2925</v>
      </c>
      <c r="B2238" t="s">
        <v>4840</v>
      </c>
      <c r="C2238" t="s">
        <v>4841</v>
      </c>
      <c r="J2238">
        <f>LEN(Table13[[#This Row],[REFERENCE_DESCR1]])</f>
        <v>40</v>
      </c>
    </row>
    <row r="2239" spans="1:10" hidden="1">
      <c r="A2239" t="s">
        <v>2925</v>
      </c>
      <c r="B2239" t="s">
        <v>4842</v>
      </c>
      <c r="C2239" t="s">
        <v>4843</v>
      </c>
      <c r="J2239">
        <f>LEN(Table13[[#This Row],[REFERENCE_DESCR1]])</f>
        <v>40</v>
      </c>
    </row>
    <row r="2240" spans="1:10" hidden="1">
      <c r="A2240" t="s">
        <v>2925</v>
      </c>
      <c r="B2240" t="s">
        <v>4844</v>
      </c>
      <c r="C2240" t="s">
        <v>4845</v>
      </c>
      <c r="J2240">
        <f>LEN(Table13[[#This Row],[REFERENCE_DESCR1]])</f>
        <v>33</v>
      </c>
    </row>
    <row r="2241" spans="1:10" hidden="1">
      <c r="A2241" t="s">
        <v>2925</v>
      </c>
      <c r="B2241" t="s">
        <v>4846</v>
      </c>
      <c r="C2241" t="s">
        <v>4847</v>
      </c>
      <c r="J2241">
        <f>LEN(Table13[[#This Row],[REFERENCE_DESCR1]])</f>
        <v>30</v>
      </c>
    </row>
    <row r="2242" spans="1:10" hidden="1">
      <c r="A2242" t="s">
        <v>2925</v>
      </c>
      <c r="B2242" t="s">
        <v>4848</v>
      </c>
      <c r="C2242" t="s">
        <v>4849</v>
      </c>
      <c r="J2242">
        <f>LEN(Table13[[#This Row],[REFERENCE_DESCR1]])</f>
        <v>10</v>
      </c>
    </row>
    <row r="2243" spans="1:10" hidden="1">
      <c r="A2243" t="s">
        <v>2925</v>
      </c>
      <c r="B2243" t="s">
        <v>4850</v>
      </c>
      <c r="C2243" t="s">
        <v>4851</v>
      </c>
      <c r="J2243">
        <f>LEN(Table13[[#This Row],[REFERENCE_DESCR1]])</f>
        <v>16</v>
      </c>
    </row>
    <row r="2244" spans="1:10" hidden="1">
      <c r="A2244" t="s">
        <v>2925</v>
      </c>
      <c r="B2244" t="s">
        <v>4852</v>
      </c>
      <c r="C2244" t="s">
        <v>4853</v>
      </c>
      <c r="J2244">
        <f>LEN(Table13[[#This Row],[REFERENCE_DESCR1]])</f>
        <v>8</v>
      </c>
    </row>
    <row r="2245" spans="1:10" hidden="1">
      <c r="A2245" t="s">
        <v>2925</v>
      </c>
      <c r="B2245" t="s">
        <v>4854</v>
      </c>
      <c r="C2245" t="s">
        <v>4855</v>
      </c>
      <c r="J2245">
        <f>LEN(Table13[[#This Row],[REFERENCE_DESCR1]])</f>
        <v>27</v>
      </c>
    </row>
    <row r="2246" spans="1:10" hidden="1">
      <c r="A2246" t="s">
        <v>2925</v>
      </c>
      <c r="B2246" t="s">
        <v>4856</v>
      </c>
      <c r="C2246" t="s">
        <v>4857</v>
      </c>
      <c r="J2246">
        <f>LEN(Table13[[#This Row],[REFERENCE_DESCR1]])</f>
        <v>23</v>
      </c>
    </row>
    <row r="2247" spans="1:10" hidden="1">
      <c r="A2247" t="s">
        <v>2925</v>
      </c>
      <c r="B2247" t="s">
        <v>4858</v>
      </c>
      <c r="C2247" t="s">
        <v>4859</v>
      </c>
      <c r="J2247">
        <f>LEN(Table13[[#This Row],[REFERENCE_DESCR1]])</f>
        <v>28</v>
      </c>
    </row>
    <row r="2248" spans="1:10" hidden="1">
      <c r="A2248" t="s">
        <v>2925</v>
      </c>
      <c r="B2248" t="s">
        <v>4860</v>
      </c>
      <c r="C2248" t="s">
        <v>4861</v>
      </c>
      <c r="J2248">
        <f>LEN(Table13[[#This Row],[REFERENCE_DESCR1]])</f>
        <v>28</v>
      </c>
    </row>
    <row r="2249" spans="1:10" hidden="1">
      <c r="A2249" t="s">
        <v>2925</v>
      </c>
      <c r="B2249" t="s">
        <v>4862</v>
      </c>
      <c r="C2249" t="s">
        <v>4863</v>
      </c>
      <c r="J2249">
        <f>LEN(Table13[[#This Row],[REFERENCE_DESCR1]])</f>
        <v>29</v>
      </c>
    </row>
    <row r="2250" spans="1:10" hidden="1">
      <c r="A2250" t="s">
        <v>2925</v>
      </c>
      <c r="B2250" t="s">
        <v>4864</v>
      </c>
      <c r="C2250" t="s">
        <v>4865</v>
      </c>
      <c r="J2250">
        <f>LEN(Table13[[#This Row],[REFERENCE_DESCR1]])</f>
        <v>40</v>
      </c>
    </row>
    <row r="2251" spans="1:10" hidden="1">
      <c r="A2251" t="s">
        <v>2925</v>
      </c>
      <c r="B2251" t="s">
        <v>4866</v>
      </c>
      <c r="C2251" t="s">
        <v>4867</v>
      </c>
      <c r="J2251">
        <f>LEN(Table13[[#This Row],[REFERENCE_DESCR1]])</f>
        <v>17</v>
      </c>
    </row>
    <row r="2252" spans="1:10" hidden="1">
      <c r="A2252" t="s">
        <v>2925</v>
      </c>
      <c r="B2252" t="s">
        <v>4868</v>
      </c>
      <c r="C2252" t="s">
        <v>4869</v>
      </c>
      <c r="J2252">
        <f>LEN(Table13[[#This Row],[REFERENCE_DESCR1]])</f>
        <v>8</v>
      </c>
    </row>
    <row r="2253" spans="1:10" hidden="1">
      <c r="A2253" t="s">
        <v>2925</v>
      </c>
      <c r="B2253" t="s">
        <v>4870</v>
      </c>
      <c r="C2253" t="s">
        <v>4871</v>
      </c>
      <c r="J2253">
        <f>LEN(Table13[[#This Row],[REFERENCE_DESCR1]])</f>
        <v>9</v>
      </c>
    </row>
    <row r="2254" spans="1:10" hidden="1">
      <c r="A2254" t="s">
        <v>2925</v>
      </c>
      <c r="B2254" t="s">
        <v>4872</v>
      </c>
      <c r="C2254" t="s">
        <v>4873</v>
      </c>
      <c r="J2254">
        <f>LEN(Table13[[#This Row],[REFERENCE_DESCR1]])</f>
        <v>7</v>
      </c>
    </row>
    <row r="2255" spans="1:10" hidden="1">
      <c r="A2255" t="s">
        <v>2925</v>
      </c>
      <c r="B2255" t="s">
        <v>4874</v>
      </c>
      <c r="C2255" t="s">
        <v>4875</v>
      </c>
      <c r="J2255">
        <f>LEN(Table13[[#This Row],[REFERENCE_DESCR1]])</f>
        <v>6</v>
      </c>
    </row>
    <row r="2256" spans="1:10" hidden="1">
      <c r="A2256" t="s">
        <v>2925</v>
      </c>
      <c r="B2256" t="s">
        <v>4876</v>
      </c>
      <c r="C2256" t="s">
        <v>4877</v>
      </c>
      <c r="J2256">
        <f>LEN(Table13[[#This Row],[REFERENCE_DESCR1]])</f>
        <v>14</v>
      </c>
    </row>
    <row r="2257" spans="1:10" hidden="1">
      <c r="A2257" t="s">
        <v>2925</v>
      </c>
      <c r="B2257" t="s">
        <v>4878</v>
      </c>
      <c r="C2257" t="s">
        <v>4879</v>
      </c>
      <c r="J2257">
        <f>LEN(Table13[[#This Row],[REFERENCE_DESCR1]])</f>
        <v>26</v>
      </c>
    </row>
    <row r="2258" spans="1:10" hidden="1">
      <c r="A2258" t="s">
        <v>2925</v>
      </c>
      <c r="B2258" t="s">
        <v>4880</v>
      </c>
      <c r="C2258" t="s">
        <v>4881</v>
      </c>
      <c r="J2258">
        <f>LEN(Table13[[#This Row],[REFERENCE_DESCR1]])</f>
        <v>6</v>
      </c>
    </row>
    <row r="2259" spans="1:10" hidden="1">
      <c r="A2259" t="s">
        <v>2925</v>
      </c>
      <c r="B2259" t="s">
        <v>4882</v>
      </c>
      <c r="C2259" t="s">
        <v>4883</v>
      </c>
      <c r="J2259">
        <f>LEN(Table13[[#This Row],[REFERENCE_DESCR1]])</f>
        <v>13</v>
      </c>
    </row>
    <row r="2260" spans="1:10" hidden="1">
      <c r="A2260" t="s">
        <v>2925</v>
      </c>
      <c r="B2260" t="s">
        <v>4884</v>
      </c>
      <c r="C2260" t="s">
        <v>4885</v>
      </c>
      <c r="J2260">
        <f>LEN(Table13[[#This Row],[REFERENCE_DESCR1]])</f>
        <v>13</v>
      </c>
    </row>
    <row r="2261" spans="1:10" hidden="1">
      <c r="A2261" t="s">
        <v>2925</v>
      </c>
      <c r="B2261" t="s">
        <v>4886</v>
      </c>
      <c r="C2261" t="s">
        <v>4887</v>
      </c>
      <c r="J2261">
        <f>LEN(Table13[[#This Row],[REFERENCE_DESCR1]])</f>
        <v>25</v>
      </c>
    </row>
    <row r="2262" spans="1:10" hidden="1">
      <c r="A2262" t="s">
        <v>2925</v>
      </c>
      <c r="B2262" t="s">
        <v>4888</v>
      </c>
      <c r="C2262" t="s">
        <v>4889</v>
      </c>
      <c r="J2262">
        <f>LEN(Table13[[#This Row],[REFERENCE_DESCR1]])</f>
        <v>25</v>
      </c>
    </row>
    <row r="2263" spans="1:10" hidden="1">
      <c r="A2263" t="s">
        <v>2925</v>
      </c>
      <c r="B2263" t="s">
        <v>4890</v>
      </c>
      <c r="C2263" t="s">
        <v>4891</v>
      </c>
      <c r="J2263">
        <f>LEN(Table13[[#This Row],[REFERENCE_DESCR1]])</f>
        <v>23</v>
      </c>
    </row>
    <row r="2264" spans="1:10" hidden="1">
      <c r="A2264" t="s">
        <v>2925</v>
      </c>
      <c r="B2264" t="s">
        <v>4892</v>
      </c>
      <c r="C2264" t="s">
        <v>4893</v>
      </c>
      <c r="J2264">
        <f>LEN(Table13[[#This Row],[REFERENCE_DESCR1]])</f>
        <v>40</v>
      </c>
    </row>
    <row r="2265" spans="1:10" hidden="1">
      <c r="A2265" t="s">
        <v>2925</v>
      </c>
      <c r="B2265" t="s">
        <v>4894</v>
      </c>
      <c r="C2265" t="s">
        <v>4895</v>
      </c>
      <c r="J2265">
        <f>LEN(Table13[[#This Row],[REFERENCE_DESCR1]])</f>
        <v>32</v>
      </c>
    </row>
    <row r="2266" spans="1:10" hidden="1">
      <c r="A2266" t="s">
        <v>2925</v>
      </c>
      <c r="B2266" t="s">
        <v>4896</v>
      </c>
      <c r="C2266" t="s">
        <v>4897</v>
      </c>
      <c r="J2266">
        <f>LEN(Table13[[#This Row],[REFERENCE_DESCR1]])</f>
        <v>7</v>
      </c>
    </row>
    <row r="2267" spans="1:10" hidden="1">
      <c r="A2267" t="s">
        <v>2925</v>
      </c>
      <c r="B2267" t="s">
        <v>4898</v>
      </c>
      <c r="C2267" t="s">
        <v>4899</v>
      </c>
      <c r="J2267">
        <f>LEN(Table13[[#This Row],[REFERENCE_DESCR1]])</f>
        <v>9</v>
      </c>
    </row>
    <row r="2268" spans="1:10" hidden="1">
      <c r="A2268" t="s">
        <v>2925</v>
      </c>
      <c r="B2268" t="s">
        <v>4900</v>
      </c>
      <c r="C2268" t="s">
        <v>4901</v>
      </c>
      <c r="J2268">
        <f>LEN(Table13[[#This Row],[REFERENCE_DESCR1]])</f>
        <v>9</v>
      </c>
    </row>
    <row r="2269" spans="1:10" hidden="1">
      <c r="A2269" t="s">
        <v>2925</v>
      </c>
      <c r="B2269" t="s">
        <v>4902</v>
      </c>
      <c r="C2269" t="s">
        <v>4903</v>
      </c>
      <c r="J2269">
        <f>LEN(Table13[[#This Row],[REFERENCE_DESCR1]])</f>
        <v>19</v>
      </c>
    </row>
    <row r="2270" spans="1:10" hidden="1">
      <c r="A2270" t="s">
        <v>2925</v>
      </c>
      <c r="B2270" t="s">
        <v>4904</v>
      </c>
      <c r="C2270" t="s">
        <v>4905</v>
      </c>
      <c r="J2270">
        <f>LEN(Table13[[#This Row],[REFERENCE_DESCR1]])</f>
        <v>13</v>
      </c>
    </row>
    <row r="2271" spans="1:10" hidden="1">
      <c r="A2271" t="s">
        <v>2925</v>
      </c>
      <c r="B2271" t="s">
        <v>4906</v>
      </c>
      <c r="C2271" t="s">
        <v>4907</v>
      </c>
      <c r="J2271">
        <f>LEN(Table13[[#This Row],[REFERENCE_DESCR1]])</f>
        <v>20</v>
      </c>
    </row>
    <row r="2272" spans="1:10" hidden="1">
      <c r="A2272" t="s">
        <v>2925</v>
      </c>
      <c r="B2272" t="s">
        <v>4908</v>
      </c>
      <c r="C2272" t="s">
        <v>4909</v>
      </c>
      <c r="J2272">
        <f>LEN(Table13[[#This Row],[REFERENCE_DESCR1]])</f>
        <v>9</v>
      </c>
    </row>
    <row r="2273" spans="1:10" hidden="1">
      <c r="A2273" t="s">
        <v>2925</v>
      </c>
      <c r="B2273" t="s">
        <v>4910</v>
      </c>
      <c r="C2273" t="s">
        <v>4911</v>
      </c>
      <c r="J2273">
        <f>LEN(Table13[[#This Row],[REFERENCE_DESCR1]])</f>
        <v>11</v>
      </c>
    </row>
    <row r="2274" spans="1:10" hidden="1">
      <c r="A2274" t="s">
        <v>2925</v>
      </c>
      <c r="B2274" t="s">
        <v>4912</v>
      </c>
      <c r="C2274" t="s">
        <v>4913</v>
      </c>
      <c r="J2274">
        <f>LEN(Table13[[#This Row],[REFERENCE_DESCR1]])</f>
        <v>14</v>
      </c>
    </row>
    <row r="2275" spans="1:10" hidden="1">
      <c r="A2275" t="s">
        <v>2925</v>
      </c>
      <c r="B2275" t="s">
        <v>4914</v>
      </c>
      <c r="C2275" t="s">
        <v>4915</v>
      </c>
      <c r="J2275">
        <f>LEN(Table13[[#This Row],[REFERENCE_DESCR1]])</f>
        <v>11</v>
      </c>
    </row>
    <row r="2276" spans="1:10" hidden="1">
      <c r="A2276" t="s">
        <v>2925</v>
      </c>
      <c r="B2276" t="s">
        <v>4916</v>
      </c>
      <c r="C2276" t="s">
        <v>4917</v>
      </c>
      <c r="J2276">
        <f>LEN(Table13[[#This Row],[REFERENCE_DESCR1]])</f>
        <v>23</v>
      </c>
    </row>
    <row r="2277" spans="1:10" hidden="1">
      <c r="A2277" t="s">
        <v>2925</v>
      </c>
      <c r="B2277" t="s">
        <v>4918</v>
      </c>
      <c r="C2277" t="s">
        <v>4919</v>
      </c>
      <c r="J2277">
        <f>LEN(Table13[[#This Row],[REFERENCE_DESCR1]])</f>
        <v>6</v>
      </c>
    </row>
    <row r="2278" spans="1:10" hidden="1">
      <c r="A2278" t="s">
        <v>2925</v>
      </c>
      <c r="B2278" t="s">
        <v>4920</v>
      </c>
      <c r="C2278" t="s">
        <v>4921</v>
      </c>
      <c r="J2278">
        <f>LEN(Table13[[#This Row],[REFERENCE_DESCR1]])</f>
        <v>17</v>
      </c>
    </row>
    <row r="2279" spans="1:10" hidden="1">
      <c r="A2279" t="s">
        <v>2925</v>
      </c>
      <c r="B2279" t="s">
        <v>4922</v>
      </c>
      <c r="C2279" t="s">
        <v>4923</v>
      </c>
      <c r="J2279">
        <f>LEN(Table13[[#This Row],[REFERENCE_DESCR1]])</f>
        <v>9</v>
      </c>
    </row>
    <row r="2280" spans="1:10" hidden="1">
      <c r="A2280" t="s">
        <v>2925</v>
      </c>
      <c r="B2280" t="s">
        <v>4924</v>
      </c>
      <c r="C2280" t="s">
        <v>4925</v>
      </c>
      <c r="J2280">
        <f>LEN(Table13[[#This Row],[REFERENCE_DESCR1]])</f>
        <v>12</v>
      </c>
    </row>
    <row r="2281" spans="1:10" hidden="1">
      <c r="A2281" t="s">
        <v>2925</v>
      </c>
      <c r="B2281" t="s">
        <v>4926</v>
      </c>
      <c r="C2281" t="s">
        <v>4927</v>
      </c>
      <c r="J2281">
        <f>LEN(Table13[[#This Row],[REFERENCE_DESCR1]])</f>
        <v>12</v>
      </c>
    </row>
    <row r="2282" spans="1:10" hidden="1">
      <c r="A2282" t="s">
        <v>2925</v>
      </c>
      <c r="B2282" t="s">
        <v>4928</v>
      </c>
      <c r="C2282" t="s">
        <v>4929</v>
      </c>
      <c r="J2282">
        <f>LEN(Table13[[#This Row],[REFERENCE_DESCR1]])</f>
        <v>10</v>
      </c>
    </row>
    <row r="2283" spans="1:10" hidden="1">
      <c r="A2283" t="s">
        <v>2925</v>
      </c>
      <c r="B2283" t="s">
        <v>4930</v>
      </c>
      <c r="C2283" t="s">
        <v>4931</v>
      </c>
      <c r="J2283">
        <f>LEN(Table13[[#This Row],[REFERENCE_DESCR1]])</f>
        <v>10</v>
      </c>
    </row>
    <row r="2284" spans="1:10" hidden="1">
      <c r="A2284" t="s">
        <v>2925</v>
      </c>
      <c r="B2284" t="s">
        <v>4932</v>
      </c>
      <c r="C2284" t="s">
        <v>4933</v>
      </c>
      <c r="J2284">
        <f>LEN(Table13[[#This Row],[REFERENCE_DESCR1]])</f>
        <v>22</v>
      </c>
    </row>
    <row r="2285" spans="1:10" hidden="1">
      <c r="A2285" t="s">
        <v>2925</v>
      </c>
      <c r="B2285" t="s">
        <v>4934</v>
      </c>
      <c r="C2285" t="s">
        <v>4935</v>
      </c>
      <c r="J2285">
        <f>LEN(Table13[[#This Row],[REFERENCE_DESCR1]])</f>
        <v>8</v>
      </c>
    </row>
    <row r="2286" spans="1:10" hidden="1">
      <c r="A2286" t="s">
        <v>2925</v>
      </c>
      <c r="B2286" t="s">
        <v>4936</v>
      </c>
      <c r="C2286" t="s">
        <v>4937</v>
      </c>
      <c r="J2286">
        <f>LEN(Table13[[#This Row],[REFERENCE_DESCR1]])</f>
        <v>14</v>
      </c>
    </row>
    <row r="2287" spans="1:10" hidden="1">
      <c r="A2287" t="s">
        <v>2925</v>
      </c>
      <c r="B2287" t="s">
        <v>4938</v>
      </c>
      <c r="C2287" t="s">
        <v>4939</v>
      </c>
      <c r="J2287">
        <f>LEN(Table13[[#This Row],[REFERENCE_DESCR1]])</f>
        <v>20</v>
      </c>
    </row>
    <row r="2288" spans="1:10" hidden="1">
      <c r="A2288" t="s">
        <v>2925</v>
      </c>
      <c r="B2288" t="s">
        <v>4940</v>
      </c>
      <c r="C2288" t="s">
        <v>4941</v>
      </c>
      <c r="J2288">
        <f>LEN(Table13[[#This Row],[REFERENCE_DESCR1]])</f>
        <v>21</v>
      </c>
    </row>
    <row r="2289" spans="1:10" hidden="1">
      <c r="A2289" t="s">
        <v>2925</v>
      </c>
      <c r="B2289" t="s">
        <v>4942</v>
      </c>
      <c r="C2289" t="s">
        <v>4943</v>
      </c>
      <c r="J2289">
        <f>LEN(Table13[[#This Row],[REFERENCE_DESCR1]])</f>
        <v>7</v>
      </c>
    </row>
    <row r="2290" spans="1:10" hidden="1">
      <c r="A2290" t="s">
        <v>2925</v>
      </c>
      <c r="B2290" t="s">
        <v>4944</v>
      </c>
      <c r="C2290" t="s">
        <v>4945</v>
      </c>
      <c r="J2290">
        <f>LEN(Table13[[#This Row],[REFERENCE_DESCR1]])</f>
        <v>8</v>
      </c>
    </row>
    <row r="2291" spans="1:10" hidden="1">
      <c r="A2291" t="s">
        <v>2925</v>
      </c>
      <c r="B2291" t="s">
        <v>4946</v>
      </c>
      <c r="C2291" t="s">
        <v>4947</v>
      </c>
      <c r="J2291">
        <f>LEN(Table13[[#This Row],[REFERENCE_DESCR1]])</f>
        <v>12</v>
      </c>
    </row>
    <row r="2292" spans="1:10" hidden="1">
      <c r="A2292" t="s">
        <v>2925</v>
      </c>
      <c r="B2292" t="s">
        <v>4948</v>
      </c>
      <c r="C2292" t="s">
        <v>4949</v>
      </c>
      <c r="J2292">
        <f>LEN(Table13[[#This Row],[REFERENCE_DESCR1]])</f>
        <v>20</v>
      </c>
    </row>
    <row r="2293" spans="1:10" hidden="1">
      <c r="A2293" t="s">
        <v>2925</v>
      </c>
      <c r="B2293" t="s">
        <v>4950</v>
      </c>
      <c r="C2293" t="s">
        <v>4951</v>
      </c>
      <c r="J2293">
        <f>LEN(Table13[[#This Row],[REFERENCE_DESCR1]])</f>
        <v>5</v>
      </c>
    </row>
    <row r="2294" spans="1:10" hidden="1">
      <c r="A2294" t="s">
        <v>2925</v>
      </c>
      <c r="B2294" t="s">
        <v>4952</v>
      </c>
      <c r="C2294" t="s">
        <v>4953</v>
      </c>
      <c r="J2294">
        <f>LEN(Table13[[#This Row],[REFERENCE_DESCR1]])</f>
        <v>7</v>
      </c>
    </row>
    <row r="2295" spans="1:10" hidden="1">
      <c r="A2295" t="s">
        <v>2925</v>
      </c>
      <c r="B2295" t="s">
        <v>4954</v>
      </c>
      <c r="C2295" t="s">
        <v>4955</v>
      </c>
      <c r="J2295">
        <f>LEN(Table13[[#This Row],[REFERENCE_DESCR1]])</f>
        <v>26</v>
      </c>
    </row>
    <row r="2296" spans="1:10" hidden="1">
      <c r="A2296" t="s">
        <v>2925</v>
      </c>
      <c r="B2296" t="s">
        <v>4956</v>
      </c>
      <c r="C2296" t="s">
        <v>4957</v>
      </c>
      <c r="J2296">
        <f>LEN(Table13[[#This Row],[REFERENCE_DESCR1]])</f>
        <v>6</v>
      </c>
    </row>
    <row r="2297" spans="1:10" hidden="1">
      <c r="A2297" t="s">
        <v>2925</v>
      </c>
      <c r="B2297" t="s">
        <v>4958</v>
      </c>
      <c r="C2297" t="s">
        <v>4959</v>
      </c>
      <c r="J2297">
        <f>LEN(Table13[[#This Row],[REFERENCE_DESCR1]])</f>
        <v>8</v>
      </c>
    </row>
    <row r="2298" spans="1:10" hidden="1">
      <c r="A2298" t="s">
        <v>2925</v>
      </c>
      <c r="B2298" t="s">
        <v>4960</v>
      </c>
      <c r="C2298" t="s">
        <v>4961</v>
      </c>
      <c r="J2298">
        <f>LEN(Table13[[#This Row],[REFERENCE_DESCR1]])</f>
        <v>9</v>
      </c>
    </row>
    <row r="2299" spans="1:10" hidden="1">
      <c r="A2299" t="s">
        <v>2925</v>
      </c>
      <c r="B2299" t="s">
        <v>4962</v>
      </c>
      <c r="C2299" t="s">
        <v>4963</v>
      </c>
      <c r="J2299">
        <f>LEN(Table13[[#This Row],[REFERENCE_DESCR1]])</f>
        <v>21</v>
      </c>
    </row>
    <row r="2300" spans="1:10" hidden="1">
      <c r="A2300" t="s">
        <v>2925</v>
      </c>
      <c r="B2300" t="s">
        <v>4964</v>
      </c>
      <c r="C2300" t="s">
        <v>4965</v>
      </c>
      <c r="J2300">
        <f>LEN(Table13[[#This Row],[REFERENCE_DESCR1]])</f>
        <v>11</v>
      </c>
    </row>
    <row r="2301" spans="1:10" hidden="1">
      <c r="A2301" t="s">
        <v>2925</v>
      </c>
      <c r="B2301" t="s">
        <v>4966</v>
      </c>
      <c r="C2301" t="s">
        <v>1627</v>
      </c>
      <c r="J2301">
        <f>LEN(Table13[[#This Row],[REFERENCE_DESCR1]])</f>
        <v>6</v>
      </c>
    </row>
    <row r="2302" spans="1:10" hidden="1">
      <c r="A2302" t="s">
        <v>2925</v>
      </c>
      <c r="B2302" t="s">
        <v>4967</v>
      </c>
      <c r="C2302" t="s">
        <v>4968</v>
      </c>
      <c r="J2302">
        <f>LEN(Table13[[#This Row],[REFERENCE_DESCR1]])</f>
        <v>8</v>
      </c>
    </row>
    <row r="2303" spans="1:10" hidden="1">
      <c r="A2303" t="s">
        <v>2925</v>
      </c>
      <c r="B2303" t="s">
        <v>4969</v>
      </c>
      <c r="C2303" t="s">
        <v>4970</v>
      </c>
      <c r="J2303">
        <f>LEN(Table13[[#This Row],[REFERENCE_DESCR1]])</f>
        <v>20</v>
      </c>
    </row>
    <row r="2304" spans="1:10" hidden="1">
      <c r="A2304" t="s">
        <v>2925</v>
      </c>
      <c r="B2304" t="s">
        <v>4971</v>
      </c>
      <c r="C2304" t="s">
        <v>4972</v>
      </c>
      <c r="J2304">
        <f>LEN(Table13[[#This Row],[REFERENCE_DESCR1]])</f>
        <v>10</v>
      </c>
    </row>
    <row r="2305" spans="1:10" hidden="1">
      <c r="A2305" t="s">
        <v>2925</v>
      </c>
      <c r="B2305" t="s">
        <v>4973</v>
      </c>
      <c r="C2305" t="s">
        <v>4974</v>
      </c>
      <c r="J2305">
        <f>LEN(Table13[[#This Row],[REFERENCE_DESCR1]])</f>
        <v>8</v>
      </c>
    </row>
    <row r="2306" spans="1:10" hidden="1">
      <c r="A2306" t="s">
        <v>2925</v>
      </c>
      <c r="B2306" t="s">
        <v>4975</v>
      </c>
      <c r="C2306" t="s">
        <v>4976</v>
      </c>
      <c r="J2306">
        <f>LEN(Table13[[#This Row],[REFERENCE_DESCR1]])</f>
        <v>19</v>
      </c>
    </row>
    <row r="2307" spans="1:10" hidden="1">
      <c r="A2307" t="s">
        <v>2925</v>
      </c>
      <c r="B2307" t="s">
        <v>4977</v>
      </c>
      <c r="C2307" t="s">
        <v>4978</v>
      </c>
      <c r="J2307">
        <f>LEN(Table13[[#This Row],[REFERENCE_DESCR1]])</f>
        <v>10</v>
      </c>
    </row>
    <row r="2308" spans="1:10" hidden="1">
      <c r="A2308" t="s">
        <v>2925</v>
      </c>
      <c r="B2308" t="s">
        <v>4979</v>
      </c>
      <c r="C2308" t="s">
        <v>4980</v>
      </c>
      <c r="J2308">
        <f>LEN(Table13[[#This Row],[REFERENCE_DESCR1]])</f>
        <v>8</v>
      </c>
    </row>
    <row r="2309" spans="1:10" hidden="1">
      <c r="A2309" t="s">
        <v>2925</v>
      </c>
      <c r="B2309" t="s">
        <v>4981</v>
      </c>
      <c r="C2309" t="s">
        <v>4982</v>
      </c>
      <c r="J2309">
        <f>LEN(Table13[[#This Row],[REFERENCE_DESCR1]])</f>
        <v>9</v>
      </c>
    </row>
    <row r="2310" spans="1:10" hidden="1">
      <c r="A2310" t="s">
        <v>2925</v>
      </c>
      <c r="B2310" t="s">
        <v>4983</v>
      </c>
      <c r="C2310" t="s">
        <v>4984</v>
      </c>
      <c r="J2310">
        <f>LEN(Table13[[#This Row],[REFERENCE_DESCR1]])</f>
        <v>6</v>
      </c>
    </row>
    <row r="2311" spans="1:10" hidden="1">
      <c r="A2311" t="s">
        <v>2925</v>
      </c>
      <c r="B2311" t="s">
        <v>4985</v>
      </c>
      <c r="C2311" t="s">
        <v>4986</v>
      </c>
      <c r="J2311">
        <f>LEN(Table13[[#This Row],[REFERENCE_DESCR1]])</f>
        <v>16</v>
      </c>
    </row>
    <row r="2312" spans="1:10" hidden="1">
      <c r="A2312" t="s">
        <v>2925</v>
      </c>
      <c r="B2312" t="s">
        <v>4987</v>
      </c>
      <c r="C2312" t="s">
        <v>4988</v>
      </c>
      <c r="J2312">
        <f>LEN(Table13[[#This Row],[REFERENCE_DESCR1]])</f>
        <v>30</v>
      </c>
    </row>
    <row r="2313" spans="1:10" hidden="1">
      <c r="A2313" t="s">
        <v>2925</v>
      </c>
      <c r="B2313" t="s">
        <v>4989</v>
      </c>
      <c r="C2313" t="s">
        <v>4990</v>
      </c>
      <c r="J2313">
        <f>LEN(Table13[[#This Row],[REFERENCE_DESCR1]])</f>
        <v>6</v>
      </c>
    </row>
    <row r="2314" spans="1:10" hidden="1">
      <c r="A2314" t="s">
        <v>2925</v>
      </c>
      <c r="B2314" t="s">
        <v>4991</v>
      </c>
      <c r="C2314" t="s">
        <v>4992</v>
      </c>
      <c r="J2314">
        <f>LEN(Table13[[#This Row],[REFERENCE_DESCR1]])</f>
        <v>7</v>
      </c>
    </row>
    <row r="2315" spans="1:10" hidden="1">
      <c r="A2315" t="s">
        <v>2925</v>
      </c>
      <c r="B2315" t="s">
        <v>4993</v>
      </c>
      <c r="C2315" t="s">
        <v>4994</v>
      </c>
      <c r="J2315">
        <f>LEN(Table13[[#This Row],[REFERENCE_DESCR1]])</f>
        <v>7</v>
      </c>
    </row>
    <row r="2316" spans="1:10" hidden="1">
      <c r="A2316" t="s">
        <v>2925</v>
      </c>
      <c r="B2316" t="s">
        <v>4995</v>
      </c>
      <c r="C2316" t="s">
        <v>4996</v>
      </c>
      <c r="J2316">
        <f>LEN(Table13[[#This Row],[REFERENCE_DESCR1]])</f>
        <v>13</v>
      </c>
    </row>
    <row r="2317" spans="1:10" hidden="1">
      <c r="A2317" t="s">
        <v>2925</v>
      </c>
      <c r="B2317" t="s">
        <v>4997</v>
      </c>
      <c r="C2317" t="s">
        <v>4998</v>
      </c>
      <c r="J2317">
        <f>LEN(Table13[[#This Row],[REFERENCE_DESCR1]])</f>
        <v>26</v>
      </c>
    </row>
    <row r="2318" spans="1:10" hidden="1">
      <c r="A2318" t="s">
        <v>2925</v>
      </c>
      <c r="B2318" t="s">
        <v>4999</v>
      </c>
      <c r="C2318" t="s">
        <v>5000</v>
      </c>
      <c r="J2318">
        <f>LEN(Table13[[#This Row],[REFERENCE_DESCR1]])</f>
        <v>24</v>
      </c>
    </row>
    <row r="2319" spans="1:10" hidden="1">
      <c r="A2319" t="s">
        <v>2925</v>
      </c>
      <c r="B2319" t="s">
        <v>5001</v>
      </c>
      <c r="C2319" t="s">
        <v>5002</v>
      </c>
      <c r="J2319">
        <f>LEN(Table13[[#This Row],[REFERENCE_DESCR1]])</f>
        <v>22</v>
      </c>
    </row>
    <row r="2320" spans="1:10" hidden="1">
      <c r="A2320" t="s">
        <v>2925</v>
      </c>
      <c r="B2320" t="s">
        <v>5003</v>
      </c>
      <c r="C2320" t="s">
        <v>5004</v>
      </c>
      <c r="J2320">
        <f>LEN(Table13[[#This Row],[REFERENCE_DESCR1]])</f>
        <v>24</v>
      </c>
    </row>
    <row r="2321" spans="1:10" hidden="1">
      <c r="A2321" t="s">
        <v>2925</v>
      </c>
      <c r="B2321" t="s">
        <v>5005</v>
      </c>
      <c r="C2321" t="s">
        <v>5006</v>
      </c>
      <c r="J2321">
        <f>LEN(Table13[[#This Row],[REFERENCE_DESCR1]])</f>
        <v>22</v>
      </c>
    </row>
    <row r="2322" spans="1:10" hidden="1">
      <c r="A2322" t="s">
        <v>2925</v>
      </c>
      <c r="B2322" t="s">
        <v>5007</v>
      </c>
      <c r="C2322" t="s">
        <v>5008</v>
      </c>
      <c r="J2322">
        <f>LEN(Table13[[#This Row],[REFERENCE_DESCR1]])</f>
        <v>21</v>
      </c>
    </row>
    <row r="2323" spans="1:10" hidden="1">
      <c r="A2323" t="s">
        <v>2925</v>
      </c>
      <c r="B2323" t="s">
        <v>5009</v>
      </c>
      <c r="C2323" t="s">
        <v>5010</v>
      </c>
      <c r="J2323">
        <f>LEN(Table13[[#This Row],[REFERENCE_DESCR1]])</f>
        <v>24</v>
      </c>
    </row>
    <row r="2324" spans="1:10" hidden="1">
      <c r="A2324" t="s">
        <v>2925</v>
      </c>
      <c r="B2324" t="s">
        <v>5011</v>
      </c>
      <c r="C2324" t="s">
        <v>5012</v>
      </c>
      <c r="J2324">
        <f>LEN(Table13[[#This Row],[REFERENCE_DESCR1]])</f>
        <v>24</v>
      </c>
    </row>
    <row r="2325" spans="1:10" hidden="1">
      <c r="A2325" t="s">
        <v>2925</v>
      </c>
      <c r="B2325" t="s">
        <v>5013</v>
      </c>
      <c r="C2325" t="s">
        <v>5014</v>
      </c>
      <c r="J2325">
        <f>LEN(Table13[[#This Row],[REFERENCE_DESCR1]])</f>
        <v>24</v>
      </c>
    </row>
    <row r="2326" spans="1:10" hidden="1">
      <c r="A2326" t="s">
        <v>2925</v>
      </c>
      <c r="B2326" t="s">
        <v>5015</v>
      </c>
      <c r="C2326" t="s">
        <v>5016</v>
      </c>
      <c r="J2326">
        <f>LEN(Table13[[#This Row],[REFERENCE_DESCR1]])</f>
        <v>24</v>
      </c>
    </row>
    <row r="2327" spans="1:10" hidden="1">
      <c r="A2327" t="s">
        <v>2925</v>
      </c>
      <c r="B2327" t="s">
        <v>5017</v>
      </c>
      <c r="C2327" t="s">
        <v>5018</v>
      </c>
      <c r="J2327">
        <f>LEN(Table13[[#This Row],[REFERENCE_DESCR1]])</f>
        <v>23</v>
      </c>
    </row>
    <row r="2328" spans="1:10" hidden="1">
      <c r="A2328" t="s">
        <v>2925</v>
      </c>
      <c r="B2328" t="s">
        <v>5019</v>
      </c>
      <c r="C2328" t="s">
        <v>5020</v>
      </c>
      <c r="J2328">
        <f>LEN(Table13[[#This Row],[REFERENCE_DESCR1]])</f>
        <v>29</v>
      </c>
    </row>
    <row r="2329" spans="1:10" hidden="1">
      <c r="A2329" t="s">
        <v>2925</v>
      </c>
      <c r="B2329" t="s">
        <v>5021</v>
      </c>
      <c r="C2329" t="s">
        <v>5022</v>
      </c>
      <c r="J2329">
        <f>LEN(Table13[[#This Row],[REFERENCE_DESCR1]])</f>
        <v>32</v>
      </c>
    </row>
    <row r="2330" spans="1:10" hidden="1">
      <c r="A2330" t="s">
        <v>2925</v>
      </c>
      <c r="B2330" t="s">
        <v>5023</v>
      </c>
      <c r="C2330" t="s">
        <v>5024</v>
      </c>
      <c r="J2330">
        <f>LEN(Table13[[#This Row],[REFERENCE_DESCR1]])</f>
        <v>12</v>
      </c>
    </row>
    <row r="2331" spans="1:10" hidden="1">
      <c r="A2331" t="s">
        <v>2925</v>
      </c>
      <c r="B2331" t="s">
        <v>5025</v>
      </c>
      <c r="C2331" t="s">
        <v>5026</v>
      </c>
      <c r="J2331">
        <f>LEN(Table13[[#This Row],[REFERENCE_DESCR1]])</f>
        <v>12</v>
      </c>
    </row>
    <row r="2332" spans="1:10" hidden="1">
      <c r="A2332" t="s">
        <v>2925</v>
      </c>
      <c r="B2332" t="s">
        <v>5027</v>
      </c>
      <c r="C2332" t="s">
        <v>5028</v>
      </c>
      <c r="J2332">
        <f>LEN(Table13[[#This Row],[REFERENCE_DESCR1]])</f>
        <v>11</v>
      </c>
    </row>
    <row r="2333" spans="1:10" hidden="1">
      <c r="A2333" t="s">
        <v>2925</v>
      </c>
      <c r="B2333" t="s">
        <v>5029</v>
      </c>
      <c r="C2333" t="s">
        <v>5030</v>
      </c>
      <c r="J2333">
        <f>LEN(Table13[[#This Row],[REFERENCE_DESCR1]])</f>
        <v>9</v>
      </c>
    </row>
    <row r="2334" spans="1:10" hidden="1">
      <c r="A2334" t="s">
        <v>2925</v>
      </c>
      <c r="B2334" t="s">
        <v>5031</v>
      </c>
      <c r="C2334" t="s">
        <v>5032</v>
      </c>
      <c r="J2334">
        <f>LEN(Table13[[#This Row],[REFERENCE_DESCR1]])</f>
        <v>21</v>
      </c>
    </row>
    <row r="2335" spans="1:10" hidden="1">
      <c r="A2335" t="s">
        <v>2925</v>
      </c>
      <c r="B2335" t="s">
        <v>5033</v>
      </c>
      <c r="C2335" t="s">
        <v>5034</v>
      </c>
      <c r="J2335">
        <f>LEN(Table13[[#This Row],[REFERENCE_DESCR1]])</f>
        <v>7</v>
      </c>
    </row>
    <row r="2336" spans="1:10" hidden="1">
      <c r="A2336" t="s">
        <v>2925</v>
      </c>
      <c r="B2336" t="s">
        <v>5035</v>
      </c>
      <c r="C2336" t="s">
        <v>5036</v>
      </c>
      <c r="J2336">
        <f>LEN(Table13[[#This Row],[REFERENCE_DESCR1]])</f>
        <v>13</v>
      </c>
    </row>
    <row r="2337" spans="1:10" hidden="1">
      <c r="A2337" t="s">
        <v>2925</v>
      </c>
      <c r="B2337" t="s">
        <v>5037</v>
      </c>
      <c r="C2337" t="s">
        <v>5038</v>
      </c>
      <c r="J2337">
        <f>LEN(Table13[[#This Row],[REFERENCE_DESCR1]])</f>
        <v>17</v>
      </c>
    </row>
    <row r="2338" spans="1:10" hidden="1">
      <c r="A2338" t="s">
        <v>2925</v>
      </c>
      <c r="B2338" t="s">
        <v>5039</v>
      </c>
      <c r="C2338" t="s">
        <v>5040</v>
      </c>
      <c r="J2338">
        <f>LEN(Table13[[#This Row],[REFERENCE_DESCR1]])</f>
        <v>9</v>
      </c>
    </row>
    <row r="2339" spans="1:10" hidden="1">
      <c r="A2339" t="s">
        <v>2925</v>
      </c>
      <c r="B2339" t="s">
        <v>5041</v>
      </c>
      <c r="C2339" t="s">
        <v>5042</v>
      </c>
      <c r="J2339">
        <f>LEN(Table13[[#This Row],[REFERENCE_DESCR1]])</f>
        <v>21</v>
      </c>
    </row>
    <row r="2340" spans="1:10" hidden="1">
      <c r="A2340" t="s">
        <v>2925</v>
      </c>
      <c r="B2340" t="s">
        <v>5043</v>
      </c>
      <c r="C2340" t="s">
        <v>5044</v>
      </c>
      <c r="J2340">
        <f>LEN(Table13[[#This Row],[REFERENCE_DESCR1]])</f>
        <v>14</v>
      </c>
    </row>
    <row r="2341" spans="1:10" hidden="1">
      <c r="A2341" t="s">
        <v>2925</v>
      </c>
      <c r="B2341" t="s">
        <v>5045</v>
      </c>
      <c r="C2341" t="s">
        <v>5046</v>
      </c>
      <c r="J2341">
        <f>LEN(Table13[[#This Row],[REFERENCE_DESCR1]])</f>
        <v>7</v>
      </c>
    </row>
    <row r="2342" spans="1:10" hidden="1">
      <c r="A2342" t="s">
        <v>2925</v>
      </c>
      <c r="B2342" t="s">
        <v>5047</v>
      </c>
      <c r="C2342" t="s">
        <v>5048</v>
      </c>
      <c r="J2342">
        <f>LEN(Table13[[#This Row],[REFERENCE_DESCR1]])</f>
        <v>10</v>
      </c>
    </row>
    <row r="2343" spans="1:10" hidden="1">
      <c r="A2343" t="s">
        <v>2925</v>
      </c>
      <c r="B2343" t="s">
        <v>5049</v>
      </c>
      <c r="C2343" t="s">
        <v>5050</v>
      </c>
      <c r="J2343">
        <f>LEN(Table13[[#This Row],[REFERENCE_DESCR1]])</f>
        <v>17</v>
      </c>
    </row>
    <row r="2344" spans="1:10" hidden="1">
      <c r="A2344" t="s">
        <v>2925</v>
      </c>
      <c r="B2344" t="s">
        <v>5051</v>
      </c>
      <c r="C2344" t="s">
        <v>5052</v>
      </c>
      <c r="J2344">
        <f>LEN(Table13[[#This Row],[REFERENCE_DESCR1]])</f>
        <v>8</v>
      </c>
    </row>
    <row r="2345" spans="1:10" hidden="1">
      <c r="A2345" t="s">
        <v>2925</v>
      </c>
      <c r="B2345" t="s">
        <v>5053</v>
      </c>
      <c r="C2345" t="s">
        <v>5054</v>
      </c>
      <c r="J2345">
        <f>LEN(Table13[[#This Row],[REFERENCE_DESCR1]])</f>
        <v>8</v>
      </c>
    </row>
    <row r="2346" spans="1:10" hidden="1">
      <c r="A2346" t="s">
        <v>2925</v>
      </c>
      <c r="B2346" t="s">
        <v>5055</v>
      </c>
      <c r="C2346" t="s">
        <v>5056</v>
      </c>
      <c r="J2346">
        <f>LEN(Table13[[#This Row],[REFERENCE_DESCR1]])</f>
        <v>12</v>
      </c>
    </row>
    <row r="2347" spans="1:10" hidden="1">
      <c r="A2347" t="s">
        <v>2925</v>
      </c>
      <c r="B2347" t="s">
        <v>5057</v>
      </c>
      <c r="C2347" t="s">
        <v>5058</v>
      </c>
      <c r="J2347">
        <f>LEN(Table13[[#This Row],[REFERENCE_DESCR1]])</f>
        <v>11</v>
      </c>
    </row>
    <row r="2348" spans="1:10" hidden="1">
      <c r="A2348" t="s">
        <v>2925</v>
      </c>
      <c r="B2348" t="s">
        <v>1904</v>
      </c>
      <c r="C2348" t="s">
        <v>5059</v>
      </c>
      <c r="J2348">
        <f>LEN(Table13[[#This Row],[REFERENCE_DESCR1]])</f>
        <v>9</v>
      </c>
    </row>
    <row r="2349" spans="1:10" hidden="1">
      <c r="A2349" t="s">
        <v>2925</v>
      </c>
      <c r="B2349" t="s">
        <v>5060</v>
      </c>
      <c r="C2349" t="s">
        <v>5061</v>
      </c>
      <c r="J2349">
        <f>LEN(Table13[[#This Row],[REFERENCE_DESCR1]])</f>
        <v>9</v>
      </c>
    </row>
    <row r="2350" spans="1:10" hidden="1">
      <c r="A2350" t="s">
        <v>2925</v>
      </c>
      <c r="B2350" t="s">
        <v>5062</v>
      </c>
      <c r="C2350" t="s">
        <v>5063</v>
      </c>
      <c r="J2350">
        <f>LEN(Table13[[#This Row],[REFERENCE_DESCR1]])</f>
        <v>21</v>
      </c>
    </row>
    <row r="2351" spans="1:10" hidden="1">
      <c r="A2351" t="s">
        <v>2925</v>
      </c>
      <c r="B2351" t="s">
        <v>5064</v>
      </c>
      <c r="C2351" t="s">
        <v>5065</v>
      </c>
      <c r="J2351">
        <f>LEN(Table13[[#This Row],[REFERENCE_DESCR1]])</f>
        <v>27</v>
      </c>
    </row>
    <row r="2352" spans="1:10" hidden="1">
      <c r="A2352" t="s">
        <v>2925</v>
      </c>
      <c r="B2352" t="s">
        <v>5066</v>
      </c>
      <c r="C2352" t="s">
        <v>5067</v>
      </c>
      <c r="J2352">
        <f>LEN(Table13[[#This Row],[REFERENCE_DESCR1]])</f>
        <v>22</v>
      </c>
    </row>
    <row r="2353" spans="1:10" hidden="1">
      <c r="A2353" t="s">
        <v>2925</v>
      </c>
      <c r="B2353" t="s">
        <v>5068</v>
      </c>
      <c r="C2353" t="s">
        <v>5069</v>
      </c>
      <c r="J2353">
        <f>LEN(Table13[[#This Row],[REFERENCE_DESCR1]])</f>
        <v>13</v>
      </c>
    </row>
    <row r="2354" spans="1:10" hidden="1">
      <c r="A2354" t="s">
        <v>2925</v>
      </c>
      <c r="B2354" t="s">
        <v>5070</v>
      </c>
      <c r="C2354" t="s">
        <v>5071</v>
      </c>
      <c r="J2354">
        <f>LEN(Table13[[#This Row],[REFERENCE_DESCR1]])</f>
        <v>19</v>
      </c>
    </row>
    <row r="2355" spans="1:10" hidden="1">
      <c r="A2355" t="s">
        <v>2925</v>
      </c>
      <c r="B2355" t="s">
        <v>5072</v>
      </c>
      <c r="C2355" t="s">
        <v>5073</v>
      </c>
      <c r="J2355">
        <f>LEN(Table13[[#This Row],[REFERENCE_DESCR1]])</f>
        <v>8</v>
      </c>
    </row>
    <row r="2356" spans="1:10" hidden="1">
      <c r="A2356" t="s">
        <v>2925</v>
      </c>
      <c r="B2356" t="s">
        <v>5074</v>
      </c>
      <c r="C2356" t="s">
        <v>5075</v>
      </c>
      <c r="J2356">
        <f>LEN(Table13[[#This Row],[REFERENCE_DESCR1]])</f>
        <v>7</v>
      </c>
    </row>
    <row r="2357" spans="1:10" hidden="1">
      <c r="A2357" t="s">
        <v>2925</v>
      </c>
      <c r="B2357" t="s">
        <v>5076</v>
      </c>
      <c r="C2357" t="s">
        <v>5077</v>
      </c>
      <c r="J2357">
        <f>LEN(Table13[[#This Row],[REFERENCE_DESCR1]])</f>
        <v>34</v>
      </c>
    </row>
    <row r="2358" spans="1:10" hidden="1">
      <c r="A2358" t="s">
        <v>2925</v>
      </c>
      <c r="B2358" t="s">
        <v>5078</v>
      </c>
      <c r="C2358" t="s">
        <v>5079</v>
      </c>
      <c r="J2358">
        <f>LEN(Table13[[#This Row],[REFERENCE_DESCR1]])</f>
        <v>27</v>
      </c>
    </row>
    <row r="2359" spans="1:10" hidden="1">
      <c r="A2359" t="s">
        <v>2925</v>
      </c>
      <c r="B2359" t="s">
        <v>5080</v>
      </c>
      <c r="C2359" t="s">
        <v>5081</v>
      </c>
      <c r="J2359">
        <f>LEN(Table13[[#This Row],[REFERENCE_DESCR1]])</f>
        <v>30</v>
      </c>
    </row>
    <row r="2360" spans="1:10" hidden="1">
      <c r="A2360" t="s">
        <v>2925</v>
      </c>
      <c r="B2360" t="s">
        <v>5082</v>
      </c>
      <c r="C2360" t="s">
        <v>5083</v>
      </c>
      <c r="J2360">
        <f>LEN(Table13[[#This Row],[REFERENCE_DESCR1]])</f>
        <v>19</v>
      </c>
    </row>
    <row r="2361" spans="1:10" hidden="1">
      <c r="A2361" t="s">
        <v>2925</v>
      </c>
      <c r="B2361" t="s">
        <v>5084</v>
      </c>
      <c r="C2361" t="s">
        <v>5085</v>
      </c>
      <c r="J2361">
        <f>LEN(Table13[[#This Row],[REFERENCE_DESCR1]])</f>
        <v>17</v>
      </c>
    </row>
    <row r="2362" spans="1:10" hidden="1">
      <c r="A2362" t="s">
        <v>2925</v>
      </c>
      <c r="B2362" t="s">
        <v>5086</v>
      </c>
      <c r="C2362" t="s">
        <v>5087</v>
      </c>
      <c r="J2362">
        <f>LEN(Table13[[#This Row],[REFERENCE_DESCR1]])</f>
        <v>11</v>
      </c>
    </row>
    <row r="2363" spans="1:10" hidden="1">
      <c r="A2363" t="s">
        <v>2925</v>
      </c>
      <c r="B2363" t="s">
        <v>5088</v>
      </c>
      <c r="C2363" t="s">
        <v>5089</v>
      </c>
      <c r="J2363">
        <f>LEN(Table13[[#This Row],[REFERENCE_DESCR1]])</f>
        <v>9</v>
      </c>
    </row>
    <row r="2364" spans="1:10" hidden="1">
      <c r="A2364" t="s">
        <v>2925</v>
      </c>
      <c r="B2364" t="s">
        <v>5090</v>
      </c>
      <c r="C2364" t="s">
        <v>5091</v>
      </c>
      <c r="J2364">
        <f>LEN(Table13[[#This Row],[REFERENCE_DESCR1]])</f>
        <v>9</v>
      </c>
    </row>
    <row r="2365" spans="1:10" hidden="1">
      <c r="A2365" t="s">
        <v>2925</v>
      </c>
      <c r="B2365" t="s">
        <v>5092</v>
      </c>
      <c r="C2365" t="s">
        <v>5093</v>
      </c>
      <c r="J2365">
        <f>LEN(Table13[[#This Row],[REFERENCE_DESCR1]])</f>
        <v>11</v>
      </c>
    </row>
    <row r="2366" spans="1:10" hidden="1">
      <c r="A2366" t="s">
        <v>2925</v>
      </c>
      <c r="B2366" t="s">
        <v>5094</v>
      </c>
      <c r="C2366" t="s">
        <v>5095</v>
      </c>
      <c r="J2366">
        <f>LEN(Table13[[#This Row],[REFERENCE_DESCR1]])</f>
        <v>12</v>
      </c>
    </row>
    <row r="2367" spans="1:10" hidden="1">
      <c r="A2367" t="s">
        <v>2925</v>
      </c>
      <c r="B2367" t="s">
        <v>2432</v>
      </c>
      <c r="C2367" t="s">
        <v>5096</v>
      </c>
      <c r="J2367">
        <f>LEN(Table13[[#This Row],[REFERENCE_DESCR1]])</f>
        <v>8</v>
      </c>
    </row>
    <row r="2368" spans="1:10" hidden="1">
      <c r="A2368" t="s">
        <v>2925</v>
      </c>
      <c r="B2368" t="s">
        <v>5097</v>
      </c>
      <c r="C2368" t="s">
        <v>5098</v>
      </c>
      <c r="J2368">
        <f>LEN(Table13[[#This Row],[REFERENCE_DESCR1]])</f>
        <v>15</v>
      </c>
    </row>
    <row r="2369" spans="1:10" hidden="1">
      <c r="A2369" t="s">
        <v>2925</v>
      </c>
      <c r="B2369" t="s">
        <v>5099</v>
      </c>
      <c r="C2369" t="s">
        <v>5100</v>
      </c>
      <c r="J2369">
        <f>LEN(Table13[[#This Row],[REFERENCE_DESCR1]])</f>
        <v>14</v>
      </c>
    </row>
    <row r="2370" spans="1:10" hidden="1">
      <c r="A2370" t="s">
        <v>2925</v>
      </c>
      <c r="B2370" t="s">
        <v>5101</v>
      </c>
      <c r="C2370" t="s">
        <v>5102</v>
      </c>
      <c r="J2370">
        <f>LEN(Table13[[#This Row],[REFERENCE_DESCR1]])</f>
        <v>10</v>
      </c>
    </row>
    <row r="2371" spans="1:10" hidden="1">
      <c r="A2371" t="s">
        <v>2925</v>
      </c>
      <c r="B2371" t="s">
        <v>5103</v>
      </c>
      <c r="C2371" t="s">
        <v>5104</v>
      </c>
      <c r="J2371">
        <f>LEN(Table13[[#This Row],[REFERENCE_DESCR1]])</f>
        <v>9</v>
      </c>
    </row>
    <row r="2372" spans="1:10" hidden="1">
      <c r="A2372" t="s">
        <v>2925</v>
      </c>
      <c r="B2372" t="s">
        <v>5105</v>
      </c>
      <c r="C2372" t="s">
        <v>5106</v>
      </c>
      <c r="J2372">
        <f>LEN(Table13[[#This Row],[REFERENCE_DESCR1]])</f>
        <v>11</v>
      </c>
    </row>
    <row r="2373" spans="1:10" hidden="1">
      <c r="A2373" t="s">
        <v>2925</v>
      </c>
      <c r="B2373" t="s">
        <v>5107</v>
      </c>
      <c r="C2373" t="s">
        <v>5108</v>
      </c>
      <c r="J2373">
        <f>LEN(Table13[[#This Row],[REFERENCE_DESCR1]])</f>
        <v>13</v>
      </c>
    </row>
    <row r="2374" spans="1:10" hidden="1">
      <c r="A2374" t="s">
        <v>2925</v>
      </c>
      <c r="B2374" t="s">
        <v>5109</v>
      </c>
      <c r="C2374" t="s">
        <v>5110</v>
      </c>
      <c r="J2374">
        <f>LEN(Table13[[#This Row],[REFERENCE_DESCR1]])</f>
        <v>5</v>
      </c>
    </row>
    <row r="2375" spans="1:10" hidden="1">
      <c r="A2375" t="s">
        <v>2925</v>
      </c>
      <c r="B2375" t="s">
        <v>5111</v>
      </c>
      <c r="C2375" t="s">
        <v>5112</v>
      </c>
      <c r="J2375">
        <f>LEN(Table13[[#This Row],[REFERENCE_DESCR1]])</f>
        <v>13</v>
      </c>
    </row>
    <row r="2376" spans="1:10" hidden="1">
      <c r="A2376" t="s">
        <v>2925</v>
      </c>
      <c r="B2376" t="s">
        <v>5113</v>
      </c>
      <c r="C2376" t="s">
        <v>5114</v>
      </c>
      <c r="J2376">
        <f>LEN(Table13[[#This Row],[REFERENCE_DESCR1]])</f>
        <v>9</v>
      </c>
    </row>
    <row r="2377" spans="1:10" hidden="1">
      <c r="A2377" t="s">
        <v>2925</v>
      </c>
      <c r="B2377" t="s">
        <v>5115</v>
      </c>
      <c r="C2377" t="s">
        <v>5116</v>
      </c>
      <c r="J2377">
        <f>LEN(Table13[[#This Row],[REFERENCE_DESCR1]])</f>
        <v>12</v>
      </c>
    </row>
    <row r="2378" spans="1:10" hidden="1">
      <c r="A2378" t="s">
        <v>2925</v>
      </c>
      <c r="B2378" t="s">
        <v>5117</v>
      </c>
      <c r="C2378" t="s">
        <v>5118</v>
      </c>
      <c r="J2378">
        <f>LEN(Table13[[#This Row],[REFERENCE_DESCR1]])</f>
        <v>8</v>
      </c>
    </row>
    <row r="2379" spans="1:10" hidden="1">
      <c r="A2379" t="s">
        <v>2925</v>
      </c>
      <c r="B2379" t="s">
        <v>5119</v>
      </c>
      <c r="C2379" t="s">
        <v>5120</v>
      </c>
      <c r="J2379">
        <f>LEN(Table13[[#This Row],[REFERENCE_DESCR1]])</f>
        <v>30</v>
      </c>
    </row>
    <row r="2380" spans="1:10" hidden="1">
      <c r="A2380" t="s">
        <v>2925</v>
      </c>
      <c r="B2380" t="s">
        <v>5121</v>
      </c>
      <c r="C2380" t="s">
        <v>5122</v>
      </c>
      <c r="J2380">
        <f>LEN(Table13[[#This Row],[REFERENCE_DESCR1]])</f>
        <v>9</v>
      </c>
    </row>
    <row r="2381" spans="1:10" hidden="1">
      <c r="A2381" t="s">
        <v>2925</v>
      </c>
      <c r="B2381" t="s">
        <v>5123</v>
      </c>
      <c r="C2381" t="s">
        <v>5124</v>
      </c>
      <c r="J2381">
        <f>LEN(Table13[[#This Row],[REFERENCE_DESCR1]])</f>
        <v>21</v>
      </c>
    </row>
    <row r="2382" spans="1:10" hidden="1">
      <c r="A2382" t="s">
        <v>2925</v>
      </c>
      <c r="B2382" t="s">
        <v>5125</v>
      </c>
      <c r="C2382" t="s">
        <v>5126</v>
      </c>
      <c r="J2382">
        <f>LEN(Table13[[#This Row],[REFERENCE_DESCR1]])</f>
        <v>21</v>
      </c>
    </row>
    <row r="2383" spans="1:10" hidden="1">
      <c r="A2383" t="s">
        <v>2925</v>
      </c>
      <c r="B2383" t="s">
        <v>5127</v>
      </c>
      <c r="C2383" t="s">
        <v>5128</v>
      </c>
      <c r="J2383">
        <f>LEN(Table13[[#This Row],[REFERENCE_DESCR1]])</f>
        <v>7</v>
      </c>
    </row>
    <row r="2384" spans="1:10" hidden="1">
      <c r="A2384" t="s">
        <v>2925</v>
      </c>
      <c r="B2384" t="s">
        <v>5129</v>
      </c>
      <c r="C2384" t="s">
        <v>5130</v>
      </c>
      <c r="J2384">
        <f>LEN(Table13[[#This Row],[REFERENCE_DESCR1]])</f>
        <v>19</v>
      </c>
    </row>
    <row r="2385" spans="1:10" hidden="1">
      <c r="A2385" t="s">
        <v>2925</v>
      </c>
      <c r="B2385" t="s">
        <v>5131</v>
      </c>
      <c r="C2385" t="s">
        <v>5132</v>
      </c>
      <c r="J2385">
        <f>LEN(Table13[[#This Row],[REFERENCE_DESCR1]])</f>
        <v>7</v>
      </c>
    </row>
    <row r="2386" spans="1:10" hidden="1">
      <c r="A2386" t="s">
        <v>2925</v>
      </c>
      <c r="B2386" t="s">
        <v>5133</v>
      </c>
      <c r="C2386" t="s">
        <v>5134</v>
      </c>
      <c r="J2386">
        <f>LEN(Table13[[#This Row],[REFERENCE_DESCR1]])</f>
        <v>8</v>
      </c>
    </row>
    <row r="2387" spans="1:10" hidden="1">
      <c r="A2387" t="s">
        <v>2925</v>
      </c>
      <c r="B2387" t="s">
        <v>5135</v>
      </c>
      <c r="C2387" t="s">
        <v>5136</v>
      </c>
      <c r="J2387">
        <f>LEN(Table13[[#This Row],[REFERENCE_DESCR1]])</f>
        <v>8</v>
      </c>
    </row>
    <row r="2388" spans="1:10" hidden="1">
      <c r="A2388" t="s">
        <v>2925</v>
      </c>
      <c r="B2388" t="s">
        <v>5137</v>
      </c>
      <c r="C2388" t="s">
        <v>5138</v>
      </c>
      <c r="J2388">
        <f>LEN(Table13[[#This Row],[REFERENCE_DESCR1]])</f>
        <v>9</v>
      </c>
    </row>
    <row r="2389" spans="1:10" hidden="1">
      <c r="A2389" t="s">
        <v>2925</v>
      </c>
      <c r="B2389" t="s">
        <v>5139</v>
      </c>
      <c r="C2389" t="s">
        <v>1629</v>
      </c>
      <c r="J2389">
        <f>LEN(Table13[[#This Row],[REFERENCE_DESCR1]])</f>
        <v>7</v>
      </c>
    </row>
    <row r="2390" spans="1:10" hidden="1">
      <c r="A2390" t="s">
        <v>2925</v>
      </c>
      <c r="B2390" t="s">
        <v>5140</v>
      </c>
      <c r="C2390" t="s">
        <v>5141</v>
      </c>
      <c r="J2390">
        <f>LEN(Table13[[#This Row],[REFERENCE_DESCR1]])</f>
        <v>9</v>
      </c>
    </row>
    <row r="2391" spans="1:10" hidden="1">
      <c r="A2391" t="s">
        <v>2925</v>
      </c>
      <c r="B2391" t="s">
        <v>5142</v>
      </c>
      <c r="C2391" t="s">
        <v>5143</v>
      </c>
      <c r="J2391">
        <f>LEN(Table13[[#This Row],[REFERENCE_DESCR1]])</f>
        <v>7</v>
      </c>
    </row>
    <row r="2392" spans="1:10" hidden="1">
      <c r="A2392" t="s">
        <v>2925</v>
      </c>
      <c r="B2392" t="s">
        <v>5144</v>
      </c>
      <c r="C2392" t="s">
        <v>5145</v>
      </c>
      <c r="J2392">
        <f>LEN(Table13[[#This Row],[REFERENCE_DESCR1]])</f>
        <v>7</v>
      </c>
    </row>
    <row r="2393" spans="1:10" hidden="1">
      <c r="A2393" t="s">
        <v>2925</v>
      </c>
      <c r="B2393" t="s">
        <v>5146</v>
      </c>
      <c r="C2393" t="s">
        <v>5147</v>
      </c>
      <c r="J2393">
        <f>LEN(Table13[[#This Row],[REFERENCE_DESCR1]])</f>
        <v>12</v>
      </c>
    </row>
    <row r="2394" spans="1:10" hidden="1">
      <c r="A2394" t="s">
        <v>2925</v>
      </c>
      <c r="B2394" t="s">
        <v>5148</v>
      </c>
      <c r="C2394" t="s">
        <v>5149</v>
      </c>
      <c r="J2394">
        <f>LEN(Table13[[#This Row],[REFERENCE_DESCR1]])</f>
        <v>20</v>
      </c>
    </row>
    <row r="2395" spans="1:10" hidden="1">
      <c r="A2395" t="s">
        <v>2925</v>
      </c>
      <c r="B2395" t="s">
        <v>5150</v>
      </c>
      <c r="C2395" t="s">
        <v>5151</v>
      </c>
      <c r="J2395">
        <f>LEN(Table13[[#This Row],[REFERENCE_DESCR1]])</f>
        <v>16</v>
      </c>
    </row>
    <row r="2396" spans="1:10" hidden="1">
      <c r="A2396" t="s">
        <v>2925</v>
      </c>
      <c r="B2396" t="s">
        <v>5152</v>
      </c>
      <c r="C2396" t="s">
        <v>5153</v>
      </c>
      <c r="J2396">
        <f>LEN(Table13[[#This Row],[REFERENCE_DESCR1]])</f>
        <v>6</v>
      </c>
    </row>
    <row r="2397" spans="1:10" hidden="1">
      <c r="A2397" t="s">
        <v>2925</v>
      </c>
      <c r="B2397" t="s">
        <v>5154</v>
      </c>
      <c r="C2397" t="s">
        <v>5155</v>
      </c>
      <c r="J2397">
        <f>LEN(Table13[[#This Row],[REFERENCE_DESCR1]])</f>
        <v>8</v>
      </c>
    </row>
    <row r="2398" spans="1:10" hidden="1">
      <c r="A2398" t="s">
        <v>2925</v>
      </c>
      <c r="B2398" t="s">
        <v>5156</v>
      </c>
      <c r="C2398" t="s">
        <v>5157</v>
      </c>
      <c r="J2398">
        <f>LEN(Table13[[#This Row],[REFERENCE_DESCR1]])</f>
        <v>8</v>
      </c>
    </row>
    <row r="2399" spans="1:10" hidden="1">
      <c r="A2399" t="s">
        <v>2925</v>
      </c>
      <c r="B2399" t="s">
        <v>5158</v>
      </c>
      <c r="C2399" t="s">
        <v>5159</v>
      </c>
      <c r="J2399">
        <f>LEN(Table13[[#This Row],[REFERENCE_DESCR1]])</f>
        <v>7</v>
      </c>
    </row>
    <row r="2400" spans="1:10" hidden="1">
      <c r="A2400" t="s">
        <v>2925</v>
      </c>
      <c r="B2400" t="s">
        <v>5160</v>
      </c>
      <c r="C2400" t="s">
        <v>5161</v>
      </c>
      <c r="J2400">
        <f>LEN(Table13[[#This Row],[REFERENCE_DESCR1]])</f>
        <v>11</v>
      </c>
    </row>
    <row r="2401" spans="1:10" hidden="1">
      <c r="A2401" t="s">
        <v>2925</v>
      </c>
      <c r="B2401" t="s">
        <v>5162</v>
      </c>
      <c r="C2401" t="s">
        <v>5163</v>
      </c>
      <c r="J2401">
        <f>LEN(Table13[[#This Row],[REFERENCE_DESCR1]])</f>
        <v>7</v>
      </c>
    </row>
    <row r="2402" spans="1:10" hidden="1">
      <c r="A2402" t="s">
        <v>2925</v>
      </c>
      <c r="B2402" t="s">
        <v>5164</v>
      </c>
      <c r="C2402" t="s">
        <v>5165</v>
      </c>
      <c r="J2402">
        <f>LEN(Table13[[#This Row],[REFERENCE_DESCR1]])</f>
        <v>9</v>
      </c>
    </row>
    <row r="2403" spans="1:10" hidden="1">
      <c r="A2403" t="s">
        <v>2925</v>
      </c>
      <c r="B2403" t="s">
        <v>5166</v>
      </c>
      <c r="C2403" t="s">
        <v>5167</v>
      </c>
      <c r="J2403">
        <f>LEN(Table13[[#This Row],[REFERENCE_DESCR1]])</f>
        <v>7</v>
      </c>
    </row>
    <row r="2404" spans="1:10" hidden="1">
      <c r="A2404" t="s">
        <v>2925</v>
      </c>
      <c r="B2404" t="s">
        <v>5168</v>
      </c>
      <c r="C2404" t="s">
        <v>5169</v>
      </c>
      <c r="J2404">
        <f>LEN(Table13[[#This Row],[REFERENCE_DESCR1]])</f>
        <v>11</v>
      </c>
    </row>
    <row r="2405" spans="1:10" hidden="1">
      <c r="A2405" t="s">
        <v>2925</v>
      </c>
      <c r="B2405" t="s">
        <v>5170</v>
      </c>
      <c r="C2405" t="s">
        <v>5171</v>
      </c>
      <c r="J2405">
        <f>LEN(Table13[[#This Row],[REFERENCE_DESCR1]])</f>
        <v>9</v>
      </c>
    </row>
    <row r="2406" spans="1:10" hidden="1">
      <c r="A2406" t="s">
        <v>2925</v>
      </c>
      <c r="B2406" t="s">
        <v>5172</v>
      </c>
      <c r="C2406" t="s">
        <v>5173</v>
      </c>
      <c r="J2406">
        <f>LEN(Table13[[#This Row],[REFERENCE_DESCR1]])</f>
        <v>10</v>
      </c>
    </row>
    <row r="2407" spans="1:10" hidden="1">
      <c r="A2407" t="s">
        <v>2925</v>
      </c>
      <c r="B2407" t="s">
        <v>5174</v>
      </c>
      <c r="C2407" t="s">
        <v>5175</v>
      </c>
      <c r="J2407">
        <f>LEN(Table13[[#This Row],[REFERENCE_DESCR1]])</f>
        <v>32</v>
      </c>
    </row>
    <row r="2408" spans="1:10" hidden="1">
      <c r="A2408" t="s">
        <v>2925</v>
      </c>
      <c r="B2408" t="s">
        <v>5176</v>
      </c>
      <c r="C2408" t="s">
        <v>5177</v>
      </c>
      <c r="J2408">
        <f>LEN(Table13[[#This Row],[REFERENCE_DESCR1]])</f>
        <v>13</v>
      </c>
    </row>
    <row r="2409" spans="1:10" hidden="1">
      <c r="A2409" t="s">
        <v>2925</v>
      </c>
      <c r="B2409" t="s">
        <v>5178</v>
      </c>
      <c r="C2409" t="s">
        <v>5179</v>
      </c>
      <c r="J2409">
        <f>LEN(Table13[[#This Row],[REFERENCE_DESCR1]])</f>
        <v>13</v>
      </c>
    </row>
    <row r="2410" spans="1:10" hidden="1">
      <c r="A2410" t="s">
        <v>2925</v>
      </c>
      <c r="B2410" t="s">
        <v>5180</v>
      </c>
      <c r="C2410" t="s">
        <v>5181</v>
      </c>
      <c r="J2410">
        <f>LEN(Table13[[#This Row],[REFERENCE_DESCR1]])</f>
        <v>6</v>
      </c>
    </row>
    <row r="2411" spans="1:10" hidden="1">
      <c r="A2411" t="s">
        <v>2925</v>
      </c>
      <c r="B2411" t="s">
        <v>5182</v>
      </c>
      <c r="C2411" t="s">
        <v>5183</v>
      </c>
      <c r="J2411">
        <f>LEN(Table13[[#This Row],[REFERENCE_DESCR1]])</f>
        <v>9</v>
      </c>
    </row>
    <row r="2412" spans="1:10" hidden="1">
      <c r="A2412" t="s">
        <v>2925</v>
      </c>
      <c r="B2412" t="s">
        <v>5184</v>
      </c>
      <c r="C2412" t="s">
        <v>5185</v>
      </c>
      <c r="J2412">
        <f>LEN(Table13[[#This Row],[REFERENCE_DESCR1]])</f>
        <v>6</v>
      </c>
    </row>
    <row r="2413" spans="1:10" hidden="1">
      <c r="A2413" t="s">
        <v>2925</v>
      </c>
      <c r="B2413" t="s">
        <v>5186</v>
      </c>
      <c r="C2413" t="s">
        <v>5187</v>
      </c>
      <c r="J2413">
        <f>LEN(Table13[[#This Row],[REFERENCE_DESCR1]])</f>
        <v>10</v>
      </c>
    </row>
    <row r="2414" spans="1:10" hidden="1">
      <c r="A2414" t="s">
        <v>2925</v>
      </c>
      <c r="B2414" t="s">
        <v>5188</v>
      </c>
      <c r="C2414" t="s">
        <v>5189</v>
      </c>
      <c r="J2414">
        <f>LEN(Table13[[#This Row],[REFERENCE_DESCR1]])</f>
        <v>15</v>
      </c>
    </row>
    <row r="2415" spans="1:10" hidden="1">
      <c r="A2415" t="s">
        <v>2925</v>
      </c>
      <c r="B2415" t="s">
        <v>5190</v>
      </c>
      <c r="C2415" t="s">
        <v>5191</v>
      </c>
      <c r="J2415">
        <f>LEN(Table13[[#This Row],[REFERENCE_DESCR1]])</f>
        <v>9</v>
      </c>
    </row>
    <row r="2416" spans="1:10" hidden="1">
      <c r="A2416" t="s">
        <v>2925</v>
      </c>
      <c r="B2416" t="s">
        <v>5192</v>
      </c>
      <c r="C2416" t="s">
        <v>5193</v>
      </c>
      <c r="J2416">
        <f>LEN(Table13[[#This Row],[REFERENCE_DESCR1]])</f>
        <v>10</v>
      </c>
    </row>
    <row r="2417" spans="1:10" hidden="1">
      <c r="A2417" t="s">
        <v>2925</v>
      </c>
      <c r="B2417" t="s">
        <v>5194</v>
      </c>
      <c r="C2417" t="s">
        <v>5195</v>
      </c>
      <c r="J2417">
        <f>LEN(Table13[[#This Row],[REFERENCE_DESCR1]])</f>
        <v>7</v>
      </c>
    </row>
    <row r="2418" spans="1:10" hidden="1">
      <c r="A2418" t="s">
        <v>2925</v>
      </c>
      <c r="B2418" t="s">
        <v>5196</v>
      </c>
      <c r="C2418" t="s">
        <v>5197</v>
      </c>
      <c r="J2418">
        <f>LEN(Table13[[#This Row],[REFERENCE_DESCR1]])</f>
        <v>19</v>
      </c>
    </row>
    <row r="2419" spans="1:10" hidden="1">
      <c r="A2419" t="s">
        <v>2925</v>
      </c>
      <c r="B2419" t="s">
        <v>5198</v>
      </c>
      <c r="C2419" t="s">
        <v>5199</v>
      </c>
      <c r="J2419">
        <f>LEN(Table13[[#This Row],[REFERENCE_DESCR1]])</f>
        <v>25</v>
      </c>
    </row>
    <row r="2420" spans="1:10" hidden="1">
      <c r="A2420" t="s">
        <v>2925</v>
      </c>
      <c r="B2420" t="s">
        <v>5200</v>
      </c>
      <c r="C2420" t="s">
        <v>5201</v>
      </c>
      <c r="J2420">
        <f>LEN(Table13[[#This Row],[REFERENCE_DESCR1]])</f>
        <v>20</v>
      </c>
    </row>
    <row r="2421" spans="1:10" hidden="1">
      <c r="A2421" t="s">
        <v>2925</v>
      </c>
      <c r="B2421" t="s">
        <v>5202</v>
      </c>
      <c r="C2421" t="s">
        <v>5203</v>
      </c>
      <c r="J2421">
        <f>LEN(Table13[[#This Row],[REFERENCE_DESCR1]])</f>
        <v>10</v>
      </c>
    </row>
    <row r="2422" spans="1:10" hidden="1">
      <c r="A2422" t="s">
        <v>2925</v>
      </c>
      <c r="B2422" t="s">
        <v>5204</v>
      </c>
      <c r="C2422" t="s">
        <v>5205</v>
      </c>
      <c r="J2422">
        <f>LEN(Table13[[#This Row],[REFERENCE_DESCR1]])</f>
        <v>14</v>
      </c>
    </row>
    <row r="2423" spans="1:10" hidden="1">
      <c r="A2423" t="s">
        <v>2925</v>
      </c>
      <c r="B2423" t="s">
        <v>5206</v>
      </c>
      <c r="C2423" t="s">
        <v>5207</v>
      </c>
      <c r="J2423">
        <f>LEN(Table13[[#This Row],[REFERENCE_DESCR1]])</f>
        <v>15</v>
      </c>
    </row>
    <row r="2424" spans="1:10" hidden="1">
      <c r="A2424" t="s">
        <v>2925</v>
      </c>
      <c r="B2424" t="s">
        <v>5208</v>
      </c>
      <c r="C2424" t="s">
        <v>5209</v>
      </c>
      <c r="J2424">
        <f>LEN(Table13[[#This Row],[REFERENCE_DESCR1]])</f>
        <v>12</v>
      </c>
    </row>
    <row r="2425" spans="1:10" hidden="1">
      <c r="A2425" t="s">
        <v>2925</v>
      </c>
      <c r="B2425" t="s">
        <v>5210</v>
      </c>
      <c r="C2425" t="s">
        <v>5211</v>
      </c>
      <c r="J2425">
        <f>LEN(Table13[[#This Row],[REFERENCE_DESCR1]])</f>
        <v>12</v>
      </c>
    </row>
    <row r="2426" spans="1:10" hidden="1">
      <c r="A2426" t="s">
        <v>2925</v>
      </c>
      <c r="B2426" t="s">
        <v>5212</v>
      </c>
      <c r="C2426" t="s">
        <v>5213</v>
      </c>
      <c r="J2426">
        <f>LEN(Table13[[#This Row],[REFERENCE_DESCR1]])</f>
        <v>27</v>
      </c>
    </row>
    <row r="2427" spans="1:10" hidden="1">
      <c r="A2427" t="s">
        <v>2925</v>
      </c>
      <c r="B2427" t="s">
        <v>5214</v>
      </c>
      <c r="C2427" t="s">
        <v>5215</v>
      </c>
      <c r="J2427">
        <f>LEN(Table13[[#This Row],[REFERENCE_DESCR1]])</f>
        <v>27</v>
      </c>
    </row>
    <row r="2428" spans="1:10" hidden="1">
      <c r="A2428" t="s">
        <v>2925</v>
      </c>
      <c r="B2428" t="s">
        <v>5216</v>
      </c>
      <c r="C2428" t="s">
        <v>5217</v>
      </c>
      <c r="J2428">
        <f>LEN(Table13[[#This Row],[REFERENCE_DESCR1]])</f>
        <v>17</v>
      </c>
    </row>
    <row r="2429" spans="1:10" hidden="1">
      <c r="A2429" t="s">
        <v>2925</v>
      </c>
      <c r="B2429" t="s">
        <v>5218</v>
      </c>
      <c r="C2429" t="s">
        <v>5219</v>
      </c>
      <c r="J2429">
        <f>LEN(Table13[[#This Row],[REFERENCE_DESCR1]])</f>
        <v>6</v>
      </c>
    </row>
    <row r="2430" spans="1:10" hidden="1">
      <c r="A2430" t="s">
        <v>2925</v>
      </c>
      <c r="B2430" t="s">
        <v>5220</v>
      </c>
      <c r="C2430" t="s">
        <v>5221</v>
      </c>
      <c r="J2430">
        <f>LEN(Table13[[#This Row],[REFERENCE_DESCR1]])</f>
        <v>18</v>
      </c>
    </row>
    <row r="2431" spans="1:10" hidden="1">
      <c r="A2431" t="s">
        <v>2925</v>
      </c>
      <c r="B2431" t="s">
        <v>5222</v>
      </c>
      <c r="C2431" t="s">
        <v>5223</v>
      </c>
      <c r="J2431">
        <f>LEN(Table13[[#This Row],[REFERENCE_DESCR1]])</f>
        <v>6</v>
      </c>
    </row>
    <row r="2432" spans="1:10" hidden="1">
      <c r="A2432" t="s">
        <v>2925</v>
      </c>
      <c r="B2432" t="s">
        <v>5224</v>
      </c>
      <c r="C2432" t="s">
        <v>5225</v>
      </c>
      <c r="J2432">
        <f>LEN(Table13[[#This Row],[REFERENCE_DESCR1]])</f>
        <v>8</v>
      </c>
    </row>
    <row r="2433" spans="1:10" hidden="1">
      <c r="A2433" t="s">
        <v>2925</v>
      </c>
      <c r="B2433" t="s">
        <v>5226</v>
      </c>
      <c r="C2433" t="s">
        <v>5227</v>
      </c>
      <c r="J2433">
        <f>LEN(Table13[[#This Row],[REFERENCE_DESCR1]])</f>
        <v>11</v>
      </c>
    </row>
    <row r="2434" spans="1:10" hidden="1">
      <c r="A2434" t="s">
        <v>2925</v>
      </c>
      <c r="B2434" t="s">
        <v>5228</v>
      </c>
      <c r="C2434" t="s">
        <v>5229</v>
      </c>
      <c r="J2434">
        <f>LEN(Table13[[#This Row],[REFERENCE_DESCR1]])</f>
        <v>5</v>
      </c>
    </row>
    <row r="2435" spans="1:10" hidden="1">
      <c r="A2435" t="s">
        <v>2925</v>
      </c>
      <c r="B2435" t="s">
        <v>5230</v>
      </c>
      <c r="C2435" t="s">
        <v>5231</v>
      </c>
      <c r="J2435">
        <f>LEN(Table13[[#This Row],[REFERENCE_DESCR1]])</f>
        <v>15</v>
      </c>
    </row>
    <row r="2436" spans="1:10" hidden="1">
      <c r="A2436" t="s">
        <v>2925</v>
      </c>
      <c r="B2436" t="s">
        <v>5232</v>
      </c>
      <c r="C2436" t="s">
        <v>5233</v>
      </c>
      <c r="J2436">
        <f>LEN(Table13[[#This Row],[REFERENCE_DESCR1]])</f>
        <v>6</v>
      </c>
    </row>
    <row r="2437" spans="1:10" hidden="1">
      <c r="A2437" t="s">
        <v>2925</v>
      </c>
      <c r="B2437" t="s">
        <v>5234</v>
      </c>
      <c r="C2437" t="s">
        <v>5235</v>
      </c>
      <c r="J2437">
        <f>LEN(Table13[[#This Row],[REFERENCE_DESCR1]])</f>
        <v>9</v>
      </c>
    </row>
    <row r="2438" spans="1:10" hidden="1">
      <c r="A2438" t="s">
        <v>2925</v>
      </c>
      <c r="B2438" t="s">
        <v>5236</v>
      </c>
      <c r="C2438" t="s">
        <v>5237</v>
      </c>
      <c r="J2438">
        <f>LEN(Table13[[#This Row],[REFERENCE_DESCR1]])</f>
        <v>6</v>
      </c>
    </row>
    <row r="2439" spans="1:10" hidden="1">
      <c r="A2439" t="s">
        <v>2925</v>
      </c>
      <c r="B2439" t="s">
        <v>5238</v>
      </c>
      <c r="C2439" t="s">
        <v>5239</v>
      </c>
      <c r="J2439">
        <f>LEN(Table13[[#This Row],[REFERENCE_DESCR1]])</f>
        <v>7</v>
      </c>
    </row>
    <row r="2440" spans="1:10" hidden="1">
      <c r="A2440" t="s">
        <v>2925</v>
      </c>
      <c r="B2440" t="s">
        <v>5240</v>
      </c>
      <c r="C2440" t="s">
        <v>5241</v>
      </c>
      <c r="J2440">
        <f>LEN(Table13[[#This Row],[REFERENCE_DESCR1]])</f>
        <v>9</v>
      </c>
    </row>
    <row r="2441" spans="1:10" hidden="1">
      <c r="A2441" t="s">
        <v>2925</v>
      </c>
      <c r="B2441" t="s">
        <v>5242</v>
      </c>
      <c r="C2441" t="s">
        <v>5243</v>
      </c>
      <c r="J2441">
        <f>LEN(Table13[[#This Row],[REFERENCE_DESCR1]])</f>
        <v>8</v>
      </c>
    </row>
    <row r="2442" spans="1:10" hidden="1">
      <c r="A2442" t="s">
        <v>2925</v>
      </c>
      <c r="B2442" t="s">
        <v>5244</v>
      </c>
      <c r="C2442" t="s">
        <v>5245</v>
      </c>
      <c r="J2442">
        <f>LEN(Table13[[#This Row],[REFERENCE_DESCR1]])</f>
        <v>15</v>
      </c>
    </row>
    <row r="2443" spans="1:10" hidden="1">
      <c r="A2443" t="s">
        <v>2925</v>
      </c>
      <c r="B2443" t="s">
        <v>5246</v>
      </c>
      <c r="C2443" t="s">
        <v>5247</v>
      </c>
      <c r="J2443">
        <f>LEN(Table13[[#This Row],[REFERENCE_DESCR1]])</f>
        <v>15</v>
      </c>
    </row>
    <row r="2444" spans="1:10" hidden="1">
      <c r="A2444" t="s">
        <v>2925</v>
      </c>
      <c r="B2444" t="s">
        <v>5248</v>
      </c>
      <c r="C2444" t="s">
        <v>5249</v>
      </c>
      <c r="J2444">
        <f>LEN(Table13[[#This Row],[REFERENCE_DESCR1]])</f>
        <v>5</v>
      </c>
    </row>
    <row r="2445" spans="1:10" hidden="1">
      <c r="A2445" t="s">
        <v>2925</v>
      </c>
      <c r="B2445" t="s">
        <v>5250</v>
      </c>
      <c r="C2445" t="s">
        <v>5251</v>
      </c>
      <c r="J2445">
        <f>LEN(Table13[[#This Row],[REFERENCE_DESCR1]])</f>
        <v>11</v>
      </c>
    </row>
    <row r="2446" spans="1:10" hidden="1">
      <c r="A2446" t="s">
        <v>2925</v>
      </c>
      <c r="B2446" t="s">
        <v>5252</v>
      </c>
      <c r="C2446" t="s">
        <v>5253</v>
      </c>
      <c r="J2446">
        <f>LEN(Table13[[#This Row],[REFERENCE_DESCR1]])</f>
        <v>12</v>
      </c>
    </row>
    <row r="2447" spans="1:10" hidden="1">
      <c r="A2447" t="s">
        <v>2925</v>
      </c>
      <c r="B2447" t="s">
        <v>5254</v>
      </c>
      <c r="C2447" t="s">
        <v>5255</v>
      </c>
      <c r="J2447">
        <f>LEN(Table13[[#This Row],[REFERENCE_DESCR1]])</f>
        <v>9</v>
      </c>
    </row>
    <row r="2448" spans="1:10" hidden="1">
      <c r="A2448" t="s">
        <v>2925</v>
      </c>
      <c r="B2448" t="s">
        <v>5256</v>
      </c>
      <c r="C2448" t="s">
        <v>5257</v>
      </c>
      <c r="J2448">
        <f>LEN(Table13[[#This Row],[REFERENCE_DESCR1]])</f>
        <v>8</v>
      </c>
    </row>
    <row r="2449" spans="1:10" hidden="1">
      <c r="A2449" t="s">
        <v>2925</v>
      </c>
      <c r="B2449" t="s">
        <v>5258</v>
      </c>
      <c r="C2449" t="s">
        <v>5259</v>
      </c>
      <c r="J2449">
        <f>LEN(Table13[[#This Row],[REFERENCE_DESCR1]])</f>
        <v>12</v>
      </c>
    </row>
    <row r="2450" spans="1:10" hidden="1">
      <c r="A2450" t="s">
        <v>2925</v>
      </c>
      <c r="B2450" t="s">
        <v>5260</v>
      </c>
      <c r="C2450" t="s">
        <v>5261</v>
      </c>
      <c r="J2450">
        <f>LEN(Table13[[#This Row],[REFERENCE_DESCR1]])</f>
        <v>15</v>
      </c>
    </row>
    <row r="2451" spans="1:10" hidden="1">
      <c r="A2451" t="s">
        <v>2925</v>
      </c>
      <c r="B2451" t="s">
        <v>5262</v>
      </c>
      <c r="C2451" t="s">
        <v>5263</v>
      </c>
      <c r="J2451">
        <f>LEN(Table13[[#This Row],[REFERENCE_DESCR1]])</f>
        <v>6</v>
      </c>
    </row>
    <row r="2452" spans="1:10" hidden="1">
      <c r="A2452" t="s">
        <v>2925</v>
      </c>
      <c r="B2452" t="s">
        <v>5264</v>
      </c>
      <c r="C2452" t="s">
        <v>5265</v>
      </c>
      <c r="J2452">
        <f>LEN(Table13[[#This Row],[REFERENCE_DESCR1]])</f>
        <v>5</v>
      </c>
    </row>
    <row r="2453" spans="1:10" hidden="1">
      <c r="A2453" t="s">
        <v>2925</v>
      </c>
      <c r="B2453" t="s">
        <v>5266</v>
      </c>
      <c r="C2453" t="s">
        <v>5267</v>
      </c>
      <c r="J2453">
        <f>LEN(Table13[[#This Row],[REFERENCE_DESCR1]])</f>
        <v>13</v>
      </c>
    </row>
    <row r="2454" spans="1:10" hidden="1">
      <c r="A2454" t="s">
        <v>2925</v>
      </c>
      <c r="B2454" t="s">
        <v>5268</v>
      </c>
      <c r="C2454" t="s">
        <v>5269</v>
      </c>
      <c r="J2454">
        <f>LEN(Table13[[#This Row],[REFERENCE_DESCR1]])</f>
        <v>8</v>
      </c>
    </row>
    <row r="2455" spans="1:10" hidden="1">
      <c r="A2455" t="s">
        <v>2925</v>
      </c>
      <c r="B2455" t="s">
        <v>5270</v>
      </c>
      <c r="C2455" t="s">
        <v>5271</v>
      </c>
      <c r="J2455">
        <f>LEN(Table13[[#This Row],[REFERENCE_DESCR1]])</f>
        <v>6</v>
      </c>
    </row>
    <row r="2456" spans="1:10" hidden="1">
      <c r="A2456" t="s">
        <v>2925</v>
      </c>
      <c r="B2456" t="s">
        <v>5272</v>
      </c>
      <c r="C2456" t="s">
        <v>5273</v>
      </c>
      <c r="J2456">
        <f>LEN(Table13[[#This Row],[REFERENCE_DESCR1]])</f>
        <v>7</v>
      </c>
    </row>
    <row r="2457" spans="1:10" hidden="1">
      <c r="A2457" t="s">
        <v>2925</v>
      </c>
      <c r="B2457" t="s">
        <v>5274</v>
      </c>
      <c r="C2457" t="s">
        <v>5275</v>
      </c>
      <c r="J2457">
        <f>LEN(Table13[[#This Row],[REFERENCE_DESCR1]])</f>
        <v>13</v>
      </c>
    </row>
    <row r="2458" spans="1:10" hidden="1">
      <c r="A2458" t="s">
        <v>2925</v>
      </c>
      <c r="B2458" t="s">
        <v>5276</v>
      </c>
      <c r="C2458" t="s">
        <v>5277</v>
      </c>
      <c r="J2458">
        <f>LEN(Table13[[#This Row],[REFERENCE_DESCR1]])</f>
        <v>12</v>
      </c>
    </row>
    <row r="2459" spans="1:10" hidden="1">
      <c r="A2459" t="s">
        <v>2925</v>
      </c>
      <c r="B2459" t="s">
        <v>5278</v>
      </c>
      <c r="C2459" t="s">
        <v>5279</v>
      </c>
      <c r="J2459">
        <f>LEN(Table13[[#This Row],[REFERENCE_DESCR1]])</f>
        <v>9</v>
      </c>
    </row>
    <row r="2460" spans="1:10" hidden="1">
      <c r="A2460" t="s">
        <v>2925</v>
      </c>
      <c r="B2460" t="s">
        <v>5280</v>
      </c>
      <c r="C2460" t="s">
        <v>5281</v>
      </c>
      <c r="J2460">
        <f>LEN(Table13[[#This Row],[REFERENCE_DESCR1]])</f>
        <v>21</v>
      </c>
    </row>
    <row r="2461" spans="1:10" hidden="1">
      <c r="A2461" t="s">
        <v>2925</v>
      </c>
      <c r="B2461" t="s">
        <v>5282</v>
      </c>
      <c r="C2461" t="s">
        <v>5283</v>
      </c>
      <c r="J2461">
        <f>LEN(Table13[[#This Row],[REFERENCE_DESCR1]])</f>
        <v>23</v>
      </c>
    </row>
    <row r="2462" spans="1:10" hidden="1">
      <c r="A2462" t="s">
        <v>2925</v>
      </c>
      <c r="B2462" t="s">
        <v>5284</v>
      </c>
      <c r="C2462" t="s">
        <v>5285</v>
      </c>
      <c r="J2462">
        <f>LEN(Table13[[#This Row],[REFERENCE_DESCR1]])</f>
        <v>37</v>
      </c>
    </row>
    <row r="2463" spans="1:10" hidden="1">
      <c r="A2463" t="s">
        <v>2925</v>
      </c>
      <c r="B2463" t="s">
        <v>5286</v>
      </c>
      <c r="C2463" t="s">
        <v>5287</v>
      </c>
      <c r="J2463">
        <f>LEN(Table13[[#This Row],[REFERENCE_DESCR1]])</f>
        <v>13</v>
      </c>
    </row>
    <row r="2464" spans="1:10" hidden="1">
      <c r="A2464" t="s">
        <v>2925</v>
      </c>
      <c r="B2464" t="s">
        <v>5288</v>
      </c>
      <c r="C2464" t="s">
        <v>5289</v>
      </c>
      <c r="J2464">
        <f>LEN(Table13[[#This Row],[REFERENCE_DESCR1]])</f>
        <v>25</v>
      </c>
    </row>
    <row r="2465" spans="1:10" hidden="1">
      <c r="A2465" t="s">
        <v>2925</v>
      </c>
      <c r="B2465" t="s">
        <v>5290</v>
      </c>
      <c r="C2465" t="s">
        <v>5291</v>
      </c>
      <c r="J2465">
        <f>LEN(Table13[[#This Row],[REFERENCE_DESCR1]])</f>
        <v>14</v>
      </c>
    </row>
    <row r="2466" spans="1:10" hidden="1">
      <c r="A2466" t="s">
        <v>2925</v>
      </c>
      <c r="B2466" t="s">
        <v>5292</v>
      </c>
      <c r="C2466" t="s">
        <v>5293</v>
      </c>
      <c r="J2466">
        <f>LEN(Table13[[#This Row],[REFERENCE_DESCR1]])</f>
        <v>8</v>
      </c>
    </row>
    <row r="2467" spans="1:10" hidden="1">
      <c r="A2467" t="s">
        <v>2925</v>
      </c>
      <c r="B2467" t="s">
        <v>5294</v>
      </c>
      <c r="C2467" t="s">
        <v>5295</v>
      </c>
      <c r="J2467">
        <f>LEN(Table13[[#This Row],[REFERENCE_DESCR1]])</f>
        <v>14</v>
      </c>
    </row>
    <row r="2468" spans="1:10" hidden="1">
      <c r="A2468" t="s">
        <v>2925</v>
      </c>
      <c r="B2468" t="s">
        <v>5296</v>
      </c>
      <c r="C2468" t="s">
        <v>5297</v>
      </c>
      <c r="J2468">
        <f>LEN(Table13[[#This Row],[REFERENCE_DESCR1]])</f>
        <v>12</v>
      </c>
    </row>
    <row r="2469" spans="1:10" hidden="1">
      <c r="A2469" t="s">
        <v>2925</v>
      </c>
      <c r="B2469" t="s">
        <v>5298</v>
      </c>
      <c r="C2469" t="s">
        <v>5299</v>
      </c>
      <c r="J2469">
        <f>LEN(Table13[[#This Row],[REFERENCE_DESCR1]])</f>
        <v>28</v>
      </c>
    </row>
    <row r="2470" spans="1:10" hidden="1">
      <c r="A2470" t="s">
        <v>2925</v>
      </c>
      <c r="B2470" t="s">
        <v>5300</v>
      </c>
      <c r="C2470" t="s">
        <v>5301</v>
      </c>
      <c r="J2470">
        <f>LEN(Table13[[#This Row],[REFERENCE_DESCR1]])</f>
        <v>5</v>
      </c>
    </row>
    <row r="2471" spans="1:10" hidden="1">
      <c r="A2471" t="s">
        <v>2925</v>
      </c>
      <c r="B2471" t="s">
        <v>5302</v>
      </c>
      <c r="C2471" t="s">
        <v>5303</v>
      </c>
      <c r="J2471">
        <f>LEN(Table13[[#This Row],[REFERENCE_DESCR1]])</f>
        <v>17</v>
      </c>
    </row>
    <row r="2472" spans="1:10" hidden="1">
      <c r="A2472" t="s">
        <v>2925</v>
      </c>
      <c r="B2472" t="s">
        <v>5304</v>
      </c>
      <c r="C2472" t="s">
        <v>5305</v>
      </c>
      <c r="J2472">
        <f>LEN(Table13[[#This Row],[REFERENCE_DESCR1]])</f>
        <v>5</v>
      </c>
    </row>
    <row r="2473" spans="1:10" hidden="1">
      <c r="A2473" t="s">
        <v>2925</v>
      </c>
      <c r="B2473" t="s">
        <v>5306</v>
      </c>
      <c r="C2473" t="s">
        <v>5307</v>
      </c>
      <c r="J2473">
        <f>LEN(Table13[[#This Row],[REFERENCE_DESCR1]])</f>
        <v>10</v>
      </c>
    </row>
    <row r="2474" spans="1:10" hidden="1">
      <c r="A2474" t="s">
        <v>2925</v>
      </c>
      <c r="B2474" t="s">
        <v>5308</v>
      </c>
      <c r="C2474" t="s">
        <v>5309</v>
      </c>
      <c r="J2474">
        <f>LEN(Table13[[#This Row],[REFERENCE_DESCR1]])</f>
        <v>6</v>
      </c>
    </row>
    <row r="2475" spans="1:10" hidden="1">
      <c r="A2475" t="s">
        <v>2925</v>
      </c>
      <c r="B2475" t="s">
        <v>5310</v>
      </c>
      <c r="C2475" t="s">
        <v>5311</v>
      </c>
      <c r="J2475">
        <f>LEN(Table13[[#This Row],[REFERENCE_DESCR1]])</f>
        <v>13</v>
      </c>
    </row>
    <row r="2476" spans="1:10" hidden="1">
      <c r="A2476" t="s">
        <v>2925</v>
      </c>
      <c r="B2476" t="s">
        <v>5312</v>
      </c>
      <c r="C2476" t="s">
        <v>5313</v>
      </c>
      <c r="J2476">
        <f>LEN(Table13[[#This Row],[REFERENCE_DESCR1]])</f>
        <v>8</v>
      </c>
    </row>
    <row r="2477" spans="1:10" hidden="1">
      <c r="A2477" t="s">
        <v>2925</v>
      </c>
      <c r="B2477" t="s">
        <v>5314</v>
      </c>
      <c r="C2477" t="s">
        <v>5315</v>
      </c>
      <c r="J2477">
        <f>LEN(Table13[[#This Row],[REFERENCE_DESCR1]])</f>
        <v>20</v>
      </c>
    </row>
    <row r="2478" spans="1:10" hidden="1">
      <c r="A2478" t="s">
        <v>2925</v>
      </c>
      <c r="B2478" t="s">
        <v>5316</v>
      </c>
      <c r="C2478" t="s">
        <v>5317</v>
      </c>
      <c r="J2478">
        <f>LEN(Table13[[#This Row],[REFERENCE_DESCR1]])</f>
        <v>21</v>
      </c>
    </row>
    <row r="2479" spans="1:10" hidden="1">
      <c r="A2479" t="s">
        <v>2925</v>
      </c>
      <c r="B2479" t="s">
        <v>5318</v>
      </c>
      <c r="C2479" t="s">
        <v>5319</v>
      </c>
      <c r="J2479">
        <f>LEN(Table13[[#This Row],[REFERENCE_DESCR1]])</f>
        <v>6</v>
      </c>
    </row>
    <row r="2480" spans="1:10" hidden="1">
      <c r="A2480" t="s">
        <v>2925</v>
      </c>
      <c r="B2480" t="s">
        <v>5320</v>
      </c>
      <c r="C2480" t="s">
        <v>5321</v>
      </c>
      <c r="J2480">
        <f>LEN(Table13[[#This Row],[REFERENCE_DESCR1]])</f>
        <v>7</v>
      </c>
    </row>
    <row r="2481" spans="1:10" hidden="1">
      <c r="A2481" t="s">
        <v>2925</v>
      </c>
      <c r="B2481" t="s">
        <v>5322</v>
      </c>
      <c r="C2481" t="s">
        <v>5323</v>
      </c>
      <c r="J2481">
        <f>LEN(Table13[[#This Row],[REFERENCE_DESCR1]])</f>
        <v>6</v>
      </c>
    </row>
    <row r="2482" spans="1:10" hidden="1">
      <c r="A2482" t="s">
        <v>2925</v>
      </c>
      <c r="B2482" t="s">
        <v>5324</v>
      </c>
      <c r="C2482" t="s">
        <v>5325</v>
      </c>
      <c r="J2482">
        <f>LEN(Table13[[#This Row],[REFERENCE_DESCR1]])</f>
        <v>7</v>
      </c>
    </row>
    <row r="2483" spans="1:10" hidden="1">
      <c r="A2483" t="s">
        <v>2925</v>
      </c>
      <c r="B2483" t="s">
        <v>5326</v>
      </c>
      <c r="C2483" t="s">
        <v>5327</v>
      </c>
      <c r="J2483">
        <f>LEN(Table13[[#This Row],[REFERENCE_DESCR1]])</f>
        <v>12</v>
      </c>
    </row>
    <row r="2484" spans="1:10" hidden="1">
      <c r="A2484" t="s">
        <v>2925</v>
      </c>
      <c r="B2484" t="s">
        <v>5328</v>
      </c>
      <c r="C2484" t="s">
        <v>5329</v>
      </c>
      <c r="J2484">
        <f>LEN(Table13[[#This Row],[REFERENCE_DESCR1]])</f>
        <v>3</v>
      </c>
    </row>
    <row r="2485" spans="1:10" hidden="1">
      <c r="A2485" t="s">
        <v>2925</v>
      </c>
      <c r="B2485" t="s">
        <v>5330</v>
      </c>
      <c r="C2485" t="s">
        <v>5331</v>
      </c>
      <c r="J2485">
        <f>LEN(Table13[[#This Row],[REFERENCE_DESCR1]])</f>
        <v>15</v>
      </c>
    </row>
    <row r="2486" spans="1:10" hidden="1">
      <c r="A2486" t="s">
        <v>2925</v>
      </c>
      <c r="B2486" t="s">
        <v>1603</v>
      </c>
      <c r="C2486" t="s">
        <v>5332</v>
      </c>
      <c r="J2486">
        <f>LEN(Table13[[#This Row],[REFERENCE_DESCR1]])</f>
        <v>10</v>
      </c>
    </row>
    <row r="2487" spans="1:10" hidden="1">
      <c r="A2487" t="s">
        <v>2925</v>
      </c>
      <c r="B2487" t="s">
        <v>5333</v>
      </c>
      <c r="C2487" t="s">
        <v>5334</v>
      </c>
      <c r="J2487">
        <f>LEN(Table13[[#This Row],[REFERENCE_DESCR1]])</f>
        <v>7</v>
      </c>
    </row>
    <row r="2488" spans="1:10" hidden="1">
      <c r="A2488" t="s">
        <v>2925</v>
      </c>
      <c r="B2488" t="s">
        <v>5335</v>
      </c>
      <c r="C2488" t="s">
        <v>5336</v>
      </c>
      <c r="J2488">
        <f>LEN(Table13[[#This Row],[REFERENCE_DESCR1]])</f>
        <v>11</v>
      </c>
    </row>
    <row r="2489" spans="1:10" hidden="1">
      <c r="A2489" t="s">
        <v>2925</v>
      </c>
      <c r="B2489" t="s">
        <v>5337</v>
      </c>
      <c r="C2489" t="s">
        <v>5338</v>
      </c>
      <c r="J2489">
        <f>LEN(Table13[[#This Row],[REFERENCE_DESCR1]])</f>
        <v>20</v>
      </c>
    </row>
    <row r="2490" spans="1:10" hidden="1">
      <c r="A2490" t="s">
        <v>2925</v>
      </c>
      <c r="B2490" t="s">
        <v>5339</v>
      </c>
      <c r="C2490" t="s">
        <v>5340</v>
      </c>
      <c r="J2490">
        <f>LEN(Table13[[#This Row],[REFERENCE_DESCR1]])</f>
        <v>13</v>
      </c>
    </row>
    <row r="2491" spans="1:10" hidden="1">
      <c r="A2491" t="s">
        <v>2925</v>
      </c>
      <c r="B2491" t="s">
        <v>5341</v>
      </c>
      <c r="C2491" t="s">
        <v>5342</v>
      </c>
      <c r="J2491">
        <f>LEN(Table13[[#This Row],[REFERENCE_DESCR1]])</f>
        <v>38</v>
      </c>
    </row>
    <row r="2492" spans="1:10" hidden="1">
      <c r="A2492" t="s">
        <v>2925</v>
      </c>
      <c r="B2492" t="s">
        <v>5343</v>
      </c>
      <c r="C2492" t="s">
        <v>5344</v>
      </c>
      <c r="J2492">
        <f>LEN(Table13[[#This Row],[REFERENCE_DESCR1]])</f>
        <v>11</v>
      </c>
    </row>
    <row r="2493" spans="1:10" hidden="1">
      <c r="A2493" t="s">
        <v>2925</v>
      </c>
      <c r="B2493" t="s">
        <v>5345</v>
      </c>
      <c r="C2493" t="s">
        <v>5346</v>
      </c>
      <c r="J2493">
        <f>LEN(Table13[[#This Row],[REFERENCE_DESCR1]])</f>
        <v>7</v>
      </c>
    </row>
    <row r="2494" spans="1:10" hidden="1">
      <c r="A2494" t="s">
        <v>2925</v>
      </c>
      <c r="B2494" t="s">
        <v>5347</v>
      </c>
      <c r="C2494" t="s">
        <v>5348</v>
      </c>
      <c r="J2494">
        <f>LEN(Table13[[#This Row],[REFERENCE_DESCR1]])</f>
        <v>19</v>
      </c>
    </row>
    <row r="2495" spans="1:10" hidden="1">
      <c r="A2495" t="s">
        <v>2925</v>
      </c>
      <c r="B2495" t="s">
        <v>5349</v>
      </c>
      <c r="C2495" t="s">
        <v>5350</v>
      </c>
      <c r="J2495">
        <f>LEN(Table13[[#This Row],[REFERENCE_DESCR1]])</f>
        <v>20</v>
      </c>
    </row>
    <row r="2496" spans="1:10" hidden="1">
      <c r="A2496" t="s">
        <v>2925</v>
      </c>
      <c r="B2496" t="s">
        <v>5351</v>
      </c>
      <c r="C2496" t="s">
        <v>5352</v>
      </c>
      <c r="J2496">
        <f>LEN(Table13[[#This Row],[REFERENCE_DESCR1]])</f>
        <v>40</v>
      </c>
    </row>
    <row r="2497" spans="1:10" hidden="1">
      <c r="A2497" t="s">
        <v>2925</v>
      </c>
      <c r="B2497" t="s">
        <v>5353</v>
      </c>
      <c r="C2497" t="s">
        <v>5354</v>
      </c>
      <c r="J2497">
        <f>LEN(Table13[[#This Row],[REFERENCE_DESCR1]])</f>
        <v>14</v>
      </c>
    </row>
    <row r="2498" spans="1:10" hidden="1">
      <c r="A2498" t="s">
        <v>2925</v>
      </c>
      <c r="B2498" t="s">
        <v>5355</v>
      </c>
      <c r="C2498" t="s">
        <v>5356</v>
      </c>
      <c r="J2498">
        <f>LEN(Table13[[#This Row],[REFERENCE_DESCR1]])</f>
        <v>20</v>
      </c>
    </row>
    <row r="2499" spans="1:10" hidden="1">
      <c r="A2499" t="s">
        <v>2925</v>
      </c>
      <c r="B2499" t="s">
        <v>5357</v>
      </c>
      <c r="C2499" t="s">
        <v>5358</v>
      </c>
      <c r="J2499">
        <f>LEN(Table13[[#This Row],[REFERENCE_DESCR1]])</f>
        <v>38</v>
      </c>
    </row>
    <row r="2500" spans="1:10" hidden="1">
      <c r="A2500" t="s">
        <v>2925</v>
      </c>
      <c r="B2500" t="s">
        <v>5359</v>
      </c>
      <c r="C2500" t="s">
        <v>5360</v>
      </c>
      <c r="J2500">
        <f>LEN(Table13[[#This Row],[REFERENCE_DESCR1]])</f>
        <v>9</v>
      </c>
    </row>
    <row r="2501" spans="1:10" hidden="1">
      <c r="A2501" t="s">
        <v>2925</v>
      </c>
      <c r="B2501" t="s">
        <v>5361</v>
      </c>
      <c r="C2501" t="s">
        <v>5362</v>
      </c>
      <c r="J2501">
        <f>LEN(Table13[[#This Row],[REFERENCE_DESCR1]])</f>
        <v>21</v>
      </c>
    </row>
    <row r="2502" spans="1:10" hidden="1">
      <c r="A2502" t="s">
        <v>2925</v>
      </c>
      <c r="B2502" t="s">
        <v>5363</v>
      </c>
      <c r="C2502" t="s">
        <v>5364</v>
      </c>
      <c r="J2502">
        <f>LEN(Table13[[#This Row],[REFERENCE_DESCR1]])</f>
        <v>11</v>
      </c>
    </row>
    <row r="2503" spans="1:10" hidden="1">
      <c r="A2503" t="s">
        <v>2925</v>
      </c>
      <c r="B2503" t="s">
        <v>5365</v>
      </c>
      <c r="C2503" t="s">
        <v>5366</v>
      </c>
      <c r="J2503">
        <f>LEN(Table13[[#This Row],[REFERENCE_DESCR1]])</f>
        <v>9</v>
      </c>
    </row>
    <row r="2504" spans="1:10" hidden="1">
      <c r="A2504" t="s">
        <v>2925</v>
      </c>
      <c r="B2504" t="s">
        <v>5367</v>
      </c>
      <c r="C2504" t="s">
        <v>5368</v>
      </c>
      <c r="J2504">
        <f>LEN(Table13[[#This Row],[REFERENCE_DESCR1]])</f>
        <v>9</v>
      </c>
    </row>
    <row r="2505" spans="1:10" hidden="1">
      <c r="A2505" t="s">
        <v>2925</v>
      </c>
      <c r="B2505" t="s">
        <v>5369</v>
      </c>
      <c r="C2505" t="s">
        <v>5370</v>
      </c>
      <c r="J2505">
        <f>LEN(Table13[[#This Row],[REFERENCE_DESCR1]])</f>
        <v>8</v>
      </c>
    </row>
    <row r="2506" spans="1:10" hidden="1">
      <c r="A2506" t="s">
        <v>2925</v>
      </c>
      <c r="B2506" t="s">
        <v>5371</v>
      </c>
      <c r="C2506" t="s">
        <v>5372</v>
      </c>
      <c r="J2506">
        <f>LEN(Table13[[#This Row],[REFERENCE_DESCR1]])</f>
        <v>12</v>
      </c>
    </row>
    <row r="2507" spans="1:10" hidden="1">
      <c r="A2507" t="s">
        <v>2925</v>
      </c>
      <c r="B2507" t="s">
        <v>5373</v>
      </c>
      <c r="C2507" t="s">
        <v>5374</v>
      </c>
      <c r="J2507">
        <f>LEN(Table13[[#This Row],[REFERENCE_DESCR1]])</f>
        <v>7</v>
      </c>
    </row>
    <row r="2508" spans="1:10" hidden="1">
      <c r="A2508" t="s">
        <v>2925</v>
      </c>
      <c r="B2508" t="s">
        <v>5375</v>
      </c>
      <c r="C2508" t="s">
        <v>5376</v>
      </c>
      <c r="J2508">
        <f>LEN(Table13[[#This Row],[REFERENCE_DESCR1]])</f>
        <v>8</v>
      </c>
    </row>
    <row r="2509" spans="1:10" hidden="1">
      <c r="A2509" t="s">
        <v>2925</v>
      </c>
      <c r="B2509" t="s">
        <v>5377</v>
      </c>
      <c r="C2509" t="s">
        <v>5378</v>
      </c>
      <c r="J2509">
        <f>LEN(Table13[[#This Row],[REFERENCE_DESCR1]])</f>
        <v>16</v>
      </c>
    </row>
    <row r="2510" spans="1:10" hidden="1">
      <c r="A2510" t="s">
        <v>2925</v>
      </c>
      <c r="B2510" t="s">
        <v>5379</v>
      </c>
      <c r="C2510" t="s">
        <v>5380</v>
      </c>
      <c r="J2510">
        <f>LEN(Table13[[#This Row],[REFERENCE_DESCR1]])</f>
        <v>8</v>
      </c>
    </row>
    <row r="2511" spans="1:10" hidden="1">
      <c r="A2511" t="s">
        <v>2925</v>
      </c>
      <c r="B2511" t="s">
        <v>5381</v>
      </c>
      <c r="C2511" t="s">
        <v>5382</v>
      </c>
      <c r="J2511">
        <f>LEN(Table13[[#This Row],[REFERENCE_DESCR1]])</f>
        <v>10</v>
      </c>
    </row>
    <row r="2512" spans="1:10" hidden="1">
      <c r="A2512" t="s">
        <v>2925</v>
      </c>
      <c r="B2512" t="s">
        <v>5383</v>
      </c>
      <c r="C2512" t="s">
        <v>5384</v>
      </c>
      <c r="J2512">
        <f>LEN(Table13[[#This Row],[REFERENCE_DESCR1]])</f>
        <v>10</v>
      </c>
    </row>
    <row r="2513" spans="1:10" hidden="1">
      <c r="A2513" t="s">
        <v>2925</v>
      </c>
      <c r="B2513" t="s">
        <v>5385</v>
      </c>
      <c r="C2513" t="s">
        <v>5386</v>
      </c>
      <c r="J2513">
        <f>LEN(Table13[[#This Row],[REFERENCE_DESCR1]])</f>
        <v>9</v>
      </c>
    </row>
    <row r="2514" spans="1:10" hidden="1">
      <c r="A2514" t="s">
        <v>2925</v>
      </c>
      <c r="B2514" t="s">
        <v>5387</v>
      </c>
      <c r="C2514" t="s">
        <v>5388</v>
      </c>
      <c r="J2514">
        <f>LEN(Table13[[#This Row],[REFERENCE_DESCR1]])</f>
        <v>11</v>
      </c>
    </row>
    <row r="2515" spans="1:10" hidden="1">
      <c r="A2515" t="s">
        <v>2925</v>
      </c>
      <c r="B2515" t="s">
        <v>5389</v>
      </c>
      <c r="C2515" t="s">
        <v>5390</v>
      </c>
      <c r="J2515">
        <f>LEN(Table13[[#This Row],[REFERENCE_DESCR1]])</f>
        <v>23</v>
      </c>
    </row>
    <row r="2516" spans="1:10" hidden="1">
      <c r="A2516" t="s">
        <v>2925</v>
      </c>
      <c r="B2516" t="s">
        <v>5391</v>
      </c>
      <c r="C2516" t="s">
        <v>5392</v>
      </c>
      <c r="J2516">
        <f>LEN(Table13[[#This Row],[REFERENCE_DESCR1]])</f>
        <v>8</v>
      </c>
    </row>
    <row r="2517" spans="1:10" hidden="1">
      <c r="A2517" t="s">
        <v>2925</v>
      </c>
      <c r="B2517" t="s">
        <v>5393</v>
      </c>
      <c r="C2517" t="s">
        <v>5394</v>
      </c>
      <c r="J2517">
        <f>LEN(Table13[[#This Row],[REFERENCE_DESCR1]])</f>
        <v>10</v>
      </c>
    </row>
    <row r="2518" spans="1:10" hidden="1">
      <c r="A2518" t="s">
        <v>2925</v>
      </c>
      <c r="B2518" t="s">
        <v>5395</v>
      </c>
      <c r="C2518" t="s">
        <v>5396</v>
      </c>
      <c r="J2518">
        <f>LEN(Table13[[#This Row],[REFERENCE_DESCR1]])</f>
        <v>22</v>
      </c>
    </row>
    <row r="2519" spans="1:10" hidden="1">
      <c r="A2519" t="s">
        <v>2925</v>
      </c>
      <c r="B2519" t="s">
        <v>5397</v>
      </c>
      <c r="C2519" t="s">
        <v>5398</v>
      </c>
      <c r="J2519">
        <f>LEN(Table13[[#This Row],[REFERENCE_DESCR1]])</f>
        <v>12</v>
      </c>
    </row>
    <row r="2520" spans="1:10" hidden="1">
      <c r="A2520" t="s">
        <v>2925</v>
      </c>
      <c r="B2520" t="s">
        <v>5399</v>
      </c>
      <c r="C2520" t="s">
        <v>5400</v>
      </c>
      <c r="J2520">
        <f>LEN(Table13[[#This Row],[REFERENCE_DESCR1]])</f>
        <v>9</v>
      </c>
    </row>
    <row r="2521" spans="1:10" hidden="1">
      <c r="A2521" t="s">
        <v>2925</v>
      </c>
      <c r="B2521" t="s">
        <v>5401</v>
      </c>
      <c r="C2521" t="s">
        <v>5402</v>
      </c>
      <c r="J2521">
        <f>LEN(Table13[[#This Row],[REFERENCE_DESCR1]])</f>
        <v>28</v>
      </c>
    </row>
    <row r="2522" spans="1:10" hidden="1">
      <c r="A2522" t="s">
        <v>2925</v>
      </c>
      <c r="B2522" t="s">
        <v>5403</v>
      </c>
      <c r="C2522" t="s">
        <v>5404</v>
      </c>
      <c r="J2522">
        <f>LEN(Table13[[#This Row],[REFERENCE_DESCR1]])</f>
        <v>31</v>
      </c>
    </row>
    <row r="2523" spans="1:10" hidden="1">
      <c r="A2523" t="s">
        <v>2925</v>
      </c>
      <c r="B2523" t="s">
        <v>5405</v>
      </c>
      <c r="C2523" t="s">
        <v>5406</v>
      </c>
      <c r="J2523">
        <f>LEN(Table13[[#This Row],[REFERENCE_DESCR1]])</f>
        <v>31</v>
      </c>
    </row>
    <row r="2524" spans="1:10" hidden="1">
      <c r="A2524" t="s">
        <v>2925</v>
      </c>
      <c r="B2524" t="s">
        <v>5407</v>
      </c>
      <c r="C2524" t="s">
        <v>5408</v>
      </c>
      <c r="J2524">
        <f>LEN(Table13[[#This Row],[REFERENCE_DESCR1]])</f>
        <v>31</v>
      </c>
    </row>
    <row r="2525" spans="1:10" hidden="1">
      <c r="A2525" t="s">
        <v>2925</v>
      </c>
      <c r="B2525" t="s">
        <v>5409</v>
      </c>
      <c r="C2525" t="s">
        <v>5410</v>
      </c>
      <c r="J2525">
        <f>LEN(Table13[[#This Row],[REFERENCE_DESCR1]])</f>
        <v>31</v>
      </c>
    </row>
    <row r="2526" spans="1:10" hidden="1">
      <c r="A2526" t="s">
        <v>2925</v>
      </c>
      <c r="B2526" t="s">
        <v>5411</v>
      </c>
      <c r="C2526" t="s">
        <v>5412</v>
      </c>
      <c r="J2526">
        <f>LEN(Table13[[#This Row],[REFERENCE_DESCR1]])</f>
        <v>31</v>
      </c>
    </row>
    <row r="2527" spans="1:10" hidden="1">
      <c r="A2527" t="s">
        <v>2925</v>
      </c>
      <c r="B2527" t="s">
        <v>5413</v>
      </c>
      <c r="C2527" t="s">
        <v>5414</v>
      </c>
      <c r="J2527">
        <f>LEN(Table13[[#This Row],[REFERENCE_DESCR1]])</f>
        <v>31</v>
      </c>
    </row>
    <row r="2528" spans="1:10" hidden="1">
      <c r="A2528" t="s">
        <v>2925</v>
      </c>
      <c r="B2528" t="s">
        <v>5415</v>
      </c>
      <c r="C2528" t="s">
        <v>5416</v>
      </c>
      <c r="J2528">
        <f>LEN(Table13[[#This Row],[REFERENCE_DESCR1]])</f>
        <v>31</v>
      </c>
    </row>
    <row r="2529" spans="1:10" hidden="1">
      <c r="A2529" t="s">
        <v>2925</v>
      </c>
      <c r="B2529" t="s">
        <v>5417</v>
      </c>
      <c r="C2529" t="s">
        <v>5418</v>
      </c>
      <c r="J2529">
        <f>LEN(Table13[[#This Row],[REFERENCE_DESCR1]])</f>
        <v>32</v>
      </c>
    </row>
    <row r="2530" spans="1:10" hidden="1">
      <c r="A2530" t="s">
        <v>2925</v>
      </c>
      <c r="B2530" t="s">
        <v>5419</v>
      </c>
      <c r="C2530" t="s">
        <v>5420</v>
      </c>
      <c r="J2530">
        <f>LEN(Table13[[#This Row],[REFERENCE_DESCR1]])</f>
        <v>32</v>
      </c>
    </row>
    <row r="2531" spans="1:10" hidden="1">
      <c r="A2531" t="s">
        <v>2925</v>
      </c>
      <c r="B2531" t="s">
        <v>5421</v>
      </c>
      <c r="C2531" t="s">
        <v>5422</v>
      </c>
      <c r="J2531">
        <f>LEN(Table13[[#This Row],[REFERENCE_DESCR1]])</f>
        <v>32</v>
      </c>
    </row>
    <row r="2532" spans="1:10" hidden="1">
      <c r="A2532" t="s">
        <v>2925</v>
      </c>
      <c r="B2532" t="s">
        <v>5423</v>
      </c>
      <c r="C2532" t="s">
        <v>5424</v>
      </c>
      <c r="J2532">
        <f>LEN(Table13[[#This Row],[REFERENCE_DESCR1]])</f>
        <v>32</v>
      </c>
    </row>
    <row r="2533" spans="1:10" hidden="1">
      <c r="A2533" t="s">
        <v>2925</v>
      </c>
      <c r="B2533" t="s">
        <v>5425</v>
      </c>
      <c r="C2533" t="s">
        <v>5426</v>
      </c>
      <c r="J2533">
        <f>LEN(Table13[[#This Row],[REFERENCE_DESCR1]])</f>
        <v>32</v>
      </c>
    </row>
    <row r="2534" spans="1:10" hidden="1">
      <c r="A2534" t="s">
        <v>2925</v>
      </c>
      <c r="B2534" t="s">
        <v>5427</v>
      </c>
      <c r="C2534" t="s">
        <v>5428</v>
      </c>
      <c r="J2534">
        <f>LEN(Table13[[#This Row],[REFERENCE_DESCR1]])</f>
        <v>32</v>
      </c>
    </row>
    <row r="2535" spans="1:10" hidden="1">
      <c r="A2535" t="s">
        <v>2925</v>
      </c>
      <c r="B2535" t="s">
        <v>5429</v>
      </c>
      <c r="C2535" t="s">
        <v>5430</v>
      </c>
      <c r="J2535">
        <f>LEN(Table13[[#This Row],[REFERENCE_DESCR1]])</f>
        <v>32</v>
      </c>
    </row>
    <row r="2536" spans="1:10" hidden="1">
      <c r="A2536" t="s">
        <v>2925</v>
      </c>
      <c r="B2536" t="s">
        <v>5431</v>
      </c>
      <c r="C2536" t="s">
        <v>5432</v>
      </c>
      <c r="J2536">
        <f>LEN(Table13[[#This Row],[REFERENCE_DESCR1]])</f>
        <v>32</v>
      </c>
    </row>
    <row r="2537" spans="1:10" hidden="1">
      <c r="A2537" t="s">
        <v>2925</v>
      </c>
      <c r="B2537" t="s">
        <v>5433</v>
      </c>
      <c r="C2537" t="s">
        <v>5434</v>
      </c>
      <c r="J2537">
        <f>LEN(Table13[[#This Row],[REFERENCE_DESCR1]])</f>
        <v>32</v>
      </c>
    </row>
    <row r="2538" spans="1:10" hidden="1">
      <c r="A2538" t="s">
        <v>2925</v>
      </c>
      <c r="B2538" t="s">
        <v>5435</v>
      </c>
      <c r="C2538" t="s">
        <v>5436</v>
      </c>
      <c r="J2538">
        <f>LEN(Table13[[#This Row],[REFERENCE_DESCR1]])</f>
        <v>32</v>
      </c>
    </row>
    <row r="2539" spans="1:10" hidden="1">
      <c r="A2539" t="s">
        <v>2925</v>
      </c>
      <c r="B2539" t="s">
        <v>5437</v>
      </c>
      <c r="C2539" t="s">
        <v>5438</v>
      </c>
      <c r="J2539">
        <f>LEN(Table13[[#This Row],[REFERENCE_DESCR1]])</f>
        <v>32</v>
      </c>
    </row>
    <row r="2540" spans="1:10" hidden="1">
      <c r="A2540" t="s">
        <v>2925</v>
      </c>
      <c r="B2540" t="s">
        <v>5439</v>
      </c>
      <c r="C2540" t="s">
        <v>5440</v>
      </c>
      <c r="J2540">
        <f>LEN(Table13[[#This Row],[REFERENCE_DESCR1]])</f>
        <v>28</v>
      </c>
    </row>
    <row r="2541" spans="1:10" hidden="1">
      <c r="A2541" t="s">
        <v>2925</v>
      </c>
      <c r="B2541" t="s">
        <v>5441</v>
      </c>
      <c r="C2541" t="s">
        <v>5442</v>
      </c>
      <c r="J2541">
        <f>LEN(Table13[[#This Row],[REFERENCE_DESCR1]])</f>
        <v>28</v>
      </c>
    </row>
    <row r="2542" spans="1:10" hidden="1">
      <c r="A2542" t="s">
        <v>2925</v>
      </c>
      <c r="B2542" t="s">
        <v>5443</v>
      </c>
      <c r="C2542" t="s">
        <v>5444</v>
      </c>
      <c r="J2542">
        <f>LEN(Table13[[#This Row],[REFERENCE_DESCR1]])</f>
        <v>31</v>
      </c>
    </row>
    <row r="2543" spans="1:10" hidden="1">
      <c r="A2543" t="s">
        <v>2925</v>
      </c>
      <c r="B2543" t="s">
        <v>5445</v>
      </c>
      <c r="C2543" t="s">
        <v>5446</v>
      </c>
      <c r="J2543">
        <f>LEN(Table13[[#This Row],[REFERENCE_DESCR1]])</f>
        <v>40</v>
      </c>
    </row>
    <row r="2544" spans="1:10" hidden="1">
      <c r="A2544" t="s">
        <v>2925</v>
      </c>
      <c r="B2544" t="s">
        <v>5447</v>
      </c>
      <c r="C2544" t="s">
        <v>5448</v>
      </c>
      <c r="J2544">
        <f>LEN(Table13[[#This Row],[REFERENCE_DESCR1]])</f>
        <v>11</v>
      </c>
    </row>
    <row r="2545" spans="1:10" hidden="1">
      <c r="A2545" t="s">
        <v>2925</v>
      </c>
      <c r="B2545" t="s">
        <v>5449</v>
      </c>
      <c r="C2545" t="s">
        <v>5450</v>
      </c>
      <c r="J2545">
        <f>LEN(Table13[[#This Row],[REFERENCE_DESCR1]])</f>
        <v>13</v>
      </c>
    </row>
    <row r="2546" spans="1:10" hidden="1">
      <c r="A2546" t="s">
        <v>2925</v>
      </c>
      <c r="B2546" t="s">
        <v>5451</v>
      </c>
      <c r="C2546" t="s">
        <v>5452</v>
      </c>
      <c r="J2546">
        <f>LEN(Table13[[#This Row],[REFERENCE_DESCR1]])</f>
        <v>14</v>
      </c>
    </row>
    <row r="2547" spans="1:10" hidden="1">
      <c r="A2547" t="s">
        <v>2925</v>
      </c>
      <c r="B2547" t="s">
        <v>5453</v>
      </c>
      <c r="C2547" t="s">
        <v>5454</v>
      </c>
      <c r="J2547">
        <f>LEN(Table13[[#This Row],[REFERENCE_DESCR1]])</f>
        <v>12</v>
      </c>
    </row>
    <row r="2548" spans="1:10" hidden="1">
      <c r="A2548" t="s">
        <v>2925</v>
      </c>
      <c r="B2548" t="s">
        <v>5455</v>
      </c>
      <c r="C2548" t="s">
        <v>5456</v>
      </c>
      <c r="J2548">
        <f>LEN(Table13[[#This Row],[REFERENCE_DESCR1]])</f>
        <v>10</v>
      </c>
    </row>
    <row r="2549" spans="1:10" hidden="1">
      <c r="A2549" t="s">
        <v>2925</v>
      </c>
      <c r="B2549" t="s">
        <v>5457</v>
      </c>
      <c r="C2549" t="s">
        <v>5458</v>
      </c>
      <c r="J2549">
        <f>LEN(Table13[[#This Row],[REFERENCE_DESCR1]])</f>
        <v>13</v>
      </c>
    </row>
    <row r="2550" spans="1:10" hidden="1">
      <c r="A2550" t="s">
        <v>2925</v>
      </c>
      <c r="B2550" t="s">
        <v>5459</v>
      </c>
      <c r="C2550" t="s">
        <v>5460</v>
      </c>
      <c r="J2550">
        <f>LEN(Table13[[#This Row],[REFERENCE_DESCR1]])</f>
        <v>8</v>
      </c>
    </row>
    <row r="2551" spans="1:10" hidden="1">
      <c r="A2551" t="s">
        <v>2925</v>
      </c>
      <c r="B2551" t="s">
        <v>5461</v>
      </c>
      <c r="C2551" t="s">
        <v>5462</v>
      </c>
      <c r="J2551">
        <f>LEN(Table13[[#This Row],[REFERENCE_DESCR1]])</f>
        <v>33</v>
      </c>
    </row>
    <row r="2552" spans="1:10" hidden="1">
      <c r="A2552" t="s">
        <v>2925</v>
      </c>
      <c r="B2552" t="s">
        <v>5463</v>
      </c>
      <c r="C2552" t="s">
        <v>5464</v>
      </c>
      <c r="J2552">
        <f>LEN(Table13[[#This Row],[REFERENCE_DESCR1]])</f>
        <v>8</v>
      </c>
    </row>
    <row r="2553" spans="1:10" hidden="1">
      <c r="A2553" t="s">
        <v>2925</v>
      </c>
      <c r="B2553" t="s">
        <v>5465</v>
      </c>
      <c r="C2553" t="s">
        <v>5466</v>
      </c>
      <c r="J2553">
        <f>LEN(Table13[[#This Row],[REFERENCE_DESCR1]])</f>
        <v>23</v>
      </c>
    </row>
    <row r="2554" spans="1:10" hidden="1">
      <c r="A2554" t="s">
        <v>2925</v>
      </c>
      <c r="B2554" t="s">
        <v>5467</v>
      </c>
      <c r="C2554" t="s">
        <v>5468</v>
      </c>
      <c r="J2554">
        <f>LEN(Table13[[#This Row],[REFERENCE_DESCR1]])</f>
        <v>9</v>
      </c>
    </row>
    <row r="2555" spans="1:10" hidden="1">
      <c r="A2555" t="s">
        <v>2925</v>
      </c>
      <c r="B2555" t="s">
        <v>5469</v>
      </c>
      <c r="C2555" t="s">
        <v>5470</v>
      </c>
      <c r="J2555">
        <f>LEN(Table13[[#This Row],[REFERENCE_DESCR1]])</f>
        <v>15</v>
      </c>
    </row>
    <row r="2556" spans="1:10" hidden="1">
      <c r="A2556" t="s">
        <v>2925</v>
      </c>
      <c r="B2556" t="s">
        <v>5471</v>
      </c>
      <c r="C2556" t="s">
        <v>5472</v>
      </c>
      <c r="J2556">
        <f>LEN(Table13[[#This Row],[REFERENCE_DESCR1]])</f>
        <v>11</v>
      </c>
    </row>
    <row r="2557" spans="1:10" hidden="1">
      <c r="A2557" t="s">
        <v>2925</v>
      </c>
      <c r="B2557" t="s">
        <v>5473</v>
      </c>
      <c r="C2557" t="s">
        <v>5474</v>
      </c>
      <c r="J2557">
        <f>LEN(Table13[[#This Row],[REFERENCE_DESCR1]])</f>
        <v>9</v>
      </c>
    </row>
    <row r="2558" spans="1:10" hidden="1">
      <c r="A2558" t="s">
        <v>2925</v>
      </c>
      <c r="B2558" t="s">
        <v>5475</v>
      </c>
      <c r="C2558" t="s">
        <v>5476</v>
      </c>
      <c r="J2558">
        <f>LEN(Table13[[#This Row],[REFERENCE_DESCR1]])</f>
        <v>10</v>
      </c>
    </row>
    <row r="2559" spans="1:10" hidden="1">
      <c r="A2559" t="s">
        <v>2925</v>
      </c>
      <c r="B2559" t="s">
        <v>5477</v>
      </c>
      <c r="C2559" t="s">
        <v>5478</v>
      </c>
      <c r="J2559">
        <f>LEN(Table13[[#This Row],[REFERENCE_DESCR1]])</f>
        <v>12</v>
      </c>
    </row>
    <row r="2560" spans="1:10" hidden="1">
      <c r="A2560" t="s">
        <v>2925</v>
      </c>
      <c r="B2560" t="s">
        <v>5479</v>
      </c>
      <c r="C2560" t="s">
        <v>5480</v>
      </c>
      <c r="J2560">
        <f>LEN(Table13[[#This Row],[REFERENCE_DESCR1]])</f>
        <v>14</v>
      </c>
    </row>
    <row r="2561" spans="1:10" hidden="1">
      <c r="A2561" t="s">
        <v>2925</v>
      </c>
      <c r="B2561" t="s">
        <v>5481</v>
      </c>
      <c r="C2561" t="s">
        <v>5482</v>
      </c>
      <c r="J2561">
        <f>LEN(Table13[[#This Row],[REFERENCE_DESCR1]])</f>
        <v>13</v>
      </c>
    </row>
    <row r="2562" spans="1:10" hidden="1">
      <c r="A2562" t="s">
        <v>2925</v>
      </c>
      <c r="B2562" t="s">
        <v>5483</v>
      </c>
      <c r="C2562" t="s">
        <v>5484</v>
      </c>
      <c r="J2562">
        <f>LEN(Table13[[#This Row],[REFERENCE_DESCR1]])</f>
        <v>16</v>
      </c>
    </row>
    <row r="2563" spans="1:10" hidden="1">
      <c r="A2563" t="s">
        <v>2925</v>
      </c>
      <c r="B2563" t="s">
        <v>5485</v>
      </c>
      <c r="C2563" t="s">
        <v>5486</v>
      </c>
      <c r="J2563">
        <f>LEN(Table13[[#This Row],[REFERENCE_DESCR1]])</f>
        <v>22</v>
      </c>
    </row>
    <row r="2564" spans="1:10" hidden="1">
      <c r="A2564" t="s">
        <v>2925</v>
      </c>
      <c r="B2564" t="s">
        <v>5487</v>
      </c>
      <c r="C2564" t="s">
        <v>5488</v>
      </c>
      <c r="J2564">
        <f>LEN(Table13[[#This Row],[REFERENCE_DESCR1]])</f>
        <v>31</v>
      </c>
    </row>
    <row r="2565" spans="1:10" hidden="1">
      <c r="A2565" t="s">
        <v>2925</v>
      </c>
      <c r="B2565" t="s">
        <v>5489</v>
      </c>
      <c r="C2565" t="s">
        <v>5490</v>
      </c>
      <c r="J2565">
        <f>LEN(Table13[[#This Row],[REFERENCE_DESCR1]])</f>
        <v>23</v>
      </c>
    </row>
    <row r="2566" spans="1:10" hidden="1">
      <c r="A2566" t="s">
        <v>2925</v>
      </c>
      <c r="B2566" t="s">
        <v>5491</v>
      </c>
      <c r="C2566" t="s">
        <v>5492</v>
      </c>
      <c r="J2566">
        <f>LEN(Table13[[#This Row],[REFERENCE_DESCR1]])</f>
        <v>33</v>
      </c>
    </row>
    <row r="2567" spans="1:10" hidden="1">
      <c r="A2567" t="s">
        <v>2925</v>
      </c>
      <c r="B2567" t="s">
        <v>5493</v>
      </c>
      <c r="C2567" t="s">
        <v>5494</v>
      </c>
      <c r="J2567">
        <f>LEN(Table13[[#This Row],[REFERENCE_DESCR1]])</f>
        <v>27</v>
      </c>
    </row>
    <row r="2568" spans="1:10" hidden="1">
      <c r="A2568" t="s">
        <v>2925</v>
      </c>
      <c r="B2568" t="s">
        <v>5495</v>
      </c>
      <c r="C2568" t="s">
        <v>5496</v>
      </c>
      <c r="J2568">
        <f>LEN(Table13[[#This Row],[REFERENCE_DESCR1]])</f>
        <v>27</v>
      </c>
    </row>
    <row r="2569" spans="1:10" hidden="1">
      <c r="A2569" t="s">
        <v>2925</v>
      </c>
      <c r="B2569" t="s">
        <v>5497</v>
      </c>
      <c r="C2569" t="s">
        <v>5498</v>
      </c>
      <c r="J2569">
        <f>LEN(Table13[[#This Row],[REFERENCE_DESCR1]])</f>
        <v>25</v>
      </c>
    </row>
    <row r="2570" spans="1:10" hidden="1">
      <c r="A2570" t="s">
        <v>2925</v>
      </c>
      <c r="B2570" t="s">
        <v>5499</v>
      </c>
      <c r="C2570" t="s">
        <v>5500</v>
      </c>
      <c r="J2570">
        <f>LEN(Table13[[#This Row],[REFERENCE_DESCR1]])</f>
        <v>26</v>
      </c>
    </row>
    <row r="2571" spans="1:10" hidden="1">
      <c r="A2571" t="s">
        <v>2925</v>
      </c>
      <c r="B2571" t="s">
        <v>5501</v>
      </c>
      <c r="C2571" t="s">
        <v>5502</v>
      </c>
      <c r="J2571">
        <f>LEN(Table13[[#This Row],[REFERENCE_DESCR1]])</f>
        <v>28</v>
      </c>
    </row>
    <row r="2572" spans="1:10" hidden="1">
      <c r="A2572" t="s">
        <v>2925</v>
      </c>
      <c r="B2572" t="s">
        <v>5503</v>
      </c>
      <c r="C2572" t="s">
        <v>5504</v>
      </c>
      <c r="J2572">
        <f>LEN(Table13[[#This Row],[REFERENCE_DESCR1]])</f>
        <v>26</v>
      </c>
    </row>
    <row r="2573" spans="1:10" hidden="1">
      <c r="A2573" t="s">
        <v>2925</v>
      </c>
      <c r="B2573" t="s">
        <v>5505</v>
      </c>
      <c r="C2573" t="s">
        <v>5506</v>
      </c>
      <c r="J2573">
        <f>LEN(Table13[[#This Row],[REFERENCE_DESCR1]])</f>
        <v>30</v>
      </c>
    </row>
    <row r="2574" spans="1:10" hidden="1">
      <c r="A2574" t="s">
        <v>2925</v>
      </c>
      <c r="B2574" t="s">
        <v>5507</v>
      </c>
      <c r="C2574" t="s">
        <v>5508</v>
      </c>
      <c r="J2574">
        <f>LEN(Table13[[#This Row],[REFERENCE_DESCR1]])</f>
        <v>27</v>
      </c>
    </row>
    <row r="2575" spans="1:10" hidden="1">
      <c r="A2575" t="s">
        <v>2925</v>
      </c>
      <c r="B2575" t="s">
        <v>5509</v>
      </c>
      <c r="C2575" t="s">
        <v>5510</v>
      </c>
      <c r="J2575">
        <f>LEN(Table13[[#This Row],[REFERENCE_DESCR1]])</f>
        <v>29</v>
      </c>
    </row>
    <row r="2576" spans="1:10" hidden="1">
      <c r="A2576" t="s">
        <v>2925</v>
      </c>
      <c r="B2576" t="s">
        <v>5511</v>
      </c>
      <c r="C2576" t="s">
        <v>5512</v>
      </c>
      <c r="J2576">
        <f>LEN(Table13[[#This Row],[REFERENCE_DESCR1]])</f>
        <v>26</v>
      </c>
    </row>
    <row r="2577" spans="1:10" hidden="1">
      <c r="A2577" t="s">
        <v>2925</v>
      </c>
      <c r="B2577" t="s">
        <v>5513</v>
      </c>
      <c r="C2577" t="s">
        <v>5514</v>
      </c>
      <c r="J2577">
        <f>LEN(Table13[[#This Row],[REFERENCE_DESCR1]])</f>
        <v>27</v>
      </c>
    </row>
    <row r="2578" spans="1:10" hidden="1">
      <c r="A2578" t="s">
        <v>2925</v>
      </c>
      <c r="B2578" t="s">
        <v>5515</v>
      </c>
      <c r="C2578" t="s">
        <v>5516</v>
      </c>
      <c r="J2578">
        <f>LEN(Table13[[#This Row],[REFERENCE_DESCR1]])</f>
        <v>29</v>
      </c>
    </row>
    <row r="2579" spans="1:10" hidden="1">
      <c r="A2579" t="s">
        <v>2925</v>
      </c>
      <c r="B2579" t="s">
        <v>5517</v>
      </c>
      <c r="C2579" t="s">
        <v>5518</v>
      </c>
      <c r="J2579">
        <f>LEN(Table13[[#This Row],[REFERENCE_DESCR1]])</f>
        <v>30</v>
      </c>
    </row>
    <row r="2580" spans="1:10" hidden="1">
      <c r="A2580" t="s">
        <v>2925</v>
      </c>
      <c r="B2580" t="s">
        <v>5519</v>
      </c>
      <c r="C2580" t="s">
        <v>5520</v>
      </c>
      <c r="J2580">
        <f>LEN(Table13[[#This Row],[REFERENCE_DESCR1]])</f>
        <v>31</v>
      </c>
    </row>
    <row r="2581" spans="1:10" hidden="1">
      <c r="A2581" t="s">
        <v>2925</v>
      </c>
      <c r="B2581" t="s">
        <v>5521</v>
      </c>
      <c r="C2581" t="s">
        <v>5522</v>
      </c>
      <c r="J2581">
        <f>LEN(Table13[[#This Row],[REFERENCE_DESCR1]])</f>
        <v>33</v>
      </c>
    </row>
    <row r="2582" spans="1:10" hidden="1">
      <c r="A2582" t="s">
        <v>2925</v>
      </c>
      <c r="B2582" t="s">
        <v>5523</v>
      </c>
      <c r="C2582" t="s">
        <v>5524</v>
      </c>
      <c r="J2582">
        <f>LEN(Table13[[#This Row],[REFERENCE_DESCR1]])</f>
        <v>28</v>
      </c>
    </row>
    <row r="2583" spans="1:10" hidden="1">
      <c r="A2583" t="s">
        <v>2925</v>
      </c>
      <c r="B2583" t="s">
        <v>5525</v>
      </c>
      <c r="C2583" t="s">
        <v>5526</v>
      </c>
      <c r="J2583">
        <f>LEN(Table13[[#This Row],[REFERENCE_DESCR1]])</f>
        <v>27</v>
      </c>
    </row>
    <row r="2584" spans="1:10" hidden="1">
      <c r="A2584" t="s">
        <v>2925</v>
      </c>
      <c r="B2584" t="s">
        <v>5527</v>
      </c>
      <c r="C2584" t="s">
        <v>5528</v>
      </c>
      <c r="J2584">
        <f>LEN(Table13[[#This Row],[REFERENCE_DESCR1]])</f>
        <v>25</v>
      </c>
    </row>
    <row r="2585" spans="1:10" hidden="1">
      <c r="A2585" t="s">
        <v>2925</v>
      </c>
      <c r="B2585" t="s">
        <v>5529</v>
      </c>
      <c r="C2585" t="s">
        <v>5530</v>
      </c>
      <c r="J2585">
        <f>LEN(Table13[[#This Row],[REFERENCE_DESCR1]])</f>
        <v>32</v>
      </c>
    </row>
    <row r="2586" spans="1:10" hidden="1">
      <c r="A2586" t="s">
        <v>2925</v>
      </c>
      <c r="B2586" t="s">
        <v>5531</v>
      </c>
      <c r="C2586" t="s">
        <v>5532</v>
      </c>
      <c r="J2586">
        <f>LEN(Table13[[#This Row],[REFERENCE_DESCR1]])</f>
        <v>29</v>
      </c>
    </row>
    <row r="2587" spans="1:10" hidden="1">
      <c r="A2587" t="s">
        <v>2925</v>
      </c>
      <c r="B2587" t="s">
        <v>5533</v>
      </c>
      <c r="C2587" t="s">
        <v>5534</v>
      </c>
      <c r="J2587">
        <f>LEN(Table13[[#This Row],[REFERENCE_DESCR1]])</f>
        <v>24</v>
      </c>
    </row>
    <row r="2588" spans="1:10" hidden="1">
      <c r="A2588" t="s">
        <v>2925</v>
      </c>
      <c r="B2588" t="s">
        <v>5535</v>
      </c>
      <c r="C2588" t="s">
        <v>5536</v>
      </c>
      <c r="J2588">
        <f>LEN(Table13[[#This Row],[REFERENCE_DESCR1]])</f>
        <v>16</v>
      </c>
    </row>
    <row r="2589" spans="1:10" hidden="1">
      <c r="A2589" t="s">
        <v>2925</v>
      </c>
      <c r="B2589" t="s">
        <v>5537</v>
      </c>
      <c r="C2589" t="s">
        <v>5538</v>
      </c>
      <c r="J2589">
        <f>LEN(Table13[[#This Row],[REFERENCE_DESCR1]])</f>
        <v>14</v>
      </c>
    </row>
    <row r="2590" spans="1:10" hidden="1">
      <c r="A2590" t="s">
        <v>2925</v>
      </c>
      <c r="B2590" t="s">
        <v>5539</v>
      </c>
      <c r="C2590" t="s">
        <v>5540</v>
      </c>
      <c r="J2590">
        <f>LEN(Table13[[#This Row],[REFERENCE_DESCR1]])</f>
        <v>29</v>
      </c>
    </row>
    <row r="2591" spans="1:10" hidden="1">
      <c r="A2591" t="s">
        <v>2925</v>
      </c>
      <c r="B2591" t="s">
        <v>5541</v>
      </c>
      <c r="C2591" t="s">
        <v>5542</v>
      </c>
      <c r="J2591">
        <f>LEN(Table13[[#This Row],[REFERENCE_DESCR1]])</f>
        <v>11</v>
      </c>
    </row>
    <row r="2592" spans="1:10" hidden="1">
      <c r="A2592" t="s">
        <v>2925</v>
      </c>
      <c r="B2592" t="s">
        <v>5543</v>
      </c>
      <c r="C2592" t="s">
        <v>5544</v>
      </c>
      <c r="J2592">
        <f>LEN(Table13[[#This Row],[REFERENCE_DESCR1]])</f>
        <v>12</v>
      </c>
    </row>
    <row r="2593" spans="1:10" hidden="1">
      <c r="A2593" t="s">
        <v>2925</v>
      </c>
      <c r="B2593" t="s">
        <v>5545</v>
      </c>
      <c r="C2593" t="s">
        <v>5546</v>
      </c>
      <c r="J2593">
        <f>LEN(Table13[[#This Row],[REFERENCE_DESCR1]])</f>
        <v>7</v>
      </c>
    </row>
    <row r="2594" spans="1:10" hidden="1">
      <c r="A2594" t="s">
        <v>2925</v>
      </c>
      <c r="B2594" t="s">
        <v>5547</v>
      </c>
      <c r="C2594" t="s">
        <v>5548</v>
      </c>
      <c r="J2594">
        <f>LEN(Table13[[#This Row],[REFERENCE_DESCR1]])</f>
        <v>12</v>
      </c>
    </row>
    <row r="2595" spans="1:10" hidden="1">
      <c r="A2595" t="s">
        <v>2925</v>
      </c>
      <c r="B2595" t="s">
        <v>5549</v>
      </c>
      <c r="C2595" t="s">
        <v>5550</v>
      </c>
      <c r="J2595">
        <f>LEN(Table13[[#This Row],[REFERENCE_DESCR1]])</f>
        <v>23</v>
      </c>
    </row>
    <row r="2596" spans="1:10" hidden="1">
      <c r="A2596" t="s">
        <v>2925</v>
      </c>
      <c r="B2596" t="s">
        <v>5551</v>
      </c>
      <c r="C2596" t="s">
        <v>5552</v>
      </c>
      <c r="J2596">
        <f>LEN(Table13[[#This Row],[REFERENCE_DESCR1]])</f>
        <v>26</v>
      </c>
    </row>
    <row r="2597" spans="1:10" hidden="1">
      <c r="A2597" t="s">
        <v>2925</v>
      </c>
      <c r="B2597" t="s">
        <v>5553</v>
      </c>
      <c r="C2597" t="s">
        <v>5554</v>
      </c>
      <c r="J2597">
        <f>LEN(Table13[[#This Row],[REFERENCE_DESCR1]])</f>
        <v>37</v>
      </c>
    </row>
    <row r="2598" spans="1:10" hidden="1">
      <c r="A2598" t="s">
        <v>2925</v>
      </c>
      <c r="B2598" t="s">
        <v>5555</v>
      </c>
      <c r="C2598" t="s">
        <v>5556</v>
      </c>
      <c r="J2598">
        <f>LEN(Table13[[#This Row],[REFERENCE_DESCR1]])</f>
        <v>27</v>
      </c>
    </row>
    <row r="2599" spans="1:10" hidden="1">
      <c r="A2599" t="s">
        <v>2925</v>
      </c>
      <c r="B2599" t="s">
        <v>5557</v>
      </c>
      <c r="C2599" t="s">
        <v>5558</v>
      </c>
      <c r="J2599">
        <f>LEN(Table13[[#This Row],[REFERENCE_DESCR1]])</f>
        <v>27</v>
      </c>
    </row>
    <row r="2600" spans="1:10" hidden="1">
      <c r="A2600" t="s">
        <v>2925</v>
      </c>
      <c r="B2600" t="s">
        <v>5559</v>
      </c>
      <c r="C2600" t="s">
        <v>5560</v>
      </c>
      <c r="J2600">
        <f>LEN(Table13[[#This Row],[REFERENCE_DESCR1]])</f>
        <v>26</v>
      </c>
    </row>
    <row r="2601" spans="1:10" hidden="1">
      <c r="A2601" t="s">
        <v>2925</v>
      </c>
      <c r="B2601" t="s">
        <v>5561</v>
      </c>
      <c r="C2601" t="s">
        <v>5562</v>
      </c>
      <c r="J2601">
        <f>LEN(Table13[[#This Row],[REFERENCE_DESCR1]])</f>
        <v>21</v>
      </c>
    </row>
    <row r="2602" spans="1:10" hidden="1">
      <c r="A2602" t="s">
        <v>2925</v>
      </c>
      <c r="B2602" t="s">
        <v>5563</v>
      </c>
      <c r="C2602" t="s">
        <v>5564</v>
      </c>
      <c r="J2602">
        <f>LEN(Table13[[#This Row],[REFERENCE_DESCR1]])</f>
        <v>11</v>
      </c>
    </row>
    <row r="2603" spans="1:10" hidden="1">
      <c r="A2603" t="s">
        <v>2925</v>
      </c>
      <c r="B2603" t="s">
        <v>5565</v>
      </c>
      <c r="C2603" t="s">
        <v>5566</v>
      </c>
      <c r="J2603">
        <f>LEN(Table13[[#This Row],[REFERENCE_DESCR1]])</f>
        <v>5</v>
      </c>
    </row>
    <row r="2604" spans="1:10" hidden="1">
      <c r="A2604" t="s">
        <v>2925</v>
      </c>
      <c r="B2604" t="s">
        <v>5567</v>
      </c>
      <c r="C2604" t="s">
        <v>5568</v>
      </c>
      <c r="J2604">
        <f>LEN(Table13[[#This Row],[REFERENCE_DESCR1]])</f>
        <v>12</v>
      </c>
    </row>
    <row r="2605" spans="1:10" hidden="1">
      <c r="A2605" t="s">
        <v>2925</v>
      </c>
      <c r="B2605" t="s">
        <v>5569</v>
      </c>
      <c r="C2605" t="s">
        <v>5570</v>
      </c>
      <c r="J2605">
        <f>LEN(Table13[[#This Row],[REFERENCE_DESCR1]])</f>
        <v>9</v>
      </c>
    </row>
    <row r="2606" spans="1:10" hidden="1">
      <c r="A2606" t="s">
        <v>2925</v>
      </c>
      <c r="B2606" t="s">
        <v>5571</v>
      </c>
      <c r="C2606" t="s">
        <v>5572</v>
      </c>
      <c r="J2606">
        <f>LEN(Table13[[#This Row],[REFERENCE_DESCR1]])</f>
        <v>9</v>
      </c>
    </row>
    <row r="2607" spans="1:10" hidden="1">
      <c r="A2607" t="s">
        <v>2925</v>
      </c>
      <c r="B2607" t="s">
        <v>5573</v>
      </c>
      <c r="C2607" t="s">
        <v>5574</v>
      </c>
      <c r="J2607">
        <f>LEN(Table13[[#This Row],[REFERENCE_DESCR1]])</f>
        <v>6</v>
      </c>
    </row>
    <row r="2608" spans="1:10" hidden="1">
      <c r="A2608" t="s">
        <v>2925</v>
      </c>
      <c r="B2608" t="s">
        <v>5575</v>
      </c>
      <c r="C2608" t="s">
        <v>5576</v>
      </c>
      <c r="J2608">
        <f>LEN(Table13[[#This Row],[REFERENCE_DESCR1]])</f>
        <v>9</v>
      </c>
    </row>
    <row r="2609" spans="1:10" hidden="1">
      <c r="A2609" t="s">
        <v>2925</v>
      </c>
      <c r="B2609" t="s">
        <v>5577</v>
      </c>
      <c r="C2609" t="s">
        <v>5578</v>
      </c>
      <c r="J2609">
        <f>LEN(Table13[[#This Row],[REFERENCE_DESCR1]])</f>
        <v>11</v>
      </c>
    </row>
    <row r="2610" spans="1:10" hidden="1">
      <c r="A2610" t="s">
        <v>2925</v>
      </c>
      <c r="B2610" t="s">
        <v>5579</v>
      </c>
      <c r="C2610" t="s">
        <v>5580</v>
      </c>
      <c r="J2610">
        <f>LEN(Table13[[#This Row],[REFERENCE_DESCR1]])</f>
        <v>20</v>
      </c>
    </row>
    <row r="2611" spans="1:10" hidden="1">
      <c r="A2611" t="s">
        <v>2925</v>
      </c>
      <c r="B2611" t="s">
        <v>5581</v>
      </c>
      <c r="C2611" t="s">
        <v>5582</v>
      </c>
      <c r="J2611">
        <f>LEN(Table13[[#This Row],[REFERENCE_DESCR1]])</f>
        <v>15</v>
      </c>
    </row>
    <row r="2612" spans="1:10" hidden="1">
      <c r="A2612" t="s">
        <v>2925</v>
      </c>
      <c r="B2612" t="s">
        <v>5583</v>
      </c>
      <c r="C2612" t="s">
        <v>5584</v>
      </c>
      <c r="J2612">
        <f>LEN(Table13[[#This Row],[REFERENCE_DESCR1]])</f>
        <v>21</v>
      </c>
    </row>
    <row r="2613" spans="1:10" hidden="1">
      <c r="A2613" t="s">
        <v>2925</v>
      </c>
      <c r="B2613" t="s">
        <v>5585</v>
      </c>
      <c r="C2613" t="s">
        <v>5586</v>
      </c>
      <c r="J2613">
        <f>LEN(Table13[[#This Row],[REFERENCE_DESCR1]])</f>
        <v>12</v>
      </c>
    </row>
    <row r="2614" spans="1:10" hidden="1">
      <c r="A2614" t="s">
        <v>2925</v>
      </c>
      <c r="B2614" t="s">
        <v>5587</v>
      </c>
      <c r="C2614" t="s">
        <v>5588</v>
      </c>
      <c r="J2614">
        <f>LEN(Table13[[#This Row],[REFERENCE_DESCR1]])</f>
        <v>24</v>
      </c>
    </row>
    <row r="2615" spans="1:10" hidden="1">
      <c r="A2615" t="s">
        <v>2925</v>
      </c>
      <c r="B2615" t="s">
        <v>5589</v>
      </c>
      <c r="C2615" t="s">
        <v>5590</v>
      </c>
      <c r="J2615">
        <f>LEN(Table13[[#This Row],[REFERENCE_DESCR1]])</f>
        <v>39</v>
      </c>
    </row>
    <row r="2616" spans="1:10" hidden="1">
      <c r="A2616" t="s">
        <v>2925</v>
      </c>
      <c r="B2616" t="s">
        <v>5591</v>
      </c>
      <c r="C2616" t="s">
        <v>5592</v>
      </c>
      <c r="J2616">
        <f>LEN(Table13[[#This Row],[REFERENCE_DESCR1]])</f>
        <v>10</v>
      </c>
    </row>
    <row r="2617" spans="1:10" hidden="1">
      <c r="A2617" t="s">
        <v>2925</v>
      </c>
      <c r="B2617" t="s">
        <v>5593</v>
      </c>
      <c r="C2617" t="s">
        <v>5594</v>
      </c>
      <c r="J2617">
        <f>LEN(Table13[[#This Row],[REFERENCE_DESCR1]])</f>
        <v>22</v>
      </c>
    </row>
    <row r="2618" spans="1:10" hidden="1">
      <c r="A2618" t="s">
        <v>2925</v>
      </c>
      <c r="B2618" t="s">
        <v>5595</v>
      </c>
      <c r="C2618" t="s">
        <v>5596</v>
      </c>
      <c r="J2618">
        <f>LEN(Table13[[#This Row],[REFERENCE_DESCR1]])</f>
        <v>8</v>
      </c>
    </row>
    <row r="2619" spans="1:10" hidden="1">
      <c r="A2619" t="s">
        <v>2925</v>
      </c>
      <c r="B2619" t="s">
        <v>5597</v>
      </c>
      <c r="C2619" t="s">
        <v>5598</v>
      </c>
      <c r="J2619">
        <f>LEN(Table13[[#This Row],[REFERENCE_DESCR1]])</f>
        <v>9</v>
      </c>
    </row>
    <row r="2620" spans="1:10" hidden="1">
      <c r="A2620" t="s">
        <v>2925</v>
      </c>
      <c r="B2620" t="s">
        <v>5599</v>
      </c>
      <c r="C2620" t="s">
        <v>5600</v>
      </c>
      <c r="J2620">
        <f>LEN(Table13[[#This Row],[REFERENCE_DESCR1]])</f>
        <v>6</v>
      </c>
    </row>
    <row r="2621" spans="1:10" hidden="1">
      <c r="A2621" t="s">
        <v>2925</v>
      </c>
      <c r="B2621" t="s">
        <v>5601</v>
      </c>
      <c r="C2621" t="s">
        <v>5602</v>
      </c>
      <c r="J2621">
        <f>LEN(Table13[[#This Row],[REFERENCE_DESCR1]])</f>
        <v>33</v>
      </c>
    </row>
    <row r="2622" spans="1:10" hidden="1">
      <c r="A2622" t="s">
        <v>2925</v>
      </c>
      <c r="B2622" t="s">
        <v>5603</v>
      </c>
      <c r="C2622" t="s">
        <v>5604</v>
      </c>
      <c r="J2622">
        <f>LEN(Table13[[#This Row],[REFERENCE_DESCR1]])</f>
        <v>17</v>
      </c>
    </row>
    <row r="2623" spans="1:10" hidden="1">
      <c r="A2623" t="s">
        <v>2925</v>
      </c>
      <c r="B2623" t="s">
        <v>5605</v>
      </c>
      <c r="C2623" t="s">
        <v>5606</v>
      </c>
      <c r="J2623">
        <f>LEN(Table13[[#This Row],[REFERENCE_DESCR1]])</f>
        <v>11</v>
      </c>
    </row>
    <row r="2624" spans="1:10" hidden="1">
      <c r="A2624" t="s">
        <v>2925</v>
      </c>
      <c r="B2624" t="s">
        <v>5607</v>
      </c>
      <c r="C2624" t="s">
        <v>5608</v>
      </c>
      <c r="J2624">
        <f>LEN(Table13[[#This Row],[REFERENCE_DESCR1]])</f>
        <v>15</v>
      </c>
    </row>
    <row r="2625" spans="1:10" hidden="1">
      <c r="A2625" t="s">
        <v>2925</v>
      </c>
      <c r="B2625" t="s">
        <v>5609</v>
      </c>
      <c r="C2625" t="s">
        <v>5610</v>
      </c>
      <c r="J2625">
        <f>LEN(Table13[[#This Row],[REFERENCE_DESCR1]])</f>
        <v>10</v>
      </c>
    </row>
    <row r="2626" spans="1:10" hidden="1">
      <c r="A2626" t="s">
        <v>2925</v>
      </c>
      <c r="B2626" t="s">
        <v>5611</v>
      </c>
      <c r="C2626" t="s">
        <v>5612</v>
      </c>
      <c r="J2626">
        <f>LEN(Table13[[#This Row],[REFERENCE_DESCR1]])</f>
        <v>22</v>
      </c>
    </row>
    <row r="2627" spans="1:10" hidden="1">
      <c r="A2627" t="s">
        <v>2925</v>
      </c>
      <c r="B2627" t="s">
        <v>5613</v>
      </c>
      <c r="C2627" t="s">
        <v>5614</v>
      </c>
      <c r="J2627">
        <f>LEN(Table13[[#This Row],[REFERENCE_DESCR1]])</f>
        <v>6</v>
      </c>
    </row>
    <row r="2628" spans="1:10" hidden="1">
      <c r="A2628" t="s">
        <v>2925</v>
      </c>
      <c r="B2628" t="s">
        <v>5615</v>
      </c>
      <c r="C2628" t="s">
        <v>5616</v>
      </c>
      <c r="J2628">
        <f>LEN(Table13[[#This Row],[REFERENCE_DESCR1]])</f>
        <v>13</v>
      </c>
    </row>
    <row r="2629" spans="1:10" hidden="1">
      <c r="A2629" t="s">
        <v>2925</v>
      </c>
      <c r="B2629" t="s">
        <v>5617</v>
      </c>
      <c r="C2629" t="s">
        <v>5618</v>
      </c>
      <c r="J2629">
        <f>LEN(Table13[[#This Row],[REFERENCE_DESCR1]])</f>
        <v>17</v>
      </c>
    </row>
    <row r="2630" spans="1:10" hidden="1">
      <c r="A2630" t="s">
        <v>2925</v>
      </c>
      <c r="B2630" t="s">
        <v>5619</v>
      </c>
      <c r="C2630" t="s">
        <v>5620</v>
      </c>
      <c r="J2630">
        <f>LEN(Table13[[#This Row],[REFERENCE_DESCR1]])</f>
        <v>18</v>
      </c>
    </row>
    <row r="2631" spans="1:10" hidden="1">
      <c r="A2631" t="s">
        <v>2925</v>
      </c>
      <c r="B2631" t="s">
        <v>5621</v>
      </c>
      <c r="C2631" t="s">
        <v>5622</v>
      </c>
      <c r="J2631">
        <f>LEN(Table13[[#This Row],[REFERENCE_DESCR1]])</f>
        <v>6</v>
      </c>
    </row>
    <row r="2632" spans="1:10" hidden="1">
      <c r="A2632" t="s">
        <v>2925</v>
      </c>
      <c r="B2632" t="s">
        <v>5623</v>
      </c>
      <c r="C2632" t="s">
        <v>5624</v>
      </c>
      <c r="J2632">
        <f>LEN(Table13[[#This Row],[REFERENCE_DESCR1]])</f>
        <v>14</v>
      </c>
    </row>
    <row r="2633" spans="1:10" hidden="1">
      <c r="A2633" t="s">
        <v>2925</v>
      </c>
      <c r="B2633" t="s">
        <v>5625</v>
      </c>
      <c r="C2633" t="s">
        <v>5626</v>
      </c>
      <c r="J2633">
        <f>LEN(Table13[[#This Row],[REFERENCE_DESCR1]])</f>
        <v>13</v>
      </c>
    </row>
    <row r="2634" spans="1:10" hidden="1">
      <c r="A2634" t="s">
        <v>2925</v>
      </c>
      <c r="B2634" t="s">
        <v>5627</v>
      </c>
      <c r="C2634" t="s">
        <v>5628</v>
      </c>
      <c r="J2634">
        <f>LEN(Table13[[#This Row],[REFERENCE_DESCR1]])</f>
        <v>9</v>
      </c>
    </row>
    <row r="2635" spans="1:10" hidden="1">
      <c r="A2635" t="s">
        <v>2925</v>
      </c>
      <c r="B2635" t="s">
        <v>5629</v>
      </c>
      <c r="C2635" t="s">
        <v>5630</v>
      </c>
      <c r="J2635">
        <f>LEN(Table13[[#This Row],[REFERENCE_DESCR1]])</f>
        <v>9</v>
      </c>
    </row>
    <row r="2636" spans="1:10" hidden="1">
      <c r="A2636" t="s">
        <v>2925</v>
      </c>
      <c r="B2636" t="s">
        <v>5631</v>
      </c>
      <c r="C2636" t="s">
        <v>5632</v>
      </c>
      <c r="J2636">
        <f>LEN(Table13[[#This Row],[REFERENCE_DESCR1]])</f>
        <v>21</v>
      </c>
    </row>
    <row r="2637" spans="1:10" hidden="1">
      <c r="A2637" t="s">
        <v>2925</v>
      </c>
      <c r="B2637" t="s">
        <v>5633</v>
      </c>
      <c r="C2637" t="s">
        <v>5634</v>
      </c>
      <c r="J2637">
        <f>LEN(Table13[[#This Row],[REFERENCE_DESCR1]])</f>
        <v>10</v>
      </c>
    </row>
    <row r="2638" spans="1:10" hidden="1">
      <c r="A2638" t="s">
        <v>2925</v>
      </c>
      <c r="B2638" t="s">
        <v>5635</v>
      </c>
      <c r="C2638" t="s">
        <v>5636</v>
      </c>
      <c r="J2638">
        <f>LEN(Table13[[#This Row],[REFERENCE_DESCR1]])</f>
        <v>10</v>
      </c>
    </row>
    <row r="2639" spans="1:10" hidden="1">
      <c r="A2639" t="s">
        <v>2925</v>
      </c>
      <c r="B2639" t="s">
        <v>5637</v>
      </c>
      <c r="C2639" t="s">
        <v>5638</v>
      </c>
      <c r="J2639">
        <f>LEN(Table13[[#This Row],[REFERENCE_DESCR1]])</f>
        <v>9</v>
      </c>
    </row>
    <row r="2640" spans="1:10" hidden="1">
      <c r="A2640" t="s">
        <v>2925</v>
      </c>
      <c r="B2640" t="s">
        <v>5639</v>
      </c>
      <c r="C2640" t="s">
        <v>5640</v>
      </c>
      <c r="J2640">
        <f>LEN(Table13[[#This Row],[REFERENCE_DESCR1]])</f>
        <v>8</v>
      </c>
    </row>
    <row r="2641" spans="1:10" hidden="1">
      <c r="A2641" t="s">
        <v>2925</v>
      </c>
      <c r="B2641" t="s">
        <v>5641</v>
      </c>
      <c r="C2641" t="s">
        <v>5642</v>
      </c>
      <c r="J2641">
        <f>LEN(Table13[[#This Row],[REFERENCE_DESCR1]])</f>
        <v>13</v>
      </c>
    </row>
    <row r="2642" spans="1:10" hidden="1">
      <c r="A2642" t="s">
        <v>2925</v>
      </c>
      <c r="B2642" t="s">
        <v>5643</v>
      </c>
      <c r="C2642" t="s">
        <v>5644</v>
      </c>
      <c r="J2642">
        <f>LEN(Table13[[#This Row],[REFERENCE_DESCR1]])</f>
        <v>7</v>
      </c>
    </row>
    <row r="2643" spans="1:10" hidden="1">
      <c r="A2643" t="s">
        <v>2925</v>
      </c>
      <c r="B2643" t="s">
        <v>5645</v>
      </c>
      <c r="C2643" t="s">
        <v>5646</v>
      </c>
      <c r="J2643">
        <f>LEN(Table13[[#This Row],[REFERENCE_DESCR1]])</f>
        <v>16</v>
      </c>
    </row>
    <row r="2644" spans="1:10" hidden="1">
      <c r="A2644" t="s">
        <v>2925</v>
      </c>
      <c r="B2644" t="s">
        <v>5647</v>
      </c>
      <c r="C2644" t="s">
        <v>5648</v>
      </c>
      <c r="J2644">
        <f>LEN(Table13[[#This Row],[REFERENCE_DESCR1]])</f>
        <v>10</v>
      </c>
    </row>
    <row r="2645" spans="1:10" hidden="1">
      <c r="A2645" t="s">
        <v>2925</v>
      </c>
      <c r="B2645" t="s">
        <v>5649</v>
      </c>
      <c r="C2645" t="s">
        <v>5650</v>
      </c>
      <c r="J2645">
        <f>LEN(Table13[[#This Row],[REFERENCE_DESCR1]])</f>
        <v>23</v>
      </c>
    </row>
    <row r="2646" spans="1:10" hidden="1">
      <c r="A2646" t="s">
        <v>2925</v>
      </c>
      <c r="B2646" t="s">
        <v>5651</v>
      </c>
      <c r="C2646" t="s">
        <v>5652</v>
      </c>
      <c r="J2646">
        <f>LEN(Table13[[#This Row],[REFERENCE_DESCR1]])</f>
        <v>24</v>
      </c>
    </row>
    <row r="2647" spans="1:10" hidden="1">
      <c r="A2647" t="s">
        <v>2925</v>
      </c>
      <c r="B2647" t="s">
        <v>5653</v>
      </c>
      <c r="C2647" t="s">
        <v>5654</v>
      </c>
      <c r="J2647">
        <f>LEN(Table13[[#This Row],[REFERENCE_DESCR1]])</f>
        <v>20</v>
      </c>
    </row>
    <row r="2648" spans="1:10" hidden="1">
      <c r="A2648" t="s">
        <v>2925</v>
      </c>
      <c r="B2648" t="s">
        <v>5655</v>
      </c>
      <c r="C2648" t="s">
        <v>5656</v>
      </c>
      <c r="J2648">
        <f>LEN(Table13[[#This Row],[REFERENCE_DESCR1]])</f>
        <v>25</v>
      </c>
    </row>
    <row r="2649" spans="1:10" hidden="1">
      <c r="A2649" t="s">
        <v>2925</v>
      </c>
      <c r="B2649" t="s">
        <v>5657</v>
      </c>
      <c r="C2649" t="s">
        <v>5658</v>
      </c>
      <c r="J2649">
        <f>LEN(Table13[[#This Row],[REFERENCE_DESCR1]])</f>
        <v>9</v>
      </c>
    </row>
    <row r="2650" spans="1:10" hidden="1">
      <c r="A2650" t="s">
        <v>2925</v>
      </c>
      <c r="B2650" t="s">
        <v>5659</v>
      </c>
      <c r="C2650" t="s">
        <v>5660</v>
      </c>
      <c r="J2650">
        <f>LEN(Table13[[#This Row],[REFERENCE_DESCR1]])</f>
        <v>13</v>
      </c>
    </row>
    <row r="2651" spans="1:10" hidden="1">
      <c r="A2651" t="s">
        <v>2925</v>
      </c>
      <c r="B2651" t="s">
        <v>5661</v>
      </c>
      <c r="C2651" t="s">
        <v>5662</v>
      </c>
      <c r="J2651">
        <f>LEN(Table13[[#This Row],[REFERENCE_DESCR1]])</f>
        <v>21</v>
      </c>
    </row>
    <row r="2652" spans="1:10" hidden="1">
      <c r="A2652" t="s">
        <v>2925</v>
      </c>
      <c r="B2652" t="s">
        <v>5663</v>
      </c>
      <c r="C2652" t="s">
        <v>5664</v>
      </c>
      <c r="J2652">
        <f>LEN(Table13[[#This Row],[REFERENCE_DESCR1]])</f>
        <v>10</v>
      </c>
    </row>
    <row r="2653" spans="1:10" hidden="1">
      <c r="A2653" t="s">
        <v>2925</v>
      </c>
      <c r="B2653" t="s">
        <v>5665</v>
      </c>
      <c r="C2653" t="s">
        <v>5666</v>
      </c>
      <c r="J2653">
        <f>LEN(Table13[[#This Row],[REFERENCE_DESCR1]])</f>
        <v>17</v>
      </c>
    </row>
    <row r="2654" spans="1:10" hidden="1">
      <c r="A2654" t="s">
        <v>2925</v>
      </c>
      <c r="B2654" t="s">
        <v>5667</v>
      </c>
      <c r="C2654" t="s">
        <v>5668</v>
      </c>
      <c r="J2654">
        <f>LEN(Table13[[#This Row],[REFERENCE_DESCR1]])</f>
        <v>10</v>
      </c>
    </row>
    <row r="2655" spans="1:10" hidden="1">
      <c r="A2655" t="s">
        <v>2925</v>
      </c>
      <c r="B2655" t="s">
        <v>5669</v>
      </c>
      <c r="C2655" t="s">
        <v>5670</v>
      </c>
      <c r="J2655">
        <f>LEN(Table13[[#This Row],[REFERENCE_DESCR1]])</f>
        <v>7</v>
      </c>
    </row>
    <row r="2656" spans="1:10" hidden="1">
      <c r="A2656" t="s">
        <v>2925</v>
      </c>
      <c r="B2656" t="s">
        <v>5671</v>
      </c>
      <c r="C2656" t="s">
        <v>5672</v>
      </c>
      <c r="J2656">
        <f>LEN(Table13[[#This Row],[REFERENCE_DESCR1]])</f>
        <v>9</v>
      </c>
    </row>
    <row r="2657" spans="1:10" hidden="1">
      <c r="A2657" t="s">
        <v>2925</v>
      </c>
      <c r="B2657" t="s">
        <v>5673</v>
      </c>
      <c r="C2657" t="s">
        <v>5674</v>
      </c>
      <c r="J2657">
        <f>LEN(Table13[[#This Row],[REFERENCE_DESCR1]])</f>
        <v>11</v>
      </c>
    </row>
    <row r="2658" spans="1:10" hidden="1">
      <c r="A2658" t="s">
        <v>2925</v>
      </c>
      <c r="B2658" t="s">
        <v>5675</v>
      </c>
      <c r="C2658" t="s">
        <v>5676</v>
      </c>
      <c r="J2658">
        <f>LEN(Table13[[#This Row],[REFERENCE_DESCR1]])</f>
        <v>8</v>
      </c>
    </row>
    <row r="2659" spans="1:10" hidden="1">
      <c r="A2659" t="s">
        <v>2925</v>
      </c>
      <c r="B2659" t="s">
        <v>5677</v>
      </c>
      <c r="C2659" t="s">
        <v>5678</v>
      </c>
      <c r="J2659">
        <f>LEN(Table13[[#This Row],[REFERENCE_DESCR1]])</f>
        <v>15</v>
      </c>
    </row>
    <row r="2660" spans="1:10" hidden="1">
      <c r="A2660" t="s">
        <v>2925</v>
      </c>
      <c r="B2660" t="s">
        <v>5679</v>
      </c>
      <c r="C2660" t="s">
        <v>5680</v>
      </c>
      <c r="J2660">
        <f>LEN(Table13[[#This Row],[REFERENCE_DESCR1]])</f>
        <v>7</v>
      </c>
    </row>
    <row r="2661" spans="1:10" hidden="1">
      <c r="A2661" t="s">
        <v>2925</v>
      </c>
      <c r="B2661" t="s">
        <v>5681</v>
      </c>
      <c r="C2661" t="s">
        <v>5682</v>
      </c>
      <c r="J2661">
        <f>LEN(Table13[[#This Row],[REFERENCE_DESCR1]])</f>
        <v>19</v>
      </c>
    </row>
    <row r="2662" spans="1:10" hidden="1">
      <c r="A2662" t="s">
        <v>2925</v>
      </c>
      <c r="B2662" t="s">
        <v>5683</v>
      </c>
      <c r="C2662" t="s">
        <v>5684</v>
      </c>
      <c r="J2662">
        <f>LEN(Table13[[#This Row],[REFERENCE_DESCR1]])</f>
        <v>18</v>
      </c>
    </row>
    <row r="2663" spans="1:10" hidden="1">
      <c r="A2663" t="s">
        <v>2925</v>
      </c>
      <c r="B2663" t="s">
        <v>5685</v>
      </c>
      <c r="C2663" t="s">
        <v>5686</v>
      </c>
      <c r="J2663">
        <f>LEN(Table13[[#This Row],[REFERENCE_DESCR1]])</f>
        <v>11</v>
      </c>
    </row>
    <row r="2664" spans="1:10" hidden="1">
      <c r="A2664" t="s">
        <v>2925</v>
      </c>
      <c r="B2664" t="s">
        <v>5687</v>
      </c>
      <c r="C2664" t="s">
        <v>5688</v>
      </c>
      <c r="J2664">
        <f>LEN(Table13[[#This Row],[REFERENCE_DESCR1]])</f>
        <v>9</v>
      </c>
    </row>
    <row r="2665" spans="1:10" hidden="1">
      <c r="A2665" t="s">
        <v>2925</v>
      </c>
      <c r="B2665" t="s">
        <v>5689</v>
      </c>
      <c r="C2665" t="s">
        <v>5690</v>
      </c>
      <c r="J2665">
        <f>LEN(Table13[[#This Row],[REFERENCE_DESCR1]])</f>
        <v>12</v>
      </c>
    </row>
    <row r="2666" spans="1:10" hidden="1">
      <c r="A2666" t="s">
        <v>2925</v>
      </c>
      <c r="B2666" t="s">
        <v>5691</v>
      </c>
      <c r="C2666" t="s">
        <v>5692</v>
      </c>
      <c r="J2666">
        <f>LEN(Table13[[#This Row],[REFERENCE_DESCR1]])</f>
        <v>13</v>
      </c>
    </row>
    <row r="2667" spans="1:10" hidden="1">
      <c r="A2667" t="s">
        <v>2925</v>
      </c>
      <c r="B2667" t="s">
        <v>5693</v>
      </c>
      <c r="C2667" t="s">
        <v>5694</v>
      </c>
      <c r="J2667">
        <f>LEN(Table13[[#This Row],[REFERENCE_DESCR1]])</f>
        <v>11</v>
      </c>
    </row>
    <row r="2668" spans="1:10" hidden="1">
      <c r="A2668" t="s">
        <v>2925</v>
      </c>
      <c r="B2668" t="s">
        <v>5695</v>
      </c>
      <c r="C2668" t="s">
        <v>5696</v>
      </c>
      <c r="J2668">
        <f>LEN(Table13[[#This Row],[REFERENCE_DESCR1]])</f>
        <v>17</v>
      </c>
    </row>
    <row r="2669" spans="1:10" hidden="1">
      <c r="A2669" t="s">
        <v>2925</v>
      </c>
      <c r="B2669" t="s">
        <v>5697</v>
      </c>
      <c r="C2669" t="s">
        <v>5698</v>
      </c>
      <c r="J2669">
        <f>LEN(Table13[[#This Row],[REFERENCE_DESCR1]])</f>
        <v>24</v>
      </c>
    </row>
    <row r="2670" spans="1:10" hidden="1">
      <c r="A2670" t="s">
        <v>2925</v>
      </c>
      <c r="B2670" t="s">
        <v>5699</v>
      </c>
      <c r="C2670" t="s">
        <v>5700</v>
      </c>
      <c r="J2670">
        <f>LEN(Table13[[#This Row],[REFERENCE_DESCR1]])</f>
        <v>5</v>
      </c>
    </row>
    <row r="2671" spans="1:10" hidden="1">
      <c r="A2671" t="s">
        <v>2925</v>
      </c>
      <c r="B2671" t="s">
        <v>5701</v>
      </c>
      <c r="C2671" t="s">
        <v>5702</v>
      </c>
      <c r="J2671">
        <f>LEN(Table13[[#This Row],[REFERENCE_DESCR1]])</f>
        <v>10</v>
      </c>
    </row>
    <row r="2672" spans="1:10" hidden="1">
      <c r="A2672" t="s">
        <v>2925</v>
      </c>
      <c r="B2672" t="s">
        <v>5703</v>
      </c>
      <c r="C2672" t="s">
        <v>5704</v>
      </c>
      <c r="J2672">
        <f>LEN(Table13[[#This Row],[REFERENCE_DESCR1]])</f>
        <v>7</v>
      </c>
    </row>
    <row r="2673" spans="1:10" hidden="1">
      <c r="A2673" t="s">
        <v>2925</v>
      </c>
      <c r="B2673" t="s">
        <v>5705</v>
      </c>
      <c r="C2673" t="s">
        <v>5706</v>
      </c>
      <c r="J2673">
        <f>LEN(Table13[[#This Row],[REFERENCE_DESCR1]])</f>
        <v>14</v>
      </c>
    </row>
    <row r="2674" spans="1:10" hidden="1">
      <c r="A2674" t="s">
        <v>2925</v>
      </c>
      <c r="B2674" t="s">
        <v>5707</v>
      </c>
      <c r="C2674" t="s">
        <v>5708</v>
      </c>
      <c r="J2674">
        <f>LEN(Table13[[#This Row],[REFERENCE_DESCR1]])</f>
        <v>8</v>
      </c>
    </row>
    <row r="2675" spans="1:10" hidden="1">
      <c r="A2675" t="s">
        <v>2925</v>
      </c>
      <c r="B2675" t="s">
        <v>5709</v>
      </c>
      <c r="C2675" t="s">
        <v>5710</v>
      </c>
      <c r="J2675">
        <f>LEN(Table13[[#This Row],[REFERENCE_DESCR1]])</f>
        <v>7</v>
      </c>
    </row>
    <row r="2676" spans="1:10" hidden="1">
      <c r="A2676" t="s">
        <v>2925</v>
      </c>
      <c r="B2676" t="s">
        <v>5711</v>
      </c>
      <c r="C2676" t="s">
        <v>5712</v>
      </c>
      <c r="J2676">
        <f>LEN(Table13[[#This Row],[REFERENCE_DESCR1]])</f>
        <v>12</v>
      </c>
    </row>
    <row r="2677" spans="1:10" hidden="1">
      <c r="A2677" t="s">
        <v>2925</v>
      </c>
      <c r="B2677" t="s">
        <v>1971</v>
      </c>
      <c r="C2677" t="s">
        <v>5713</v>
      </c>
      <c r="J2677">
        <f>LEN(Table13[[#This Row],[REFERENCE_DESCR1]])</f>
        <v>6</v>
      </c>
    </row>
    <row r="2678" spans="1:10" hidden="1">
      <c r="A2678" t="s">
        <v>2925</v>
      </c>
      <c r="B2678" t="s">
        <v>5714</v>
      </c>
      <c r="C2678" t="s">
        <v>5715</v>
      </c>
      <c r="J2678">
        <f>LEN(Table13[[#This Row],[REFERENCE_DESCR1]])</f>
        <v>6</v>
      </c>
    </row>
    <row r="2679" spans="1:10" hidden="1">
      <c r="A2679" t="s">
        <v>2925</v>
      </c>
      <c r="B2679" t="s">
        <v>5716</v>
      </c>
      <c r="C2679" t="s">
        <v>5717</v>
      </c>
      <c r="J2679">
        <f>LEN(Table13[[#This Row],[REFERENCE_DESCR1]])</f>
        <v>7</v>
      </c>
    </row>
    <row r="2680" spans="1:10" hidden="1">
      <c r="A2680" t="s">
        <v>2925</v>
      </c>
      <c r="B2680" t="s">
        <v>5718</v>
      </c>
      <c r="C2680" t="s">
        <v>5719</v>
      </c>
      <c r="J2680">
        <f>LEN(Table13[[#This Row],[REFERENCE_DESCR1]])</f>
        <v>12</v>
      </c>
    </row>
    <row r="2681" spans="1:10" hidden="1">
      <c r="A2681" t="s">
        <v>2925</v>
      </c>
      <c r="B2681" t="s">
        <v>5720</v>
      </c>
      <c r="C2681" t="s">
        <v>5721</v>
      </c>
      <c r="J2681">
        <f>LEN(Table13[[#This Row],[REFERENCE_DESCR1]])</f>
        <v>8</v>
      </c>
    </row>
    <row r="2682" spans="1:10" hidden="1">
      <c r="A2682" t="s">
        <v>2925</v>
      </c>
      <c r="B2682" t="s">
        <v>5722</v>
      </c>
      <c r="C2682" t="s">
        <v>5723</v>
      </c>
      <c r="J2682">
        <f>LEN(Table13[[#This Row],[REFERENCE_DESCR1]])</f>
        <v>20</v>
      </c>
    </row>
    <row r="2683" spans="1:10" hidden="1">
      <c r="A2683" t="s">
        <v>2925</v>
      </c>
      <c r="B2683" t="s">
        <v>5724</v>
      </c>
      <c r="C2683" t="s">
        <v>5725</v>
      </c>
      <c r="J2683">
        <f>LEN(Table13[[#This Row],[REFERENCE_DESCR1]])</f>
        <v>39</v>
      </c>
    </row>
    <row r="2684" spans="1:10" hidden="1">
      <c r="A2684" t="s">
        <v>2925</v>
      </c>
      <c r="B2684" t="s">
        <v>5726</v>
      </c>
      <c r="C2684" t="s">
        <v>5727</v>
      </c>
      <c r="J2684">
        <f>LEN(Table13[[#This Row],[REFERENCE_DESCR1]])</f>
        <v>7</v>
      </c>
    </row>
    <row r="2685" spans="1:10" hidden="1">
      <c r="A2685" t="s">
        <v>2925</v>
      </c>
      <c r="B2685" t="s">
        <v>5728</v>
      </c>
      <c r="C2685" t="s">
        <v>5729</v>
      </c>
      <c r="J2685">
        <f>LEN(Table13[[#This Row],[REFERENCE_DESCR1]])</f>
        <v>10</v>
      </c>
    </row>
    <row r="2686" spans="1:10" hidden="1">
      <c r="A2686" t="s">
        <v>2925</v>
      </c>
      <c r="B2686" t="s">
        <v>1977</v>
      </c>
      <c r="C2686" t="s">
        <v>5730</v>
      </c>
      <c r="J2686">
        <f>LEN(Table13[[#This Row],[REFERENCE_DESCR1]])</f>
        <v>7</v>
      </c>
    </row>
    <row r="2687" spans="1:10" hidden="1">
      <c r="A2687" t="s">
        <v>2925</v>
      </c>
      <c r="B2687" t="s">
        <v>5731</v>
      </c>
      <c r="C2687" t="s">
        <v>5732</v>
      </c>
      <c r="J2687">
        <f>LEN(Table13[[#This Row],[REFERENCE_DESCR1]])</f>
        <v>8</v>
      </c>
    </row>
    <row r="2688" spans="1:10" hidden="1">
      <c r="A2688" t="s">
        <v>2925</v>
      </c>
      <c r="B2688" t="s">
        <v>5733</v>
      </c>
      <c r="C2688" t="s">
        <v>5734</v>
      </c>
      <c r="J2688">
        <f>LEN(Table13[[#This Row],[REFERENCE_DESCR1]])</f>
        <v>11</v>
      </c>
    </row>
    <row r="2689" spans="1:10" hidden="1">
      <c r="A2689" t="s">
        <v>2925</v>
      </c>
      <c r="B2689" t="s">
        <v>5735</v>
      </c>
      <c r="C2689" t="s">
        <v>5736</v>
      </c>
      <c r="J2689">
        <f>LEN(Table13[[#This Row],[REFERENCE_DESCR1]])</f>
        <v>18</v>
      </c>
    </row>
    <row r="2690" spans="1:10" hidden="1">
      <c r="A2690" t="s">
        <v>2925</v>
      </c>
      <c r="B2690" t="s">
        <v>5737</v>
      </c>
      <c r="C2690" t="s">
        <v>5738</v>
      </c>
      <c r="J2690">
        <f>LEN(Table13[[#This Row],[REFERENCE_DESCR1]])</f>
        <v>8</v>
      </c>
    </row>
    <row r="2691" spans="1:10" hidden="1">
      <c r="A2691" t="s">
        <v>2925</v>
      </c>
      <c r="B2691" t="s">
        <v>5739</v>
      </c>
      <c r="C2691" t="s">
        <v>5740</v>
      </c>
      <c r="J2691">
        <f>LEN(Table13[[#This Row],[REFERENCE_DESCR1]])</f>
        <v>7</v>
      </c>
    </row>
    <row r="2692" spans="1:10" hidden="1">
      <c r="A2692" t="s">
        <v>2925</v>
      </c>
      <c r="B2692" t="s">
        <v>5741</v>
      </c>
      <c r="C2692" t="s">
        <v>5742</v>
      </c>
      <c r="J2692">
        <f>LEN(Table13[[#This Row],[REFERENCE_DESCR1]])</f>
        <v>8</v>
      </c>
    </row>
    <row r="2693" spans="1:10" hidden="1">
      <c r="A2693" t="s">
        <v>2925</v>
      </c>
      <c r="B2693" t="s">
        <v>5743</v>
      </c>
      <c r="C2693" t="s">
        <v>5744</v>
      </c>
      <c r="J2693">
        <f>LEN(Table13[[#This Row],[REFERENCE_DESCR1]])</f>
        <v>11</v>
      </c>
    </row>
    <row r="2694" spans="1:10" hidden="1">
      <c r="A2694" t="s">
        <v>2925</v>
      </c>
      <c r="B2694" t="s">
        <v>5745</v>
      </c>
      <c r="C2694" t="s">
        <v>5746</v>
      </c>
      <c r="J2694">
        <f>LEN(Table13[[#This Row],[REFERENCE_DESCR1]])</f>
        <v>7</v>
      </c>
    </row>
    <row r="2695" spans="1:10" hidden="1">
      <c r="A2695" t="s">
        <v>2925</v>
      </c>
      <c r="B2695" t="s">
        <v>5747</v>
      </c>
      <c r="C2695" t="s">
        <v>5748</v>
      </c>
      <c r="J2695">
        <f>LEN(Table13[[#This Row],[REFERENCE_DESCR1]])</f>
        <v>18</v>
      </c>
    </row>
    <row r="2696" spans="1:10" hidden="1">
      <c r="A2696" t="s">
        <v>2925</v>
      </c>
      <c r="B2696" t="s">
        <v>5749</v>
      </c>
      <c r="C2696" t="s">
        <v>5750</v>
      </c>
      <c r="J2696">
        <f>LEN(Table13[[#This Row],[REFERENCE_DESCR1]])</f>
        <v>5</v>
      </c>
    </row>
    <row r="2697" spans="1:10" hidden="1">
      <c r="A2697" t="s">
        <v>2925</v>
      </c>
      <c r="B2697" t="s">
        <v>5751</v>
      </c>
      <c r="C2697" t="s">
        <v>5752</v>
      </c>
      <c r="J2697">
        <f>LEN(Table13[[#This Row],[REFERENCE_DESCR1]])</f>
        <v>7</v>
      </c>
    </row>
    <row r="2698" spans="1:10" hidden="1">
      <c r="A2698" t="s">
        <v>2925</v>
      </c>
      <c r="B2698" t="s">
        <v>5753</v>
      </c>
      <c r="C2698" t="s">
        <v>5754</v>
      </c>
      <c r="J2698">
        <f>LEN(Table13[[#This Row],[REFERENCE_DESCR1]])</f>
        <v>9</v>
      </c>
    </row>
    <row r="2699" spans="1:10" hidden="1">
      <c r="A2699" t="s">
        <v>2925</v>
      </c>
      <c r="B2699" t="s">
        <v>5755</v>
      </c>
      <c r="C2699" t="s">
        <v>5756</v>
      </c>
      <c r="J2699">
        <f>LEN(Table13[[#This Row],[REFERENCE_DESCR1]])</f>
        <v>6</v>
      </c>
    </row>
    <row r="2700" spans="1:10" hidden="1">
      <c r="A2700" t="s">
        <v>2925</v>
      </c>
      <c r="B2700" t="s">
        <v>5757</v>
      </c>
      <c r="C2700" t="s">
        <v>5758</v>
      </c>
      <c r="J2700">
        <f>LEN(Table13[[#This Row],[REFERENCE_DESCR1]])</f>
        <v>15</v>
      </c>
    </row>
    <row r="2701" spans="1:10" hidden="1">
      <c r="A2701" t="s">
        <v>2925</v>
      </c>
      <c r="B2701" t="s">
        <v>5759</v>
      </c>
      <c r="C2701" t="s">
        <v>5760</v>
      </c>
      <c r="J2701">
        <f>LEN(Table13[[#This Row],[REFERENCE_DESCR1]])</f>
        <v>22</v>
      </c>
    </row>
    <row r="2702" spans="1:10" hidden="1">
      <c r="A2702" t="s">
        <v>2925</v>
      </c>
      <c r="B2702" t="s">
        <v>5761</v>
      </c>
      <c r="C2702" t="s">
        <v>5762</v>
      </c>
      <c r="J2702">
        <f>LEN(Table13[[#This Row],[REFERENCE_DESCR1]])</f>
        <v>36</v>
      </c>
    </row>
    <row r="2703" spans="1:10" hidden="1">
      <c r="A2703" t="s">
        <v>2925</v>
      </c>
      <c r="B2703" t="s">
        <v>5763</v>
      </c>
      <c r="C2703" t="s">
        <v>5764</v>
      </c>
      <c r="J2703">
        <f>LEN(Table13[[#This Row],[REFERENCE_DESCR1]])</f>
        <v>14</v>
      </c>
    </row>
    <row r="2704" spans="1:10" hidden="1">
      <c r="A2704" t="s">
        <v>2925</v>
      </c>
      <c r="B2704" t="s">
        <v>5765</v>
      </c>
      <c r="C2704" t="s">
        <v>5766</v>
      </c>
      <c r="J2704">
        <f>LEN(Table13[[#This Row],[REFERENCE_DESCR1]])</f>
        <v>10</v>
      </c>
    </row>
    <row r="2705" spans="1:10" hidden="1">
      <c r="A2705" t="s">
        <v>2925</v>
      </c>
      <c r="B2705" t="s">
        <v>5767</v>
      </c>
      <c r="C2705" t="s">
        <v>5768</v>
      </c>
      <c r="J2705">
        <f>LEN(Table13[[#This Row],[REFERENCE_DESCR1]])</f>
        <v>22</v>
      </c>
    </row>
    <row r="2706" spans="1:10" hidden="1">
      <c r="A2706" t="s">
        <v>2925</v>
      </c>
      <c r="B2706" t="s">
        <v>5769</v>
      </c>
      <c r="C2706" t="s">
        <v>5770</v>
      </c>
      <c r="J2706">
        <f>LEN(Table13[[#This Row],[REFERENCE_DESCR1]])</f>
        <v>11</v>
      </c>
    </row>
    <row r="2707" spans="1:10" hidden="1">
      <c r="A2707" t="s">
        <v>2925</v>
      </c>
      <c r="B2707" t="s">
        <v>5771</v>
      </c>
      <c r="C2707" t="s">
        <v>5772</v>
      </c>
      <c r="J2707">
        <f>LEN(Table13[[#This Row],[REFERENCE_DESCR1]])</f>
        <v>17</v>
      </c>
    </row>
    <row r="2708" spans="1:10" hidden="1">
      <c r="A2708" t="s">
        <v>2925</v>
      </c>
      <c r="B2708" t="s">
        <v>5773</v>
      </c>
      <c r="C2708" t="s">
        <v>5774</v>
      </c>
      <c r="J2708">
        <f>LEN(Table13[[#This Row],[REFERENCE_DESCR1]])</f>
        <v>17</v>
      </c>
    </row>
    <row r="2709" spans="1:10" hidden="1">
      <c r="A2709" t="s">
        <v>2925</v>
      </c>
      <c r="B2709" t="s">
        <v>5775</v>
      </c>
      <c r="C2709" t="s">
        <v>5776</v>
      </c>
      <c r="J2709">
        <f>LEN(Table13[[#This Row],[REFERENCE_DESCR1]])</f>
        <v>5</v>
      </c>
    </row>
    <row r="2710" spans="1:10" hidden="1">
      <c r="A2710" t="s">
        <v>2925</v>
      </c>
      <c r="B2710" t="s">
        <v>5777</v>
      </c>
      <c r="C2710" t="s">
        <v>5778</v>
      </c>
      <c r="J2710">
        <f>LEN(Table13[[#This Row],[REFERENCE_DESCR1]])</f>
        <v>10</v>
      </c>
    </row>
    <row r="2711" spans="1:10" hidden="1">
      <c r="A2711" t="s">
        <v>2925</v>
      </c>
      <c r="B2711" t="s">
        <v>5779</v>
      </c>
      <c r="C2711" t="s">
        <v>5780</v>
      </c>
      <c r="J2711">
        <f>LEN(Table13[[#This Row],[REFERENCE_DESCR1]])</f>
        <v>9</v>
      </c>
    </row>
    <row r="2712" spans="1:10" hidden="1">
      <c r="A2712" t="s">
        <v>2925</v>
      </c>
      <c r="B2712" t="s">
        <v>5781</v>
      </c>
      <c r="C2712" t="s">
        <v>5782</v>
      </c>
      <c r="J2712">
        <f>LEN(Table13[[#This Row],[REFERENCE_DESCR1]])</f>
        <v>8</v>
      </c>
    </row>
    <row r="2713" spans="1:10" hidden="1">
      <c r="A2713" t="s">
        <v>2925</v>
      </c>
      <c r="B2713" t="s">
        <v>5783</v>
      </c>
      <c r="C2713" t="s">
        <v>5784</v>
      </c>
      <c r="J2713">
        <f>LEN(Table13[[#This Row],[REFERENCE_DESCR1]])</f>
        <v>7</v>
      </c>
    </row>
    <row r="2714" spans="1:10" hidden="1">
      <c r="A2714" t="s">
        <v>2925</v>
      </c>
      <c r="B2714" t="s">
        <v>5785</v>
      </c>
      <c r="C2714" t="s">
        <v>5786</v>
      </c>
      <c r="J2714">
        <f>LEN(Table13[[#This Row],[REFERENCE_DESCR1]])</f>
        <v>8</v>
      </c>
    </row>
    <row r="2715" spans="1:10" hidden="1">
      <c r="A2715" t="s">
        <v>2925</v>
      </c>
      <c r="B2715" t="s">
        <v>5787</v>
      </c>
      <c r="C2715" t="s">
        <v>5788</v>
      </c>
      <c r="J2715">
        <f>LEN(Table13[[#This Row],[REFERENCE_DESCR1]])</f>
        <v>16</v>
      </c>
    </row>
    <row r="2716" spans="1:10" hidden="1">
      <c r="A2716" t="s">
        <v>2925</v>
      </c>
      <c r="B2716" t="s">
        <v>5789</v>
      </c>
      <c r="C2716" t="s">
        <v>5790</v>
      </c>
      <c r="J2716">
        <f>LEN(Table13[[#This Row],[REFERENCE_DESCR1]])</f>
        <v>21</v>
      </c>
    </row>
    <row r="2717" spans="1:10" hidden="1">
      <c r="A2717" t="s">
        <v>2925</v>
      </c>
      <c r="B2717" t="s">
        <v>5791</v>
      </c>
      <c r="C2717" t="s">
        <v>5792</v>
      </c>
      <c r="J2717">
        <f>LEN(Table13[[#This Row],[REFERENCE_DESCR1]])</f>
        <v>11</v>
      </c>
    </row>
    <row r="2718" spans="1:10" hidden="1">
      <c r="A2718" t="s">
        <v>2925</v>
      </c>
      <c r="B2718" t="s">
        <v>5793</v>
      </c>
      <c r="C2718" t="s">
        <v>5794</v>
      </c>
      <c r="J2718">
        <f>LEN(Table13[[#This Row],[REFERENCE_DESCR1]])</f>
        <v>7</v>
      </c>
    </row>
    <row r="2719" spans="1:10" hidden="1">
      <c r="A2719" t="s">
        <v>2925</v>
      </c>
      <c r="B2719" t="s">
        <v>5795</v>
      </c>
      <c r="C2719" t="s">
        <v>5796</v>
      </c>
      <c r="J2719">
        <f>LEN(Table13[[#This Row],[REFERENCE_DESCR1]])</f>
        <v>13</v>
      </c>
    </row>
    <row r="2720" spans="1:10" hidden="1">
      <c r="A2720" t="s">
        <v>2925</v>
      </c>
      <c r="B2720" t="s">
        <v>5797</v>
      </c>
      <c r="C2720" t="s">
        <v>5798</v>
      </c>
      <c r="J2720">
        <f>LEN(Table13[[#This Row],[REFERENCE_DESCR1]])</f>
        <v>8</v>
      </c>
    </row>
    <row r="2721" spans="1:10" hidden="1">
      <c r="A2721" t="s">
        <v>2925</v>
      </c>
      <c r="B2721" t="s">
        <v>5799</v>
      </c>
      <c r="C2721" t="s">
        <v>5800</v>
      </c>
      <c r="J2721">
        <f>LEN(Table13[[#This Row],[REFERENCE_DESCR1]])</f>
        <v>8</v>
      </c>
    </row>
    <row r="2722" spans="1:10" hidden="1">
      <c r="A2722" t="s">
        <v>2925</v>
      </c>
      <c r="B2722" t="s">
        <v>5801</v>
      </c>
      <c r="C2722" t="s">
        <v>5802</v>
      </c>
      <c r="J2722">
        <f>LEN(Table13[[#This Row],[REFERENCE_DESCR1]])</f>
        <v>13</v>
      </c>
    </row>
    <row r="2723" spans="1:10" hidden="1">
      <c r="A2723" t="s">
        <v>2925</v>
      </c>
      <c r="B2723" t="s">
        <v>5803</v>
      </c>
      <c r="C2723" t="s">
        <v>5804</v>
      </c>
      <c r="J2723">
        <f>LEN(Table13[[#This Row],[REFERENCE_DESCR1]])</f>
        <v>8</v>
      </c>
    </row>
    <row r="2724" spans="1:10" hidden="1">
      <c r="A2724" t="s">
        <v>2925</v>
      </c>
      <c r="B2724" t="s">
        <v>5805</v>
      </c>
      <c r="C2724" t="s">
        <v>5806</v>
      </c>
      <c r="J2724">
        <f>LEN(Table13[[#This Row],[REFERENCE_DESCR1]])</f>
        <v>9</v>
      </c>
    </row>
    <row r="2725" spans="1:10" hidden="1">
      <c r="A2725" t="s">
        <v>2925</v>
      </c>
      <c r="B2725" t="s">
        <v>5807</v>
      </c>
      <c r="C2725" t="s">
        <v>5808</v>
      </c>
      <c r="J2725">
        <f>LEN(Table13[[#This Row],[REFERENCE_DESCR1]])</f>
        <v>8</v>
      </c>
    </row>
    <row r="2726" spans="1:10" hidden="1">
      <c r="A2726" t="s">
        <v>2925</v>
      </c>
      <c r="B2726" t="s">
        <v>5809</v>
      </c>
      <c r="C2726" t="s">
        <v>5810</v>
      </c>
      <c r="J2726">
        <f>LEN(Table13[[#This Row],[REFERENCE_DESCR1]])</f>
        <v>7</v>
      </c>
    </row>
    <row r="2727" spans="1:10" hidden="1">
      <c r="A2727" t="s">
        <v>2925</v>
      </c>
      <c r="B2727" t="s">
        <v>5811</v>
      </c>
      <c r="C2727" t="s">
        <v>5812</v>
      </c>
      <c r="J2727">
        <f>LEN(Table13[[#This Row],[REFERENCE_DESCR1]])</f>
        <v>10</v>
      </c>
    </row>
    <row r="2728" spans="1:10" hidden="1">
      <c r="A2728" t="s">
        <v>2925</v>
      </c>
      <c r="B2728" t="s">
        <v>5813</v>
      </c>
      <c r="C2728" t="s">
        <v>5814</v>
      </c>
      <c r="J2728">
        <f>LEN(Table13[[#This Row],[REFERENCE_DESCR1]])</f>
        <v>10</v>
      </c>
    </row>
    <row r="2729" spans="1:10" hidden="1">
      <c r="A2729" t="s">
        <v>2925</v>
      </c>
      <c r="B2729" t="s">
        <v>5815</v>
      </c>
      <c r="C2729" t="s">
        <v>5816</v>
      </c>
      <c r="J2729">
        <f>LEN(Table13[[#This Row],[REFERENCE_DESCR1]])</f>
        <v>8</v>
      </c>
    </row>
    <row r="2730" spans="1:10" hidden="1">
      <c r="A2730" t="s">
        <v>2925</v>
      </c>
      <c r="B2730" t="s">
        <v>5817</v>
      </c>
      <c r="C2730" t="s">
        <v>5818</v>
      </c>
      <c r="J2730">
        <f>LEN(Table13[[#This Row],[REFERENCE_DESCR1]])</f>
        <v>13</v>
      </c>
    </row>
    <row r="2731" spans="1:10" hidden="1">
      <c r="A2731" t="s">
        <v>2925</v>
      </c>
      <c r="B2731" t="s">
        <v>5819</v>
      </c>
      <c r="C2731" t="s">
        <v>5820</v>
      </c>
      <c r="J2731">
        <f>LEN(Table13[[#This Row],[REFERENCE_DESCR1]])</f>
        <v>25</v>
      </c>
    </row>
    <row r="2732" spans="1:10" hidden="1">
      <c r="A2732" t="s">
        <v>2925</v>
      </c>
      <c r="B2732" t="s">
        <v>5821</v>
      </c>
      <c r="C2732" t="s">
        <v>5822</v>
      </c>
      <c r="J2732">
        <f>LEN(Table13[[#This Row],[REFERENCE_DESCR1]])</f>
        <v>7</v>
      </c>
    </row>
    <row r="2733" spans="1:10" hidden="1">
      <c r="A2733" t="s">
        <v>2925</v>
      </c>
      <c r="B2733" t="s">
        <v>5823</v>
      </c>
      <c r="C2733" t="s">
        <v>5824</v>
      </c>
      <c r="J2733">
        <f>LEN(Table13[[#This Row],[REFERENCE_DESCR1]])</f>
        <v>10</v>
      </c>
    </row>
    <row r="2734" spans="1:10" hidden="1">
      <c r="A2734" t="s">
        <v>2925</v>
      </c>
      <c r="B2734" t="s">
        <v>5825</v>
      </c>
      <c r="C2734" t="s">
        <v>5826</v>
      </c>
      <c r="J2734">
        <f>LEN(Table13[[#This Row],[REFERENCE_DESCR1]])</f>
        <v>6</v>
      </c>
    </row>
    <row r="2735" spans="1:10" hidden="1">
      <c r="A2735" t="s">
        <v>2925</v>
      </c>
      <c r="B2735" t="s">
        <v>5827</v>
      </c>
      <c r="C2735" t="s">
        <v>5828</v>
      </c>
      <c r="J2735">
        <f>LEN(Table13[[#This Row],[REFERENCE_DESCR1]])</f>
        <v>7</v>
      </c>
    </row>
    <row r="2736" spans="1:10" hidden="1">
      <c r="A2736" t="s">
        <v>2925</v>
      </c>
      <c r="B2736" t="s">
        <v>5829</v>
      </c>
      <c r="C2736" t="s">
        <v>5830</v>
      </c>
      <c r="J2736">
        <f>LEN(Table13[[#This Row],[REFERENCE_DESCR1]])</f>
        <v>7</v>
      </c>
    </row>
    <row r="2737" spans="1:10" hidden="1">
      <c r="A2737" t="s">
        <v>2925</v>
      </c>
      <c r="B2737" t="s">
        <v>5831</v>
      </c>
      <c r="C2737" t="s">
        <v>5832</v>
      </c>
      <c r="J2737">
        <f>LEN(Table13[[#This Row],[REFERENCE_DESCR1]])</f>
        <v>7</v>
      </c>
    </row>
    <row r="2738" spans="1:10" hidden="1">
      <c r="A2738" t="s">
        <v>2925</v>
      </c>
      <c r="B2738" t="s">
        <v>5833</v>
      </c>
      <c r="C2738" t="s">
        <v>5834</v>
      </c>
      <c r="J2738">
        <f>LEN(Table13[[#This Row],[REFERENCE_DESCR1]])</f>
        <v>8</v>
      </c>
    </row>
    <row r="2739" spans="1:10" hidden="1">
      <c r="A2739" t="s">
        <v>2925</v>
      </c>
      <c r="B2739" t="s">
        <v>5835</v>
      </c>
      <c r="C2739" t="s">
        <v>5836</v>
      </c>
      <c r="J2739">
        <f>LEN(Table13[[#This Row],[REFERENCE_DESCR1]])</f>
        <v>8</v>
      </c>
    </row>
    <row r="2740" spans="1:10" hidden="1">
      <c r="A2740" t="s">
        <v>2925</v>
      </c>
      <c r="B2740" t="s">
        <v>5837</v>
      </c>
      <c r="C2740" t="s">
        <v>5838</v>
      </c>
      <c r="J2740">
        <f>LEN(Table13[[#This Row],[REFERENCE_DESCR1]])</f>
        <v>14</v>
      </c>
    </row>
    <row r="2741" spans="1:10" hidden="1">
      <c r="A2741" t="s">
        <v>2925</v>
      </c>
      <c r="B2741" t="s">
        <v>5839</v>
      </c>
      <c r="C2741" t="s">
        <v>5840</v>
      </c>
      <c r="J2741">
        <f>LEN(Table13[[#This Row],[REFERENCE_DESCR1]])</f>
        <v>13</v>
      </c>
    </row>
    <row r="2742" spans="1:10" hidden="1">
      <c r="A2742" t="s">
        <v>2925</v>
      </c>
      <c r="B2742" t="s">
        <v>5841</v>
      </c>
      <c r="C2742" t="s">
        <v>5842</v>
      </c>
      <c r="J2742">
        <f>LEN(Table13[[#This Row],[REFERENCE_DESCR1]])</f>
        <v>7</v>
      </c>
    </row>
    <row r="2743" spans="1:10" hidden="1">
      <c r="A2743" t="s">
        <v>2925</v>
      </c>
      <c r="B2743" t="s">
        <v>5843</v>
      </c>
      <c r="C2743" t="s">
        <v>5844</v>
      </c>
      <c r="J2743">
        <f>LEN(Table13[[#This Row],[REFERENCE_DESCR1]])</f>
        <v>8</v>
      </c>
    </row>
    <row r="2744" spans="1:10" hidden="1">
      <c r="A2744" t="s">
        <v>2925</v>
      </c>
      <c r="B2744" t="s">
        <v>5845</v>
      </c>
      <c r="C2744" t="s">
        <v>5846</v>
      </c>
      <c r="J2744">
        <f>LEN(Table13[[#This Row],[REFERENCE_DESCR1]])</f>
        <v>7</v>
      </c>
    </row>
    <row r="2745" spans="1:10" hidden="1">
      <c r="A2745" t="s">
        <v>2925</v>
      </c>
      <c r="B2745" t="s">
        <v>5847</v>
      </c>
      <c r="C2745" t="s">
        <v>5848</v>
      </c>
      <c r="J2745">
        <f>LEN(Table13[[#This Row],[REFERENCE_DESCR1]])</f>
        <v>8</v>
      </c>
    </row>
    <row r="2746" spans="1:10" hidden="1">
      <c r="A2746" t="s">
        <v>2925</v>
      </c>
      <c r="B2746" t="s">
        <v>5849</v>
      </c>
      <c r="C2746" t="s">
        <v>5850</v>
      </c>
      <c r="J2746">
        <f>LEN(Table13[[#This Row],[REFERENCE_DESCR1]])</f>
        <v>9</v>
      </c>
    </row>
    <row r="2747" spans="1:10" hidden="1">
      <c r="A2747" t="s">
        <v>2925</v>
      </c>
      <c r="B2747" t="s">
        <v>5851</v>
      </c>
      <c r="C2747" t="s">
        <v>5852</v>
      </c>
      <c r="J2747">
        <f>LEN(Table13[[#This Row],[REFERENCE_DESCR1]])</f>
        <v>10</v>
      </c>
    </row>
    <row r="2748" spans="1:10" hidden="1">
      <c r="A2748" t="s">
        <v>2925</v>
      </c>
      <c r="B2748" t="s">
        <v>5853</v>
      </c>
      <c r="C2748" t="s">
        <v>5854</v>
      </c>
      <c r="J2748">
        <f>LEN(Table13[[#This Row],[REFERENCE_DESCR1]])</f>
        <v>7</v>
      </c>
    </row>
    <row r="2749" spans="1:10" hidden="1">
      <c r="A2749" t="s">
        <v>2925</v>
      </c>
      <c r="B2749" t="s">
        <v>5855</v>
      </c>
      <c r="C2749" t="s">
        <v>5856</v>
      </c>
      <c r="J2749">
        <f>LEN(Table13[[#This Row],[REFERENCE_DESCR1]])</f>
        <v>13</v>
      </c>
    </row>
    <row r="2750" spans="1:10" hidden="1">
      <c r="A2750" t="s">
        <v>2925</v>
      </c>
      <c r="B2750" t="s">
        <v>5857</v>
      </c>
      <c r="C2750" t="s">
        <v>5858</v>
      </c>
      <c r="J2750">
        <f>LEN(Table13[[#This Row],[REFERENCE_DESCR1]])</f>
        <v>13</v>
      </c>
    </row>
    <row r="2751" spans="1:10" hidden="1">
      <c r="A2751" t="s">
        <v>2925</v>
      </c>
      <c r="B2751" t="s">
        <v>5859</v>
      </c>
      <c r="C2751" t="s">
        <v>5860</v>
      </c>
      <c r="J2751">
        <f>LEN(Table13[[#This Row],[REFERENCE_DESCR1]])</f>
        <v>12</v>
      </c>
    </row>
    <row r="2752" spans="1:10" hidden="1">
      <c r="A2752" t="s">
        <v>2925</v>
      </c>
      <c r="B2752" t="s">
        <v>5861</v>
      </c>
      <c r="C2752" t="s">
        <v>5862</v>
      </c>
      <c r="J2752">
        <f>LEN(Table13[[#This Row],[REFERENCE_DESCR1]])</f>
        <v>8</v>
      </c>
    </row>
    <row r="2753" spans="1:10" hidden="1">
      <c r="A2753" t="s">
        <v>2925</v>
      </c>
      <c r="B2753" t="s">
        <v>5863</v>
      </c>
      <c r="C2753" t="s">
        <v>5864</v>
      </c>
      <c r="J2753">
        <f>LEN(Table13[[#This Row],[REFERENCE_DESCR1]])</f>
        <v>8</v>
      </c>
    </row>
    <row r="2754" spans="1:10" hidden="1">
      <c r="A2754" t="s">
        <v>2925</v>
      </c>
      <c r="B2754" t="s">
        <v>5865</v>
      </c>
      <c r="C2754" t="s">
        <v>5866</v>
      </c>
      <c r="J2754">
        <f>LEN(Table13[[#This Row],[REFERENCE_DESCR1]])</f>
        <v>5</v>
      </c>
    </row>
    <row r="2755" spans="1:10" hidden="1">
      <c r="A2755" t="s">
        <v>2925</v>
      </c>
      <c r="B2755" t="s">
        <v>5867</v>
      </c>
      <c r="C2755" t="s">
        <v>5868</v>
      </c>
      <c r="J2755">
        <f>LEN(Table13[[#This Row],[REFERENCE_DESCR1]])</f>
        <v>6</v>
      </c>
    </row>
    <row r="2756" spans="1:10" hidden="1">
      <c r="A2756" t="s">
        <v>2925</v>
      </c>
      <c r="B2756" t="s">
        <v>5869</v>
      </c>
      <c r="C2756" t="s">
        <v>5870</v>
      </c>
      <c r="J2756">
        <f>LEN(Table13[[#This Row],[REFERENCE_DESCR1]])</f>
        <v>8</v>
      </c>
    </row>
    <row r="2757" spans="1:10" hidden="1">
      <c r="A2757" t="s">
        <v>2925</v>
      </c>
      <c r="B2757" t="s">
        <v>5871</v>
      </c>
      <c r="C2757" t="s">
        <v>5872</v>
      </c>
      <c r="J2757">
        <f>LEN(Table13[[#This Row],[REFERENCE_DESCR1]])</f>
        <v>10</v>
      </c>
    </row>
    <row r="2758" spans="1:10" hidden="1">
      <c r="A2758" t="s">
        <v>2925</v>
      </c>
      <c r="B2758" t="s">
        <v>5873</v>
      </c>
      <c r="C2758" t="s">
        <v>5874</v>
      </c>
      <c r="J2758">
        <f>LEN(Table13[[#This Row],[REFERENCE_DESCR1]])</f>
        <v>8</v>
      </c>
    </row>
    <row r="2759" spans="1:10" hidden="1">
      <c r="A2759" t="s">
        <v>2925</v>
      </c>
      <c r="B2759" t="s">
        <v>5875</v>
      </c>
      <c r="C2759" t="s">
        <v>5876</v>
      </c>
      <c r="J2759">
        <f>LEN(Table13[[#This Row],[REFERENCE_DESCR1]])</f>
        <v>10</v>
      </c>
    </row>
    <row r="2760" spans="1:10" hidden="1">
      <c r="A2760" t="s">
        <v>2925</v>
      </c>
      <c r="B2760" t="s">
        <v>5877</v>
      </c>
      <c r="C2760" t="s">
        <v>5878</v>
      </c>
      <c r="J2760">
        <f>LEN(Table13[[#This Row],[REFERENCE_DESCR1]])</f>
        <v>6</v>
      </c>
    </row>
    <row r="2761" spans="1:10" hidden="1">
      <c r="A2761" t="s">
        <v>2925</v>
      </c>
      <c r="B2761" t="s">
        <v>5879</v>
      </c>
      <c r="C2761" t="s">
        <v>5880</v>
      </c>
      <c r="J2761">
        <f>LEN(Table13[[#This Row],[REFERENCE_DESCR1]])</f>
        <v>8</v>
      </c>
    </row>
    <row r="2762" spans="1:10" hidden="1">
      <c r="A2762" t="s">
        <v>2925</v>
      </c>
      <c r="B2762" t="s">
        <v>5881</v>
      </c>
      <c r="C2762" t="s">
        <v>5882</v>
      </c>
      <c r="J2762">
        <f>LEN(Table13[[#This Row],[REFERENCE_DESCR1]])</f>
        <v>9</v>
      </c>
    </row>
    <row r="2763" spans="1:10" hidden="1">
      <c r="A2763" t="s">
        <v>2925</v>
      </c>
      <c r="B2763" t="s">
        <v>5883</v>
      </c>
      <c r="C2763" t="s">
        <v>5884</v>
      </c>
      <c r="J2763">
        <f>LEN(Table13[[#This Row],[REFERENCE_DESCR1]])</f>
        <v>9</v>
      </c>
    </row>
    <row r="2764" spans="1:10" hidden="1">
      <c r="A2764" t="s">
        <v>2925</v>
      </c>
      <c r="B2764" t="s">
        <v>5885</v>
      </c>
      <c r="C2764" t="s">
        <v>5886</v>
      </c>
      <c r="J2764">
        <f>LEN(Table13[[#This Row],[REFERENCE_DESCR1]])</f>
        <v>13</v>
      </c>
    </row>
    <row r="2765" spans="1:10" hidden="1">
      <c r="A2765" t="s">
        <v>2925</v>
      </c>
      <c r="B2765" t="s">
        <v>5887</v>
      </c>
      <c r="C2765" t="s">
        <v>5888</v>
      </c>
      <c r="J2765">
        <f>LEN(Table13[[#This Row],[REFERENCE_DESCR1]])</f>
        <v>11</v>
      </c>
    </row>
    <row r="2766" spans="1:10" hidden="1">
      <c r="A2766" t="s">
        <v>2925</v>
      </c>
      <c r="B2766" t="s">
        <v>5889</v>
      </c>
      <c r="C2766" t="s">
        <v>5890</v>
      </c>
      <c r="J2766">
        <f>LEN(Table13[[#This Row],[REFERENCE_DESCR1]])</f>
        <v>6</v>
      </c>
    </row>
    <row r="2767" spans="1:10" hidden="1">
      <c r="A2767" t="s">
        <v>2925</v>
      </c>
      <c r="B2767" t="s">
        <v>5891</v>
      </c>
      <c r="C2767" t="s">
        <v>5892</v>
      </c>
      <c r="J2767">
        <f>LEN(Table13[[#This Row],[REFERENCE_DESCR1]])</f>
        <v>9</v>
      </c>
    </row>
    <row r="2768" spans="1:10" hidden="1">
      <c r="A2768" t="s">
        <v>2925</v>
      </c>
      <c r="B2768" t="s">
        <v>5893</v>
      </c>
      <c r="C2768" t="s">
        <v>5894</v>
      </c>
      <c r="J2768">
        <f>LEN(Table13[[#This Row],[REFERENCE_DESCR1]])</f>
        <v>10</v>
      </c>
    </row>
    <row r="2769" spans="1:10" hidden="1">
      <c r="A2769" t="s">
        <v>2925</v>
      </c>
      <c r="B2769" t="s">
        <v>5895</v>
      </c>
      <c r="C2769" t="s">
        <v>5896</v>
      </c>
      <c r="J2769">
        <f>LEN(Table13[[#This Row],[REFERENCE_DESCR1]])</f>
        <v>9</v>
      </c>
    </row>
    <row r="2770" spans="1:10" hidden="1">
      <c r="A2770" t="s">
        <v>2925</v>
      </c>
      <c r="B2770" t="s">
        <v>5897</v>
      </c>
      <c r="C2770" t="s">
        <v>5898</v>
      </c>
      <c r="J2770">
        <f>LEN(Table13[[#This Row],[REFERENCE_DESCR1]])</f>
        <v>21</v>
      </c>
    </row>
    <row r="2771" spans="1:10" hidden="1">
      <c r="A2771" t="s">
        <v>2925</v>
      </c>
      <c r="B2771" t="s">
        <v>5899</v>
      </c>
      <c r="C2771" t="s">
        <v>5900</v>
      </c>
      <c r="J2771">
        <f>LEN(Table13[[#This Row],[REFERENCE_DESCR1]])</f>
        <v>9</v>
      </c>
    </row>
    <row r="2772" spans="1:10" hidden="1">
      <c r="A2772" t="s">
        <v>2925</v>
      </c>
      <c r="B2772" t="s">
        <v>5901</v>
      </c>
      <c r="C2772" t="s">
        <v>5902</v>
      </c>
      <c r="J2772">
        <f>LEN(Table13[[#This Row],[REFERENCE_DESCR1]])</f>
        <v>21</v>
      </c>
    </row>
    <row r="2773" spans="1:10" hidden="1">
      <c r="A2773" t="s">
        <v>2925</v>
      </c>
      <c r="B2773" t="s">
        <v>5903</v>
      </c>
      <c r="C2773" t="s">
        <v>5904</v>
      </c>
      <c r="J2773">
        <f>LEN(Table13[[#This Row],[REFERENCE_DESCR1]])</f>
        <v>14</v>
      </c>
    </row>
    <row r="2774" spans="1:10" hidden="1">
      <c r="A2774" t="s">
        <v>2925</v>
      </c>
      <c r="B2774" t="s">
        <v>5905</v>
      </c>
      <c r="C2774" t="s">
        <v>5906</v>
      </c>
      <c r="J2774">
        <f>LEN(Table13[[#This Row],[REFERENCE_DESCR1]])</f>
        <v>7</v>
      </c>
    </row>
    <row r="2775" spans="1:10" hidden="1">
      <c r="A2775" t="s">
        <v>2925</v>
      </c>
      <c r="B2775" t="s">
        <v>5907</v>
      </c>
      <c r="C2775" t="s">
        <v>5908</v>
      </c>
      <c r="J2775">
        <f>LEN(Table13[[#This Row],[REFERENCE_DESCR1]])</f>
        <v>13</v>
      </c>
    </row>
    <row r="2776" spans="1:10" hidden="1">
      <c r="A2776" t="s">
        <v>2925</v>
      </c>
      <c r="B2776" t="s">
        <v>5909</v>
      </c>
      <c r="C2776" t="s">
        <v>5910</v>
      </c>
      <c r="J2776">
        <f>LEN(Table13[[#This Row],[REFERENCE_DESCR1]])</f>
        <v>6</v>
      </c>
    </row>
    <row r="2777" spans="1:10" hidden="1">
      <c r="A2777" t="s">
        <v>2925</v>
      </c>
      <c r="B2777" t="s">
        <v>5911</v>
      </c>
      <c r="C2777" t="s">
        <v>5912</v>
      </c>
      <c r="J2777">
        <f>LEN(Table13[[#This Row],[REFERENCE_DESCR1]])</f>
        <v>6</v>
      </c>
    </row>
    <row r="2778" spans="1:10" hidden="1">
      <c r="A2778" t="s">
        <v>2925</v>
      </c>
      <c r="B2778" t="s">
        <v>5913</v>
      </c>
      <c r="C2778" t="s">
        <v>5914</v>
      </c>
      <c r="J2778">
        <f>LEN(Table13[[#This Row],[REFERENCE_DESCR1]])</f>
        <v>13</v>
      </c>
    </row>
    <row r="2779" spans="1:10" hidden="1">
      <c r="A2779" t="s">
        <v>2925</v>
      </c>
      <c r="B2779" t="s">
        <v>5915</v>
      </c>
      <c r="C2779" t="s">
        <v>5916</v>
      </c>
      <c r="J2779">
        <f>LEN(Table13[[#This Row],[REFERENCE_DESCR1]])</f>
        <v>15</v>
      </c>
    </row>
    <row r="2780" spans="1:10" hidden="1">
      <c r="A2780" t="s">
        <v>2925</v>
      </c>
      <c r="B2780" t="s">
        <v>5917</v>
      </c>
      <c r="C2780" t="s">
        <v>5918</v>
      </c>
      <c r="J2780">
        <f>LEN(Table13[[#This Row],[REFERENCE_DESCR1]])</f>
        <v>16</v>
      </c>
    </row>
    <row r="2781" spans="1:10" hidden="1">
      <c r="A2781" t="s">
        <v>2925</v>
      </c>
      <c r="B2781" t="s">
        <v>5919</v>
      </c>
      <c r="C2781" t="s">
        <v>5920</v>
      </c>
      <c r="J2781">
        <f>LEN(Table13[[#This Row],[REFERENCE_DESCR1]])</f>
        <v>15</v>
      </c>
    </row>
    <row r="2782" spans="1:10" hidden="1">
      <c r="A2782" t="s">
        <v>2925</v>
      </c>
      <c r="B2782" t="s">
        <v>5921</v>
      </c>
      <c r="C2782" t="s">
        <v>5922</v>
      </c>
      <c r="J2782">
        <f>LEN(Table13[[#This Row],[REFERENCE_DESCR1]])</f>
        <v>15</v>
      </c>
    </row>
    <row r="2783" spans="1:10" hidden="1">
      <c r="A2783" t="s">
        <v>2925</v>
      </c>
      <c r="B2783" t="s">
        <v>5923</v>
      </c>
      <c r="C2783" t="s">
        <v>5924</v>
      </c>
      <c r="J2783">
        <f>LEN(Table13[[#This Row],[REFERENCE_DESCR1]])</f>
        <v>7</v>
      </c>
    </row>
    <row r="2784" spans="1:10" hidden="1">
      <c r="A2784" t="s">
        <v>2925</v>
      </c>
      <c r="B2784" t="s">
        <v>5925</v>
      </c>
      <c r="C2784" t="s">
        <v>5926</v>
      </c>
      <c r="J2784">
        <f>LEN(Table13[[#This Row],[REFERENCE_DESCR1]])</f>
        <v>19</v>
      </c>
    </row>
    <row r="2785" spans="1:10" hidden="1">
      <c r="A2785" t="s">
        <v>2925</v>
      </c>
      <c r="B2785" t="s">
        <v>5927</v>
      </c>
      <c r="C2785" t="s">
        <v>5928</v>
      </c>
      <c r="J2785">
        <f>LEN(Table13[[#This Row],[REFERENCE_DESCR1]])</f>
        <v>12</v>
      </c>
    </row>
    <row r="2786" spans="1:10" hidden="1">
      <c r="A2786" t="s">
        <v>2925</v>
      </c>
      <c r="B2786" t="s">
        <v>5929</v>
      </c>
      <c r="C2786" t="s">
        <v>5930</v>
      </c>
      <c r="J2786">
        <f>LEN(Table13[[#This Row],[REFERENCE_DESCR1]])</f>
        <v>7</v>
      </c>
    </row>
    <row r="2787" spans="1:10" hidden="1">
      <c r="A2787" t="s">
        <v>2925</v>
      </c>
      <c r="B2787" t="s">
        <v>5931</v>
      </c>
      <c r="C2787" t="s">
        <v>5932</v>
      </c>
      <c r="J2787">
        <f>LEN(Table13[[#This Row],[REFERENCE_DESCR1]])</f>
        <v>14</v>
      </c>
    </row>
    <row r="2788" spans="1:10" hidden="1">
      <c r="A2788" t="s">
        <v>2925</v>
      </c>
      <c r="B2788" t="s">
        <v>5933</v>
      </c>
      <c r="C2788" t="s">
        <v>5934</v>
      </c>
      <c r="J2788">
        <f>LEN(Table13[[#This Row],[REFERENCE_DESCR1]])</f>
        <v>8</v>
      </c>
    </row>
    <row r="2789" spans="1:10" hidden="1">
      <c r="A2789" t="s">
        <v>2925</v>
      </c>
      <c r="B2789" t="s">
        <v>5935</v>
      </c>
      <c r="C2789" t="s">
        <v>5936</v>
      </c>
      <c r="J2789">
        <f>LEN(Table13[[#This Row],[REFERENCE_DESCR1]])</f>
        <v>20</v>
      </c>
    </row>
    <row r="2790" spans="1:10" hidden="1">
      <c r="A2790" t="s">
        <v>2925</v>
      </c>
      <c r="B2790" t="s">
        <v>5937</v>
      </c>
      <c r="C2790" t="s">
        <v>5938</v>
      </c>
      <c r="J2790">
        <f>LEN(Table13[[#This Row],[REFERENCE_DESCR1]])</f>
        <v>14</v>
      </c>
    </row>
    <row r="2791" spans="1:10" hidden="1">
      <c r="A2791" t="s">
        <v>2925</v>
      </c>
      <c r="B2791" t="s">
        <v>5939</v>
      </c>
      <c r="C2791" t="s">
        <v>5940</v>
      </c>
      <c r="J2791">
        <f>LEN(Table13[[#This Row],[REFERENCE_DESCR1]])</f>
        <v>32</v>
      </c>
    </row>
    <row r="2792" spans="1:10" hidden="1">
      <c r="A2792" t="s">
        <v>2925</v>
      </c>
      <c r="B2792" t="s">
        <v>5941</v>
      </c>
      <c r="C2792" t="s">
        <v>5942</v>
      </c>
      <c r="J2792">
        <f>LEN(Table13[[#This Row],[REFERENCE_DESCR1]])</f>
        <v>27</v>
      </c>
    </row>
    <row r="2793" spans="1:10" hidden="1">
      <c r="A2793" t="s">
        <v>2925</v>
      </c>
      <c r="B2793" t="s">
        <v>5943</v>
      </c>
      <c r="C2793" t="s">
        <v>5944</v>
      </c>
      <c r="J2793">
        <f>LEN(Table13[[#This Row],[REFERENCE_DESCR1]])</f>
        <v>30</v>
      </c>
    </row>
    <row r="2794" spans="1:10" hidden="1">
      <c r="A2794" t="s">
        <v>2925</v>
      </c>
      <c r="B2794" t="s">
        <v>5945</v>
      </c>
      <c r="C2794" t="s">
        <v>5946</v>
      </c>
      <c r="J2794">
        <f>LEN(Table13[[#This Row],[REFERENCE_DESCR1]])</f>
        <v>22</v>
      </c>
    </row>
    <row r="2795" spans="1:10" hidden="1">
      <c r="A2795" t="s">
        <v>2925</v>
      </c>
      <c r="B2795" t="s">
        <v>5947</v>
      </c>
      <c r="C2795" t="s">
        <v>5948</v>
      </c>
      <c r="J2795">
        <f>LEN(Table13[[#This Row],[REFERENCE_DESCR1]])</f>
        <v>26</v>
      </c>
    </row>
    <row r="2796" spans="1:10" hidden="1">
      <c r="A2796" t="s">
        <v>2925</v>
      </c>
      <c r="B2796" t="s">
        <v>5949</v>
      </c>
      <c r="C2796" t="s">
        <v>5950</v>
      </c>
      <c r="J2796">
        <f>LEN(Table13[[#This Row],[REFERENCE_DESCR1]])</f>
        <v>19</v>
      </c>
    </row>
    <row r="2797" spans="1:10" hidden="1">
      <c r="A2797" t="s">
        <v>2925</v>
      </c>
      <c r="B2797" t="s">
        <v>5951</v>
      </c>
      <c r="C2797" t="s">
        <v>5952</v>
      </c>
      <c r="J2797">
        <f>LEN(Table13[[#This Row],[REFERENCE_DESCR1]])</f>
        <v>25</v>
      </c>
    </row>
    <row r="2798" spans="1:10" hidden="1">
      <c r="A2798" t="s">
        <v>2925</v>
      </c>
      <c r="B2798" t="s">
        <v>5953</v>
      </c>
      <c r="C2798" t="s">
        <v>5954</v>
      </c>
      <c r="J2798">
        <f>LEN(Table13[[#This Row],[REFERENCE_DESCR1]])</f>
        <v>25</v>
      </c>
    </row>
    <row r="2799" spans="1:10" hidden="1">
      <c r="A2799" t="s">
        <v>2925</v>
      </c>
      <c r="B2799" t="s">
        <v>5955</v>
      </c>
      <c r="C2799" t="s">
        <v>5956</v>
      </c>
      <c r="J2799">
        <f>LEN(Table13[[#This Row],[REFERENCE_DESCR1]])</f>
        <v>29</v>
      </c>
    </row>
    <row r="2800" spans="1:10" hidden="1">
      <c r="A2800" t="s">
        <v>2925</v>
      </c>
      <c r="B2800" t="s">
        <v>5957</v>
      </c>
      <c r="C2800" t="s">
        <v>5958</v>
      </c>
      <c r="J2800">
        <f>LEN(Table13[[#This Row],[REFERENCE_DESCR1]])</f>
        <v>11</v>
      </c>
    </row>
    <row r="2801" spans="1:10" hidden="1">
      <c r="A2801" t="s">
        <v>2925</v>
      </c>
      <c r="B2801" t="s">
        <v>5959</v>
      </c>
      <c r="C2801" t="s">
        <v>5960</v>
      </c>
      <c r="J2801">
        <f>LEN(Table13[[#This Row],[REFERENCE_DESCR1]])</f>
        <v>14</v>
      </c>
    </row>
    <row r="2802" spans="1:10" hidden="1">
      <c r="A2802" t="s">
        <v>2925</v>
      </c>
      <c r="B2802" t="s">
        <v>5961</v>
      </c>
      <c r="C2802" t="s">
        <v>5962</v>
      </c>
      <c r="J2802">
        <f>LEN(Table13[[#This Row],[REFERENCE_DESCR1]])</f>
        <v>25</v>
      </c>
    </row>
    <row r="2803" spans="1:10" hidden="1">
      <c r="A2803" t="s">
        <v>2925</v>
      </c>
      <c r="B2803" t="s">
        <v>5963</v>
      </c>
      <c r="C2803" t="s">
        <v>5964</v>
      </c>
      <c r="J2803">
        <f>LEN(Table13[[#This Row],[REFERENCE_DESCR1]])</f>
        <v>30</v>
      </c>
    </row>
    <row r="2804" spans="1:10" hidden="1">
      <c r="A2804" t="s">
        <v>2925</v>
      </c>
      <c r="B2804" t="s">
        <v>5965</v>
      </c>
      <c r="C2804" t="s">
        <v>5966</v>
      </c>
      <c r="J2804">
        <f>LEN(Table13[[#This Row],[REFERENCE_DESCR1]])</f>
        <v>25</v>
      </c>
    </row>
    <row r="2805" spans="1:10" hidden="1">
      <c r="A2805" t="s">
        <v>2925</v>
      </c>
      <c r="B2805" t="s">
        <v>5967</v>
      </c>
      <c r="C2805" t="s">
        <v>5968</v>
      </c>
      <c r="J2805">
        <f>LEN(Table13[[#This Row],[REFERENCE_DESCR1]])</f>
        <v>12</v>
      </c>
    </row>
    <row r="2806" spans="1:10" hidden="1">
      <c r="A2806" t="s">
        <v>2925</v>
      </c>
      <c r="B2806" t="s">
        <v>5969</v>
      </c>
      <c r="C2806" t="s">
        <v>5970</v>
      </c>
      <c r="J2806">
        <f>LEN(Table13[[#This Row],[REFERENCE_DESCR1]])</f>
        <v>6</v>
      </c>
    </row>
    <row r="2807" spans="1:10" hidden="1">
      <c r="A2807" t="s">
        <v>2925</v>
      </c>
      <c r="B2807" t="s">
        <v>5971</v>
      </c>
      <c r="C2807" t="s">
        <v>5972</v>
      </c>
      <c r="J2807">
        <f>LEN(Table13[[#This Row],[REFERENCE_DESCR1]])</f>
        <v>18</v>
      </c>
    </row>
    <row r="2808" spans="1:10" hidden="1">
      <c r="A2808" t="s">
        <v>2925</v>
      </c>
      <c r="B2808" t="s">
        <v>5973</v>
      </c>
      <c r="C2808" t="s">
        <v>5974</v>
      </c>
      <c r="J2808">
        <f>LEN(Table13[[#This Row],[REFERENCE_DESCR1]])</f>
        <v>19</v>
      </c>
    </row>
    <row r="2809" spans="1:10" hidden="1">
      <c r="A2809" t="s">
        <v>2925</v>
      </c>
      <c r="B2809" t="s">
        <v>5975</v>
      </c>
      <c r="C2809" t="s">
        <v>5976</v>
      </c>
      <c r="J2809">
        <f>LEN(Table13[[#This Row],[REFERENCE_DESCR1]])</f>
        <v>12</v>
      </c>
    </row>
    <row r="2810" spans="1:10" hidden="1">
      <c r="A2810" t="s">
        <v>2925</v>
      </c>
      <c r="B2810" t="s">
        <v>5977</v>
      </c>
      <c r="C2810" t="s">
        <v>5978</v>
      </c>
      <c r="J2810">
        <f>LEN(Table13[[#This Row],[REFERENCE_DESCR1]])</f>
        <v>11</v>
      </c>
    </row>
    <row r="2811" spans="1:10" hidden="1">
      <c r="A2811" t="s">
        <v>2925</v>
      </c>
      <c r="B2811" t="s">
        <v>5979</v>
      </c>
      <c r="C2811" t="s">
        <v>5980</v>
      </c>
      <c r="J2811">
        <f>LEN(Table13[[#This Row],[REFERENCE_DESCR1]])</f>
        <v>13</v>
      </c>
    </row>
    <row r="2812" spans="1:10" hidden="1">
      <c r="A2812" t="s">
        <v>2925</v>
      </c>
      <c r="B2812" t="s">
        <v>5981</v>
      </c>
      <c r="C2812" t="s">
        <v>5982</v>
      </c>
      <c r="J2812">
        <f>LEN(Table13[[#This Row],[REFERENCE_DESCR1]])</f>
        <v>12</v>
      </c>
    </row>
    <row r="2813" spans="1:10" hidden="1">
      <c r="A2813" t="s">
        <v>2925</v>
      </c>
      <c r="B2813" t="s">
        <v>5983</v>
      </c>
      <c r="C2813" t="s">
        <v>5984</v>
      </c>
      <c r="J2813">
        <f>LEN(Table13[[#This Row],[REFERENCE_DESCR1]])</f>
        <v>11</v>
      </c>
    </row>
    <row r="2814" spans="1:10" hidden="1">
      <c r="A2814" t="s">
        <v>2925</v>
      </c>
      <c r="B2814" t="s">
        <v>5985</v>
      </c>
      <c r="C2814" t="s">
        <v>5986</v>
      </c>
      <c r="J2814">
        <f>LEN(Table13[[#This Row],[REFERENCE_DESCR1]])</f>
        <v>14</v>
      </c>
    </row>
    <row r="2815" spans="1:10" hidden="1">
      <c r="A2815" t="s">
        <v>2925</v>
      </c>
      <c r="B2815" t="s">
        <v>5987</v>
      </c>
      <c r="C2815" t="s">
        <v>5988</v>
      </c>
      <c r="J2815">
        <f>LEN(Table13[[#This Row],[REFERENCE_DESCR1]])</f>
        <v>14</v>
      </c>
    </row>
    <row r="2816" spans="1:10" hidden="1">
      <c r="A2816" t="s">
        <v>2925</v>
      </c>
      <c r="B2816" t="s">
        <v>5989</v>
      </c>
      <c r="C2816" t="s">
        <v>5990</v>
      </c>
      <c r="J2816">
        <f>LEN(Table13[[#This Row],[REFERENCE_DESCR1]])</f>
        <v>8</v>
      </c>
    </row>
    <row r="2817" spans="1:10" hidden="1">
      <c r="A2817" t="s">
        <v>2925</v>
      </c>
      <c r="B2817" t="s">
        <v>5991</v>
      </c>
      <c r="C2817" t="s">
        <v>5992</v>
      </c>
      <c r="J2817">
        <f>LEN(Table13[[#This Row],[REFERENCE_DESCR1]])</f>
        <v>20</v>
      </c>
    </row>
    <row r="2818" spans="1:10" hidden="1">
      <c r="A2818" t="s">
        <v>2925</v>
      </c>
      <c r="B2818" t="s">
        <v>5993</v>
      </c>
      <c r="C2818" t="s">
        <v>5994</v>
      </c>
      <c r="J2818">
        <f>LEN(Table13[[#This Row],[REFERENCE_DESCR1]])</f>
        <v>20</v>
      </c>
    </row>
    <row r="2819" spans="1:10" hidden="1">
      <c r="A2819" t="s">
        <v>2925</v>
      </c>
      <c r="B2819" t="s">
        <v>5995</v>
      </c>
      <c r="C2819" t="s">
        <v>5996</v>
      </c>
      <c r="J2819">
        <f>LEN(Table13[[#This Row],[REFERENCE_DESCR1]])</f>
        <v>15</v>
      </c>
    </row>
    <row r="2820" spans="1:10" hidden="1">
      <c r="A2820" t="s">
        <v>2925</v>
      </c>
      <c r="B2820" t="s">
        <v>5997</v>
      </c>
      <c r="C2820" t="s">
        <v>5998</v>
      </c>
      <c r="J2820">
        <f>LEN(Table13[[#This Row],[REFERENCE_DESCR1]])</f>
        <v>26</v>
      </c>
    </row>
    <row r="2821" spans="1:10" hidden="1">
      <c r="A2821" t="s">
        <v>2925</v>
      </c>
      <c r="B2821" t="s">
        <v>5999</v>
      </c>
      <c r="C2821" t="s">
        <v>6000</v>
      </c>
      <c r="J2821">
        <f>LEN(Table13[[#This Row],[REFERENCE_DESCR1]])</f>
        <v>5</v>
      </c>
    </row>
    <row r="2822" spans="1:10" hidden="1">
      <c r="A2822" t="s">
        <v>2925</v>
      </c>
      <c r="B2822" t="s">
        <v>6001</v>
      </c>
      <c r="C2822" t="s">
        <v>6002</v>
      </c>
      <c r="J2822">
        <f>LEN(Table13[[#This Row],[REFERENCE_DESCR1]])</f>
        <v>9</v>
      </c>
    </row>
    <row r="2823" spans="1:10" hidden="1">
      <c r="A2823" t="s">
        <v>2925</v>
      </c>
      <c r="B2823" t="s">
        <v>6003</v>
      </c>
      <c r="C2823" t="s">
        <v>6004</v>
      </c>
      <c r="J2823">
        <f>LEN(Table13[[#This Row],[REFERENCE_DESCR1]])</f>
        <v>12</v>
      </c>
    </row>
    <row r="2824" spans="1:10" hidden="1">
      <c r="A2824" t="s">
        <v>2925</v>
      </c>
      <c r="B2824" t="s">
        <v>6005</v>
      </c>
      <c r="C2824" t="s">
        <v>6006</v>
      </c>
      <c r="J2824">
        <f>LEN(Table13[[#This Row],[REFERENCE_DESCR1]])</f>
        <v>16</v>
      </c>
    </row>
    <row r="2825" spans="1:10" hidden="1">
      <c r="A2825" t="s">
        <v>2925</v>
      </c>
      <c r="B2825" t="s">
        <v>6007</v>
      </c>
      <c r="C2825" t="s">
        <v>6008</v>
      </c>
      <c r="J2825">
        <f>LEN(Table13[[#This Row],[REFERENCE_DESCR1]])</f>
        <v>14</v>
      </c>
    </row>
    <row r="2826" spans="1:10" hidden="1">
      <c r="A2826" t="s">
        <v>2925</v>
      </c>
      <c r="B2826" t="s">
        <v>6009</v>
      </c>
      <c r="C2826" t="s">
        <v>6010</v>
      </c>
      <c r="J2826">
        <f>LEN(Table13[[#This Row],[REFERENCE_DESCR1]])</f>
        <v>24</v>
      </c>
    </row>
    <row r="2827" spans="1:10" hidden="1">
      <c r="A2827" t="s">
        <v>2925</v>
      </c>
      <c r="B2827" t="s">
        <v>6011</v>
      </c>
      <c r="C2827" t="s">
        <v>6012</v>
      </c>
      <c r="J2827">
        <f>LEN(Table13[[#This Row],[REFERENCE_DESCR1]])</f>
        <v>13</v>
      </c>
    </row>
    <row r="2828" spans="1:10" hidden="1">
      <c r="A2828" t="s">
        <v>2925</v>
      </c>
      <c r="B2828" t="s">
        <v>6013</v>
      </c>
      <c r="C2828" t="s">
        <v>6014</v>
      </c>
      <c r="J2828">
        <f>LEN(Table13[[#This Row],[REFERENCE_DESCR1]])</f>
        <v>10</v>
      </c>
    </row>
    <row r="2829" spans="1:10" hidden="1">
      <c r="A2829" t="s">
        <v>2925</v>
      </c>
      <c r="B2829" t="s">
        <v>6015</v>
      </c>
      <c r="C2829" t="s">
        <v>6016</v>
      </c>
      <c r="J2829">
        <f>LEN(Table13[[#This Row],[REFERENCE_DESCR1]])</f>
        <v>17</v>
      </c>
    </row>
    <row r="2830" spans="1:10" hidden="1">
      <c r="A2830" t="s">
        <v>2925</v>
      </c>
      <c r="B2830" t="s">
        <v>6017</v>
      </c>
      <c r="C2830" t="s">
        <v>6018</v>
      </c>
      <c r="J2830">
        <f>LEN(Table13[[#This Row],[REFERENCE_DESCR1]])</f>
        <v>11</v>
      </c>
    </row>
    <row r="2831" spans="1:10" hidden="1">
      <c r="A2831" t="s">
        <v>2925</v>
      </c>
      <c r="B2831" t="s">
        <v>6019</v>
      </c>
      <c r="C2831" t="s">
        <v>6020</v>
      </c>
      <c r="J2831">
        <f>LEN(Table13[[#This Row],[REFERENCE_DESCR1]])</f>
        <v>9</v>
      </c>
    </row>
    <row r="2832" spans="1:10" hidden="1">
      <c r="A2832" t="s">
        <v>2925</v>
      </c>
      <c r="B2832" t="s">
        <v>6021</v>
      </c>
      <c r="C2832" t="s">
        <v>6022</v>
      </c>
      <c r="J2832">
        <f>LEN(Table13[[#This Row],[REFERENCE_DESCR1]])</f>
        <v>21</v>
      </c>
    </row>
    <row r="2833" spans="1:10" hidden="1">
      <c r="A2833" t="s">
        <v>2925</v>
      </c>
      <c r="B2833" t="s">
        <v>6023</v>
      </c>
      <c r="C2833" t="s">
        <v>6024</v>
      </c>
      <c r="J2833">
        <f>LEN(Table13[[#This Row],[REFERENCE_DESCR1]])</f>
        <v>9</v>
      </c>
    </row>
    <row r="2834" spans="1:10" hidden="1">
      <c r="A2834" t="s">
        <v>2925</v>
      </c>
      <c r="B2834" t="s">
        <v>6025</v>
      </c>
      <c r="C2834" t="s">
        <v>6026</v>
      </c>
      <c r="J2834">
        <f>LEN(Table13[[#This Row],[REFERENCE_DESCR1]])</f>
        <v>9</v>
      </c>
    </row>
    <row r="2835" spans="1:10" hidden="1">
      <c r="A2835" t="s">
        <v>2925</v>
      </c>
      <c r="B2835" t="s">
        <v>6027</v>
      </c>
      <c r="C2835" t="s">
        <v>6028</v>
      </c>
      <c r="J2835">
        <f>LEN(Table13[[#This Row],[REFERENCE_DESCR1]])</f>
        <v>9</v>
      </c>
    </row>
    <row r="2836" spans="1:10" hidden="1">
      <c r="A2836" t="s">
        <v>2925</v>
      </c>
      <c r="B2836" t="s">
        <v>6029</v>
      </c>
      <c r="C2836" t="s">
        <v>6030</v>
      </c>
      <c r="J2836">
        <f>LEN(Table13[[#This Row],[REFERENCE_DESCR1]])</f>
        <v>9</v>
      </c>
    </row>
    <row r="2837" spans="1:10" hidden="1">
      <c r="A2837" t="s">
        <v>2925</v>
      </c>
      <c r="B2837" t="s">
        <v>6031</v>
      </c>
      <c r="C2837" t="s">
        <v>6032</v>
      </c>
      <c r="J2837">
        <f>LEN(Table13[[#This Row],[REFERENCE_DESCR1]])</f>
        <v>10</v>
      </c>
    </row>
    <row r="2838" spans="1:10" hidden="1">
      <c r="A2838" t="s">
        <v>2925</v>
      </c>
      <c r="B2838" t="s">
        <v>6033</v>
      </c>
      <c r="C2838" t="s">
        <v>6034</v>
      </c>
      <c r="J2838">
        <f>LEN(Table13[[#This Row],[REFERENCE_DESCR1]])</f>
        <v>10</v>
      </c>
    </row>
    <row r="2839" spans="1:10" hidden="1">
      <c r="A2839" t="s">
        <v>2925</v>
      </c>
      <c r="B2839" t="s">
        <v>6035</v>
      </c>
      <c r="C2839" t="s">
        <v>6036</v>
      </c>
      <c r="J2839">
        <f>LEN(Table13[[#This Row],[REFERENCE_DESCR1]])</f>
        <v>33</v>
      </c>
    </row>
    <row r="2840" spans="1:10" hidden="1">
      <c r="A2840" t="s">
        <v>2925</v>
      </c>
      <c r="B2840" t="s">
        <v>1692</v>
      </c>
      <c r="C2840" t="s">
        <v>6037</v>
      </c>
      <c r="J2840">
        <f>LEN(Table13[[#This Row],[REFERENCE_DESCR1]])</f>
        <v>10</v>
      </c>
    </row>
    <row r="2841" spans="1:10" hidden="1">
      <c r="A2841" t="s">
        <v>2925</v>
      </c>
      <c r="B2841" t="s">
        <v>6038</v>
      </c>
      <c r="C2841" t="s">
        <v>6039</v>
      </c>
      <c r="J2841">
        <f>LEN(Table13[[#This Row],[REFERENCE_DESCR1]])</f>
        <v>22</v>
      </c>
    </row>
    <row r="2842" spans="1:10" hidden="1">
      <c r="A2842" t="s">
        <v>2925</v>
      </c>
      <c r="B2842" t="s">
        <v>6040</v>
      </c>
      <c r="C2842" t="s">
        <v>6041</v>
      </c>
      <c r="J2842">
        <f>LEN(Table13[[#This Row],[REFERENCE_DESCR1]])</f>
        <v>28</v>
      </c>
    </row>
    <row r="2843" spans="1:10" hidden="1">
      <c r="A2843" t="s">
        <v>2925</v>
      </c>
      <c r="B2843" t="s">
        <v>6042</v>
      </c>
      <c r="C2843" t="s">
        <v>6043</v>
      </c>
      <c r="J2843">
        <f>LEN(Table13[[#This Row],[REFERENCE_DESCR1]])</f>
        <v>6</v>
      </c>
    </row>
    <row r="2844" spans="1:10" hidden="1">
      <c r="A2844" t="s">
        <v>2925</v>
      </c>
      <c r="B2844" t="s">
        <v>6044</v>
      </c>
      <c r="C2844" t="s">
        <v>6045</v>
      </c>
      <c r="J2844">
        <f>LEN(Table13[[#This Row],[REFERENCE_DESCR1]])</f>
        <v>6</v>
      </c>
    </row>
    <row r="2845" spans="1:10" hidden="1">
      <c r="A2845" t="s">
        <v>2925</v>
      </c>
      <c r="B2845" t="s">
        <v>6046</v>
      </c>
      <c r="C2845" t="s">
        <v>6047</v>
      </c>
      <c r="J2845">
        <f>LEN(Table13[[#This Row],[REFERENCE_DESCR1]])</f>
        <v>8</v>
      </c>
    </row>
    <row r="2846" spans="1:10" hidden="1">
      <c r="A2846" t="s">
        <v>2925</v>
      </c>
      <c r="B2846" t="s">
        <v>6048</v>
      </c>
      <c r="C2846" t="s">
        <v>6049</v>
      </c>
      <c r="J2846">
        <f>LEN(Table13[[#This Row],[REFERENCE_DESCR1]])</f>
        <v>8</v>
      </c>
    </row>
    <row r="2847" spans="1:10" hidden="1">
      <c r="A2847" t="s">
        <v>2925</v>
      </c>
      <c r="B2847" t="s">
        <v>6050</v>
      </c>
      <c r="C2847" t="s">
        <v>6051</v>
      </c>
      <c r="J2847">
        <f>LEN(Table13[[#This Row],[REFERENCE_DESCR1]])</f>
        <v>20</v>
      </c>
    </row>
    <row r="2848" spans="1:10" hidden="1">
      <c r="A2848" t="s">
        <v>2925</v>
      </c>
      <c r="B2848" t="s">
        <v>6052</v>
      </c>
      <c r="C2848" t="s">
        <v>6053</v>
      </c>
      <c r="J2848">
        <f>LEN(Table13[[#This Row],[REFERENCE_DESCR1]])</f>
        <v>9</v>
      </c>
    </row>
    <row r="2849" spans="1:10" hidden="1">
      <c r="A2849" t="s">
        <v>2925</v>
      </c>
      <c r="B2849" t="s">
        <v>6054</v>
      </c>
      <c r="C2849" t="s">
        <v>6055</v>
      </c>
      <c r="J2849">
        <f>LEN(Table13[[#This Row],[REFERENCE_DESCR1]])</f>
        <v>11</v>
      </c>
    </row>
    <row r="2850" spans="1:10" hidden="1">
      <c r="A2850" t="s">
        <v>2925</v>
      </c>
      <c r="B2850" t="s">
        <v>6056</v>
      </c>
      <c r="C2850" t="s">
        <v>6057</v>
      </c>
      <c r="J2850">
        <f>LEN(Table13[[#This Row],[REFERENCE_DESCR1]])</f>
        <v>11</v>
      </c>
    </row>
    <row r="2851" spans="1:10" hidden="1">
      <c r="A2851" t="s">
        <v>2925</v>
      </c>
      <c r="B2851" t="s">
        <v>6058</v>
      </c>
      <c r="C2851" t="s">
        <v>6059</v>
      </c>
      <c r="J2851">
        <f>LEN(Table13[[#This Row],[REFERENCE_DESCR1]])</f>
        <v>6</v>
      </c>
    </row>
    <row r="2852" spans="1:10" hidden="1">
      <c r="A2852" t="s">
        <v>2925</v>
      </c>
      <c r="B2852" t="s">
        <v>6060</v>
      </c>
      <c r="C2852" t="s">
        <v>6061</v>
      </c>
      <c r="J2852">
        <f>LEN(Table13[[#This Row],[REFERENCE_DESCR1]])</f>
        <v>18</v>
      </c>
    </row>
    <row r="2853" spans="1:10" hidden="1">
      <c r="A2853" t="s">
        <v>2925</v>
      </c>
      <c r="B2853" t="s">
        <v>6062</v>
      </c>
      <c r="C2853" t="s">
        <v>6063</v>
      </c>
      <c r="J2853">
        <f>LEN(Table13[[#This Row],[REFERENCE_DESCR1]])</f>
        <v>5</v>
      </c>
    </row>
    <row r="2854" spans="1:10" hidden="1">
      <c r="A2854" t="s">
        <v>2925</v>
      </c>
      <c r="B2854" t="s">
        <v>6064</v>
      </c>
      <c r="C2854" t="s">
        <v>6065</v>
      </c>
      <c r="J2854">
        <f>LEN(Table13[[#This Row],[REFERENCE_DESCR1]])</f>
        <v>18</v>
      </c>
    </row>
    <row r="2855" spans="1:10" hidden="1">
      <c r="A2855" t="s">
        <v>2925</v>
      </c>
      <c r="B2855" t="s">
        <v>6066</v>
      </c>
      <c r="C2855" t="s">
        <v>6067</v>
      </c>
      <c r="J2855">
        <f>LEN(Table13[[#This Row],[REFERENCE_DESCR1]])</f>
        <v>8</v>
      </c>
    </row>
    <row r="2856" spans="1:10" hidden="1">
      <c r="A2856" t="s">
        <v>2925</v>
      </c>
      <c r="B2856" t="s">
        <v>6068</v>
      </c>
      <c r="C2856" t="s">
        <v>6069</v>
      </c>
      <c r="J2856">
        <f>LEN(Table13[[#This Row],[REFERENCE_DESCR1]])</f>
        <v>20</v>
      </c>
    </row>
    <row r="2857" spans="1:10" hidden="1">
      <c r="A2857" t="s">
        <v>2925</v>
      </c>
      <c r="B2857" t="s">
        <v>6070</v>
      </c>
      <c r="C2857" t="s">
        <v>6071</v>
      </c>
      <c r="J2857">
        <f>LEN(Table13[[#This Row],[REFERENCE_DESCR1]])</f>
        <v>15</v>
      </c>
    </row>
    <row r="2858" spans="1:10" hidden="1">
      <c r="A2858" t="s">
        <v>2925</v>
      </c>
      <c r="B2858" t="s">
        <v>6072</v>
      </c>
      <c r="C2858" t="s">
        <v>6073</v>
      </c>
      <c r="J2858">
        <f>LEN(Table13[[#This Row],[REFERENCE_DESCR1]])</f>
        <v>16</v>
      </c>
    </row>
    <row r="2859" spans="1:10" hidden="1">
      <c r="A2859" t="s">
        <v>2925</v>
      </c>
      <c r="B2859" t="s">
        <v>6074</v>
      </c>
      <c r="C2859" t="s">
        <v>6075</v>
      </c>
      <c r="J2859">
        <f>LEN(Table13[[#This Row],[REFERENCE_DESCR1]])</f>
        <v>7</v>
      </c>
    </row>
    <row r="2860" spans="1:10" hidden="1">
      <c r="A2860" t="s">
        <v>2925</v>
      </c>
      <c r="B2860" t="s">
        <v>6076</v>
      </c>
      <c r="C2860" t="s">
        <v>6077</v>
      </c>
      <c r="J2860">
        <f>LEN(Table13[[#This Row],[REFERENCE_DESCR1]])</f>
        <v>9</v>
      </c>
    </row>
    <row r="2861" spans="1:10" hidden="1">
      <c r="A2861" t="s">
        <v>2925</v>
      </c>
      <c r="B2861" t="s">
        <v>6078</v>
      </c>
      <c r="C2861" t="s">
        <v>6079</v>
      </c>
      <c r="J2861">
        <f>LEN(Table13[[#This Row],[REFERENCE_DESCR1]])</f>
        <v>14</v>
      </c>
    </row>
    <row r="2862" spans="1:10" hidden="1">
      <c r="A2862" t="s">
        <v>2925</v>
      </c>
      <c r="B2862" t="s">
        <v>6080</v>
      </c>
      <c r="C2862" t="s">
        <v>6081</v>
      </c>
      <c r="J2862">
        <f>LEN(Table13[[#This Row],[REFERENCE_DESCR1]])</f>
        <v>36</v>
      </c>
    </row>
    <row r="2863" spans="1:10" hidden="1">
      <c r="A2863" t="s">
        <v>2925</v>
      </c>
      <c r="B2863" t="s">
        <v>6082</v>
      </c>
      <c r="C2863" t="s">
        <v>6083</v>
      </c>
      <c r="J2863">
        <f>LEN(Table13[[#This Row],[REFERENCE_DESCR1]])</f>
        <v>9</v>
      </c>
    </row>
    <row r="2864" spans="1:10" hidden="1">
      <c r="A2864" t="s">
        <v>2925</v>
      </c>
      <c r="B2864" t="s">
        <v>6084</v>
      </c>
      <c r="C2864" t="s">
        <v>6085</v>
      </c>
      <c r="J2864">
        <f>LEN(Table13[[#This Row],[REFERENCE_DESCR1]])</f>
        <v>21</v>
      </c>
    </row>
    <row r="2865" spans="1:10" hidden="1">
      <c r="A2865" t="s">
        <v>2925</v>
      </c>
      <c r="B2865" t="s">
        <v>6086</v>
      </c>
      <c r="C2865" t="s">
        <v>6087</v>
      </c>
      <c r="J2865">
        <f>LEN(Table13[[#This Row],[REFERENCE_DESCR1]])</f>
        <v>6</v>
      </c>
    </row>
    <row r="2866" spans="1:10" hidden="1">
      <c r="A2866" t="s">
        <v>2925</v>
      </c>
      <c r="B2866" t="s">
        <v>6088</v>
      </c>
      <c r="C2866" t="s">
        <v>6089</v>
      </c>
      <c r="J2866">
        <f>LEN(Table13[[#This Row],[REFERENCE_DESCR1]])</f>
        <v>6</v>
      </c>
    </row>
    <row r="2867" spans="1:10" hidden="1">
      <c r="A2867" t="s">
        <v>2925</v>
      </c>
      <c r="B2867" t="s">
        <v>6090</v>
      </c>
      <c r="C2867" t="s">
        <v>6091</v>
      </c>
      <c r="J2867">
        <f>LEN(Table13[[#This Row],[REFERENCE_DESCR1]])</f>
        <v>18</v>
      </c>
    </row>
    <row r="2868" spans="1:10" hidden="1">
      <c r="A2868" t="s">
        <v>2925</v>
      </c>
      <c r="B2868" t="s">
        <v>6092</v>
      </c>
      <c r="C2868" t="s">
        <v>6093</v>
      </c>
      <c r="J2868">
        <f>LEN(Table13[[#This Row],[REFERENCE_DESCR1]])</f>
        <v>11</v>
      </c>
    </row>
    <row r="2869" spans="1:10" hidden="1">
      <c r="A2869" t="s">
        <v>2925</v>
      </c>
      <c r="B2869" t="s">
        <v>6094</v>
      </c>
      <c r="C2869" t="s">
        <v>6095</v>
      </c>
      <c r="J2869">
        <f>LEN(Table13[[#This Row],[REFERENCE_DESCR1]])</f>
        <v>9</v>
      </c>
    </row>
    <row r="2870" spans="1:10" hidden="1">
      <c r="A2870" t="s">
        <v>2925</v>
      </c>
      <c r="B2870" t="s">
        <v>6096</v>
      </c>
      <c r="C2870" t="s">
        <v>6097</v>
      </c>
      <c r="J2870">
        <f>LEN(Table13[[#This Row],[REFERENCE_DESCR1]])</f>
        <v>21</v>
      </c>
    </row>
    <row r="2871" spans="1:10" hidden="1">
      <c r="A2871" t="s">
        <v>2925</v>
      </c>
      <c r="B2871" t="s">
        <v>6098</v>
      </c>
      <c r="C2871" t="s">
        <v>6099</v>
      </c>
      <c r="J2871">
        <f>LEN(Table13[[#This Row],[REFERENCE_DESCR1]])</f>
        <v>36</v>
      </c>
    </row>
    <row r="2872" spans="1:10" hidden="1">
      <c r="A2872" t="s">
        <v>2925</v>
      </c>
      <c r="B2872" t="s">
        <v>6100</v>
      </c>
      <c r="C2872" t="s">
        <v>6101</v>
      </c>
      <c r="J2872">
        <f>LEN(Table13[[#This Row],[REFERENCE_DESCR1]])</f>
        <v>12</v>
      </c>
    </row>
    <row r="2873" spans="1:10" hidden="1">
      <c r="A2873" t="s">
        <v>2925</v>
      </c>
      <c r="B2873" t="s">
        <v>6102</v>
      </c>
      <c r="C2873" t="s">
        <v>6103</v>
      </c>
      <c r="J2873">
        <f>LEN(Table13[[#This Row],[REFERENCE_DESCR1]])</f>
        <v>15</v>
      </c>
    </row>
    <row r="2874" spans="1:10" hidden="1">
      <c r="A2874" t="s">
        <v>2925</v>
      </c>
      <c r="B2874" t="s">
        <v>6104</v>
      </c>
      <c r="C2874" t="s">
        <v>6105</v>
      </c>
      <c r="J2874">
        <f>LEN(Table13[[#This Row],[REFERENCE_DESCR1]])</f>
        <v>10</v>
      </c>
    </row>
    <row r="2875" spans="1:10" hidden="1">
      <c r="A2875" t="s">
        <v>2925</v>
      </c>
      <c r="B2875" t="s">
        <v>6106</v>
      </c>
      <c r="C2875" t="s">
        <v>6107</v>
      </c>
      <c r="J2875">
        <f>LEN(Table13[[#This Row],[REFERENCE_DESCR1]])</f>
        <v>8</v>
      </c>
    </row>
    <row r="2876" spans="1:10" hidden="1">
      <c r="A2876" t="s">
        <v>2925</v>
      </c>
      <c r="B2876" t="s">
        <v>6108</v>
      </c>
      <c r="C2876" t="s">
        <v>6109</v>
      </c>
      <c r="J2876">
        <f>LEN(Table13[[#This Row],[REFERENCE_DESCR1]])</f>
        <v>17</v>
      </c>
    </row>
    <row r="2877" spans="1:10" hidden="1">
      <c r="A2877" t="s">
        <v>2925</v>
      </c>
      <c r="B2877" t="s">
        <v>6110</v>
      </c>
      <c r="C2877" t="s">
        <v>6111</v>
      </c>
      <c r="J2877">
        <f>LEN(Table13[[#This Row],[REFERENCE_DESCR1]])</f>
        <v>10</v>
      </c>
    </row>
    <row r="2878" spans="1:10" hidden="1">
      <c r="A2878" t="s">
        <v>2925</v>
      </c>
      <c r="B2878" t="s">
        <v>6112</v>
      </c>
      <c r="C2878" t="s">
        <v>6113</v>
      </c>
      <c r="J2878">
        <f>LEN(Table13[[#This Row],[REFERENCE_DESCR1]])</f>
        <v>12</v>
      </c>
    </row>
    <row r="2879" spans="1:10" hidden="1">
      <c r="A2879" t="s">
        <v>2925</v>
      </c>
      <c r="B2879" t="s">
        <v>6114</v>
      </c>
      <c r="C2879" t="s">
        <v>6115</v>
      </c>
      <c r="J2879">
        <f>LEN(Table13[[#This Row],[REFERENCE_DESCR1]])</f>
        <v>10</v>
      </c>
    </row>
    <row r="2880" spans="1:10" hidden="1">
      <c r="A2880" t="s">
        <v>2925</v>
      </c>
      <c r="B2880" t="s">
        <v>6116</v>
      </c>
      <c r="C2880" t="s">
        <v>6117</v>
      </c>
      <c r="J2880">
        <f>LEN(Table13[[#This Row],[REFERENCE_DESCR1]])</f>
        <v>7</v>
      </c>
    </row>
    <row r="2881" spans="1:10" hidden="1">
      <c r="A2881" t="s">
        <v>2925</v>
      </c>
      <c r="B2881" t="s">
        <v>6118</v>
      </c>
      <c r="C2881" t="s">
        <v>6119</v>
      </c>
      <c r="J2881">
        <f>LEN(Table13[[#This Row],[REFERENCE_DESCR1]])</f>
        <v>11</v>
      </c>
    </row>
    <row r="2882" spans="1:10" hidden="1">
      <c r="A2882" t="s">
        <v>2925</v>
      </c>
      <c r="B2882" t="s">
        <v>6120</v>
      </c>
      <c r="C2882" t="s">
        <v>6121</v>
      </c>
      <c r="J2882">
        <f>LEN(Table13[[#This Row],[REFERENCE_DESCR1]])</f>
        <v>8</v>
      </c>
    </row>
    <row r="2883" spans="1:10" hidden="1">
      <c r="A2883" t="s">
        <v>2925</v>
      </c>
      <c r="B2883" t="s">
        <v>6122</v>
      </c>
      <c r="C2883" t="s">
        <v>6123</v>
      </c>
      <c r="J2883">
        <f>LEN(Table13[[#This Row],[REFERENCE_DESCR1]])</f>
        <v>20</v>
      </c>
    </row>
    <row r="2884" spans="1:10" hidden="1">
      <c r="A2884" t="s">
        <v>2925</v>
      </c>
      <c r="B2884" t="s">
        <v>6124</v>
      </c>
      <c r="C2884" t="s">
        <v>6125</v>
      </c>
      <c r="J2884">
        <f>LEN(Table13[[#This Row],[REFERENCE_DESCR1]])</f>
        <v>5</v>
      </c>
    </row>
    <row r="2885" spans="1:10" hidden="1">
      <c r="A2885" t="s">
        <v>2925</v>
      </c>
      <c r="B2885" t="s">
        <v>6126</v>
      </c>
      <c r="C2885" t="s">
        <v>6127</v>
      </c>
      <c r="J2885">
        <f>LEN(Table13[[#This Row],[REFERENCE_DESCR1]])</f>
        <v>16</v>
      </c>
    </row>
    <row r="2886" spans="1:10" hidden="1">
      <c r="A2886" t="s">
        <v>2925</v>
      </c>
      <c r="B2886" t="s">
        <v>6128</v>
      </c>
      <c r="C2886" t="s">
        <v>6129</v>
      </c>
      <c r="J2886">
        <f>LEN(Table13[[#This Row],[REFERENCE_DESCR1]])</f>
        <v>14</v>
      </c>
    </row>
    <row r="2887" spans="1:10" hidden="1">
      <c r="A2887" t="s">
        <v>2925</v>
      </c>
      <c r="B2887" t="s">
        <v>6130</v>
      </c>
      <c r="C2887" t="s">
        <v>6131</v>
      </c>
      <c r="J2887">
        <f>LEN(Table13[[#This Row],[REFERENCE_DESCR1]])</f>
        <v>23</v>
      </c>
    </row>
    <row r="2888" spans="1:10" hidden="1">
      <c r="A2888" t="s">
        <v>2925</v>
      </c>
      <c r="B2888" t="s">
        <v>6132</v>
      </c>
      <c r="C2888" t="s">
        <v>6133</v>
      </c>
      <c r="J2888">
        <f>LEN(Table13[[#This Row],[REFERENCE_DESCR1]])</f>
        <v>25</v>
      </c>
    </row>
    <row r="2889" spans="1:10" hidden="1">
      <c r="A2889" t="s">
        <v>2925</v>
      </c>
      <c r="B2889" t="s">
        <v>6134</v>
      </c>
      <c r="C2889" t="s">
        <v>6135</v>
      </c>
      <c r="J2889">
        <f>LEN(Table13[[#This Row],[REFERENCE_DESCR1]])</f>
        <v>22</v>
      </c>
    </row>
    <row r="2890" spans="1:10" hidden="1">
      <c r="A2890" t="s">
        <v>2925</v>
      </c>
      <c r="B2890" t="s">
        <v>6136</v>
      </c>
      <c r="C2890" t="s">
        <v>6137</v>
      </c>
      <c r="J2890">
        <f>LEN(Table13[[#This Row],[REFERENCE_DESCR1]])</f>
        <v>27</v>
      </c>
    </row>
    <row r="2891" spans="1:10" hidden="1">
      <c r="A2891" t="s">
        <v>2925</v>
      </c>
      <c r="B2891" t="s">
        <v>6138</v>
      </c>
      <c r="C2891" t="s">
        <v>6139</v>
      </c>
      <c r="J2891">
        <f>LEN(Table13[[#This Row],[REFERENCE_DESCR1]])</f>
        <v>26</v>
      </c>
    </row>
    <row r="2892" spans="1:10" hidden="1">
      <c r="A2892" t="s">
        <v>2925</v>
      </c>
      <c r="B2892" t="s">
        <v>6140</v>
      </c>
      <c r="C2892" t="s">
        <v>6141</v>
      </c>
      <c r="J2892">
        <f>LEN(Table13[[#This Row],[REFERENCE_DESCR1]])</f>
        <v>23</v>
      </c>
    </row>
    <row r="2893" spans="1:10" hidden="1">
      <c r="A2893" t="s">
        <v>2925</v>
      </c>
      <c r="B2893" t="s">
        <v>6142</v>
      </c>
      <c r="C2893" t="s">
        <v>6143</v>
      </c>
      <c r="J2893">
        <f>LEN(Table13[[#This Row],[REFERENCE_DESCR1]])</f>
        <v>26</v>
      </c>
    </row>
    <row r="2894" spans="1:10" hidden="1">
      <c r="A2894" t="s">
        <v>2925</v>
      </c>
      <c r="B2894" t="s">
        <v>6144</v>
      </c>
      <c r="C2894" t="s">
        <v>6145</v>
      </c>
      <c r="J2894">
        <f>LEN(Table13[[#This Row],[REFERENCE_DESCR1]])</f>
        <v>25</v>
      </c>
    </row>
    <row r="2895" spans="1:10" hidden="1">
      <c r="A2895" t="s">
        <v>2925</v>
      </c>
      <c r="B2895" t="s">
        <v>6146</v>
      </c>
      <c r="C2895" t="s">
        <v>6147</v>
      </c>
      <c r="J2895">
        <f>LEN(Table13[[#This Row],[REFERENCE_DESCR1]])</f>
        <v>24</v>
      </c>
    </row>
    <row r="2896" spans="1:10" hidden="1">
      <c r="A2896" t="s">
        <v>2925</v>
      </c>
      <c r="B2896" t="s">
        <v>6148</v>
      </c>
      <c r="C2896" t="s">
        <v>6149</v>
      </c>
      <c r="J2896">
        <f>LEN(Table13[[#This Row],[REFERENCE_DESCR1]])</f>
        <v>26</v>
      </c>
    </row>
    <row r="2897" spans="1:10" hidden="1">
      <c r="A2897" t="s">
        <v>2925</v>
      </c>
      <c r="B2897" t="s">
        <v>6150</v>
      </c>
      <c r="C2897" t="s">
        <v>6151</v>
      </c>
      <c r="J2897">
        <f>LEN(Table13[[#This Row],[REFERENCE_DESCR1]])</f>
        <v>30</v>
      </c>
    </row>
    <row r="2898" spans="1:10" hidden="1">
      <c r="A2898" t="s">
        <v>2925</v>
      </c>
      <c r="B2898" t="s">
        <v>6152</v>
      </c>
      <c r="C2898" t="s">
        <v>6153</v>
      </c>
      <c r="J2898">
        <f>LEN(Table13[[#This Row],[REFERENCE_DESCR1]])</f>
        <v>28</v>
      </c>
    </row>
    <row r="2899" spans="1:10" hidden="1">
      <c r="A2899" t="s">
        <v>2925</v>
      </c>
      <c r="B2899" t="s">
        <v>6154</v>
      </c>
      <c r="C2899" t="s">
        <v>6155</v>
      </c>
      <c r="J2899">
        <f>LEN(Table13[[#This Row],[REFERENCE_DESCR1]])</f>
        <v>35</v>
      </c>
    </row>
    <row r="2900" spans="1:10" hidden="1">
      <c r="A2900" t="s">
        <v>2925</v>
      </c>
      <c r="B2900" t="s">
        <v>6156</v>
      </c>
      <c r="C2900" t="s">
        <v>6157</v>
      </c>
      <c r="J2900">
        <f>LEN(Table13[[#This Row],[REFERENCE_DESCR1]])</f>
        <v>28</v>
      </c>
    </row>
    <row r="2901" spans="1:10" hidden="1">
      <c r="A2901" t="s">
        <v>2925</v>
      </c>
      <c r="B2901" t="s">
        <v>6158</v>
      </c>
      <c r="C2901" t="s">
        <v>6159</v>
      </c>
      <c r="J2901">
        <f>LEN(Table13[[#This Row],[REFERENCE_DESCR1]])</f>
        <v>24</v>
      </c>
    </row>
    <row r="2902" spans="1:10" hidden="1">
      <c r="A2902" t="s">
        <v>2925</v>
      </c>
      <c r="B2902" t="s">
        <v>6160</v>
      </c>
      <c r="C2902" t="s">
        <v>6161</v>
      </c>
      <c r="J2902">
        <f>LEN(Table13[[#This Row],[REFERENCE_DESCR1]])</f>
        <v>13</v>
      </c>
    </row>
    <row r="2903" spans="1:10" hidden="1">
      <c r="A2903" t="s">
        <v>2925</v>
      </c>
      <c r="B2903" t="s">
        <v>6162</v>
      </c>
      <c r="C2903" t="s">
        <v>6163</v>
      </c>
      <c r="J2903">
        <f>LEN(Table13[[#This Row],[REFERENCE_DESCR1]])</f>
        <v>25</v>
      </c>
    </row>
    <row r="2904" spans="1:10" hidden="1">
      <c r="A2904" t="s">
        <v>2925</v>
      </c>
      <c r="B2904" t="s">
        <v>6164</v>
      </c>
      <c r="C2904" t="s">
        <v>6165</v>
      </c>
      <c r="J2904">
        <f>LEN(Table13[[#This Row],[REFERENCE_DESCR1]])</f>
        <v>12</v>
      </c>
    </row>
    <row r="2905" spans="1:10" hidden="1">
      <c r="A2905" t="s">
        <v>2925</v>
      </c>
      <c r="B2905" t="s">
        <v>6166</v>
      </c>
      <c r="C2905" t="s">
        <v>6167</v>
      </c>
      <c r="J2905">
        <f>LEN(Table13[[#This Row],[REFERENCE_DESCR1]])</f>
        <v>10</v>
      </c>
    </row>
    <row r="2906" spans="1:10" hidden="1">
      <c r="A2906" t="s">
        <v>2925</v>
      </c>
      <c r="B2906" t="s">
        <v>6168</v>
      </c>
      <c r="C2906" t="s">
        <v>6169</v>
      </c>
      <c r="J2906">
        <f>LEN(Table13[[#This Row],[REFERENCE_DESCR1]])</f>
        <v>18</v>
      </c>
    </row>
    <row r="2907" spans="1:10" hidden="1">
      <c r="A2907" t="s">
        <v>2925</v>
      </c>
      <c r="B2907" t="s">
        <v>6170</v>
      </c>
      <c r="C2907" t="s">
        <v>6171</v>
      </c>
      <c r="J2907">
        <f>LEN(Table13[[#This Row],[REFERENCE_DESCR1]])</f>
        <v>9</v>
      </c>
    </row>
    <row r="2908" spans="1:10" hidden="1">
      <c r="A2908" t="s">
        <v>2925</v>
      </c>
      <c r="B2908" t="s">
        <v>6172</v>
      </c>
      <c r="C2908" t="s">
        <v>6173</v>
      </c>
      <c r="J2908">
        <f>LEN(Table13[[#This Row],[REFERENCE_DESCR1]])</f>
        <v>9</v>
      </c>
    </row>
    <row r="2909" spans="1:10" hidden="1">
      <c r="A2909" t="s">
        <v>2925</v>
      </c>
      <c r="B2909" t="s">
        <v>6174</v>
      </c>
      <c r="C2909" t="s">
        <v>6175</v>
      </c>
      <c r="J2909">
        <f>LEN(Table13[[#This Row],[REFERENCE_DESCR1]])</f>
        <v>8</v>
      </c>
    </row>
    <row r="2910" spans="1:10" hidden="1">
      <c r="A2910" t="s">
        <v>2925</v>
      </c>
      <c r="B2910" t="s">
        <v>6176</v>
      </c>
      <c r="C2910" t="s">
        <v>6177</v>
      </c>
      <c r="J2910">
        <f>LEN(Table13[[#This Row],[REFERENCE_DESCR1]])</f>
        <v>11</v>
      </c>
    </row>
    <row r="2911" spans="1:10" hidden="1">
      <c r="A2911" t="s">
        <v>2925</v>
      </c>
      <c r="B2911" t="s">
        <v>6178</v>
      </c>
      <c r="C2911" t="s">
        <v>6179</v>
      </c>
      <c r="J2911">
        <f>LEN(Table13[[#This Row],[REFERENCE_DESCR1]])</f>
        <v>12</v>
      </c>
    </row>
    <row r="2912" spans="1:10" hidden="1">
      <c r="A2912" t="s">
        <v>2925</v>
      </c>
      <c r="B2912" t="s">
        <v>6180</v>
      </c>
      <c r="C2912" t="s">
        <v>6181</v>
      </c>
      <c r="J2912">
        <f>LEN(Table13[[#This Row],[REFERENCE_DESCR1]])</f>
        <v>10</v>
      </c>
    </row>
    <row r="2913" spans="1:10" hidden="1">
      <c r="A2913" t="s">
        <v>2925</v>
      </c>
      <c r="B2913" t="s">
        <v>6182</v>
      </c>
      <c r="C2913" t="s">
        <v>6183</v>
      </c>
      <c r="J2913">
        <f>LEN(Table13[[#This Row],[REFERENCE_DESCR1]])</f>
        <v>15</v>
      </c>
    </row>
    <row r="2914" spans="1:10" hidden="1">
      <c r="A2914" t="s">
        <v>2925</v>
      </c>
      <c r="B2914" t="s">
        <v>6184</v>
      </c>
      <c r="C2914" t="s">
        <v>6185</v>
      </c>
      <c r="J2914">
        <f>LEN(Table13[[#This Row],[REFERENCE_DESCR1]])</f>
        <v>5</v>
      </c>
    </row>
    <row r="2915" spans="1:10" hidden="1">
      <c r="A2915" t="s">
        <v>2925</v>
      </c>
      <c r="B2915" t="s">
        <v>6186</v>
      </c>
      <c r="C2915" t="s">
        <v>6187</v>
      </c>
      <c r="J2915">
        <f>LEN(Table13[[#This Row],[REFERENCE_DESCR1]])</f>
        <v>17</v>
      </c>
    </row>
    <row r="2916" spans="1:10" hidden="1">
      <c r="A2916" t="s">
        <v>2925</v>
      </c>
      <c r="B2916" t="s">
        <v>6188</v>
      </c>
      <c r="C2916" t="s">
        <v>6189</v>
      </c>
      <c r="J2916">
        <f>LEN(Table13[[#This Row],[REFERENCE_DESCR1]])</f>
        <v>12</v>
      </c>
    </row>
    <row r="2917" spans="1:10" hidden="1">
      <c r="A2917" t="s">
        <v>2925</v>
      </c>
      <c r="B2917" t="s">
        <v>6190</v>
      </c>
      <c r="C2917" t="s">
        <v>6191</v>
      </c>
      <c r="J2917">
        <f>LEN(Table13[[#This Row],[REFERENCE_DESCR1]])</f>
        <v>8</v>
      </c>
    </row>
    <row r="2918" spans="1:10" hidden="1">
      <c r="A2918" t="s">
        <v>2925</v>
      </c>
      <c r="B2918" t="s">
        <v>6192</v>
      </c>
      <c r="C2918" t="s">
        <v>6193</v>
      </c>
      <c r="J2918">
        <f>LEN(Table13[[#This Row],[REFERENCE_DESCR1]])</f>
        <v>8</v>
      </c>
    </row>
    <row r="2919" spans="1:10" hidden="1">
      <c r="A2919" t="s">
        <v>2925</v>
      </c>
      <c r="B2919" t="s">
        <v>6194</v>
      </c>
      <c r="C2919" t="s">
        <v>6195</v>
      </c>
      <c r="J2919">
        <f>LEN(Table13[[#This Row],[REFERENCE_DESCR1]])</f>
        <v>7</v>
      </c>
    </row>
    <row r="2920" spans="1:10" hidden="1">
      <c r="A2920" t="s">
        <v>2925</v>
      </c>
      <c r="B2920" t="s">
        <v>6196</v>
      </c>
      <c r="C2920" t="s">
        <v>6197</v>
      </c>
      <c r="J2920">
        <f>LEN(Table13[[#This Row],[REFERENCE_DESCR1]])</f>
        <v>7</v>
      </c>
    </row>
    <row r="2921" spans="1:10" hidden="1">
      <c r="A2921" t="s">
        <v>2925</v>
      </c>
      <c r="B2921" t="s">
        <v>6198</v>
      </c>
      <c r="C2921" t="s">
        <v>6199</v>
      </c>
      <c r="J2921">
        <f>LEN(Table13[[#This Row],[REFERENCE_DESCR1]])</f>
        <v>8</v>
      </c>
    </row>
    <row r="2922" spans="1:10" hidden="1">
      <c r="A2922" t="s">
        <v>2925</v>
      </c>
      <c r="B2922" t="s">
        <v>6200</v>
      </c>
      <c r="C2922" t="s">
        <v>6201</v>
      </c>
      <c r="J2922">
        <f>LEN(Table13[[#This Row],[REFERENCE_DESCR1]])</f>
        <v>13</v>
      </c>
    </row>
    <row r="2923" spans="1:10" hidden="1">
      <c r="A2923" t="s">
        <v>2925</v>
      </c>
      <c r="B2923" t="s">
        <v>6202</v>
      </c>
      <c r="C2923" t="s">
        <v>6203</v>
      </c>
      <c r="J2923">
        <f>LEN(Table13[[#This Row],[REFERENCE_DESCR1]])</f>
        <v>11</v>
      </c>
    </row>
    <row r="2924" spans="1:10" hidden="1">
      <c r="A2924" t="s">
        <v>2925</v>
      </c>
      <c r="B2924" t="s">
        <v>6204</v>
      </c>
      <c r="C2924" t="s">
        <v>6205</v>
      </c>
      <c r="J2924">
        <f>LEN(Table13[[#This Row],[REFERENCE_DESCR1]])</f>
        <v>11</v>
      </c>
    </row>
    <row r="2925" spans="1:10" hidden="1">
      <c r="A2925" t="s">
        <v>2925</v>
      </c>
      <c r="B2925" t="s">
        <v>6206</v>
      </c>
      <c r="C2925" t="s">
        <v>6207</v>
      </c>
      <c r="J2925">
        <f>LEN(Table13[[#This Row],[REFERENCE_DESCR1]])</f>
        <v>7</v>
      </c>
    </row>
    <row r="2926" spans="1:10" hidden="1">
      <c r="A2926" t="s">
        <v>2925</v>
      </c>
      <c r="B2926" t="s">
        <v>6208</v>
      </c>
      <c r="C2926" t="s">
        <v>6209</v>
      </c>
      <c r="J2926">
        <f>LEN(Table13[[#This Row],[REFERENCE_DESCR1]])</f>
        <v>13</v>
      </c>
    </row>
    <row r="2927" spans="1:10" hidden="1">
      <c r="A2927" t="s">
        <v>2925</v>
      </c>
      <c r="B2927" t="s">
        <v>6210</v>
      </c>
      <c r="C2927" t="s">
        <v>6211</v>
      </c>
      <c r="J2927">
        <f>LEN(Table13[[#This Row],[REFERENCE_DESCR1]])</f>
        <v>25</v>
      </c>
    </row>
    <row r="2928" spans="1:10" hidden="1">
      <c r="A2928" t="s">
        <v>2925</v>
      </c>
      <c r="B2928" t="s">
        <v>6212</v>
      </c>
      <c r="C2928" t="s">
        <v>6213</v>
      </c>
      <c r="J2928">
        <f>LEN(Table13[[#This Row],[REFERENCE_DESCR1]])</f>
        <v>15</v>
      </c>
    </row>
    <row r="2929" spans="1:10" hidden="1">
      <c r="A2929" t="s">
        <v>2925</v>
      </c>
      <c r="B2929" t="s">
        <v>6214</v>
      </c>
      <c r="C2929" t="s">
        <v>6215</v>
      </c>
      <c r="J2929">
        <f>LEN(Table13[[#This Row],[REFERENCE_DESCR1]])</f>
        <v>6</v>
      </c>
    </row>
    <row r="2930" spans="1:10" hidden="1">
      <c r="A2930" t="s">
        <v>2925</v>
      </c>
      <c r="B2930" t="s">
        <v>6216</v>
      </c>
      <c r="C2930" t="s">
        <v>6217</v>
      </c>
      <c r="J2930">
        <f>LEN(Table13[[#This Row],[REFERENCE_DESCR1]])</f>
        <v>3</v>
      </c>
    </row>
    <row r="2931" spans="1:10" hidden="1">
      <c r="A2931" t="s">
        <v>2925</v>
      </c>
      <c r="B2931" t="s">
        <v>6218</v>
      </c>
      <c r="C2931" t="s">
        <v>6219</v>
      </c>
      <c r="J2931">
        <f>LEN(Table13[[#This Row],[REFERENCE_DESCR1]])</f>
        <v>7</v>
      </c>
    </row>
    <row r="2932" spans="1:10" hidden="1">
      <c r="A2932" t="s">
        <v>2925</v>
      </c>
      <c r="B2932" t="s">
        <v>6220</v>
      </c>
      <c r="C2932" t="s">
        <v>6221</v>
      </c>
      <c r="J2932">
        <f>LEN(Table13[[#This Row],[REFERENCE_DESCR1]])</f>
        <v>19</v>
      </c>
    </row>
    <row r="2933" spans="1:10" hidden="1">
      <c r="A2933" t="s">
        <v>2925</v>
      </c>
      <c r="B2933" t="s">
        <v>6222</v>
      </c>
      <c r="C2933" t="s">
        <v>6223</v>
      </c>
      <c r="J2933">
        <f>LEN(Table13[[#This Row],[REFERENCE_DESCR1]])</f>
        <v>10</v>
      </c>
    </row>
    <row r="2934" spans="1:10" hidden="1">
      <c r="A2934" t="s">
        <v>2925</v>
      </c>
      <c r="B2934" t="s">
        <v>6224</v>
      </c>
      <c r="C2934" t="s">
        <v>6225</v>
      </c>
      <c r="J2934">
        <f>LEN(Table13[[#This Row],[REFERENCE_DESCR1]])</f>
        <v>10</v>
      </c>
    </row>
    <row r="2935" spans="1:10" hidden="1">
      <c r="A2935" t="s">
        <v>2925</v>
      </c>
      <c r="B2935" t="s">
        <v>6226</v>
      </c>
      <c r="C2935" t="s">
        <v>6227</v>
      </c>
      <c r="J2935">
        <f>LEN(Table13[[#This Row],[REFERENCE_DESCR1]])</f>
        <v>14</v>
      </c>
    </row>
    <row r="2936" spans="1:10" hidden="1">
      <c r="A2936" t="s">
        <v>2925</v>
      </c>
      <c r="B2936" t="s">
        <v>6228</v>
      </c>
      <c r="C2936" t="s">
        <v>6229</v>
      </c>
      <c r="J2936">
        <f>LEN(Table13[[#This Row],[REFERENCE_DESCR1]])</f>
        <v>12</v>
      </c>
    </row>
    <row r="2937" spans="1:10" hidden="1">
      <c r="A2937" t="s">
        <v>2925</v>
      </c>
      <c r="B2937" t="s">
        <v>6230</v>
      </c>
      <c r="C2937" t="s">
        <v>6231</v>
      </c>
      <c r="J2937">
        <f>LEN(Table13[[#This Row],[REFERENCE_DESCR1]])</f>
        <v>14</v>
      </c>
    </row>
    <row r="2938" spans="1:10" hidden="1">
      <c r="A2938" t="s">
        <v>2925</v>
      </c>
      <c r="B2938" t="s">
        <v>6232</v>
      </c>
      <c r="C2938" t="s">
        <v>6233</v>
      </c>
      <c r="J2938">
        <f>LEN(Table13[[#This Row],[REFERENCE_DESCR1]])</f>
        <v>7</v>
      </c>
    </row>
    <row r="2939" spans="1:10" hidden="1">
      <c r="A2939" t="s">
        <v>2925</v>
      </c>
      <c r="B2939" t="s">
        <v>6234</v>
      </c>
      <c r="C2939" t="s">
        <v>6235</v>
      </c>
      <c r="J2939">
        <f>LEN(Table13[[#This Row],[REFERENCE_DESCR1]])</f>
        <v>13</v>
      </c>
    </row>
    <row r="2940" spans="1:10" hidden="1">
      <c r="A2940" t="s">
        <v>2925</v>
      </c>
      <c r="B2940" t="s">
        <v>6236</v>
      </c>
      <c r="C2940" t="s">
        <v>6237</v>
      </c>
      <c r="J2940">
        <f>LEN(Table13[[#This Row],[REFERENCE_DESCR1]])</f>
        <v>8</v>
      </c>
    </row>
    <row r="2941" spans="1:10" hidden="1">
      <c r="A2941" t="s">
        <v>2925</v>
      </c>
      <c r="B2941" t="s">
        <v>6238</v>
      </c>
      <c r="C2941" t="s">
        <v>6239</v>
      </c>
      <c r="J2941">
        <f>LEN(Table13[[#This Row],[REFERENCE_DESCR1]])</f>
        <v>9</v>
      </c>
    </row>
    <row r="2942" spans="1:10" hidden="1">
      <c r="A2942" t="s">
        <v>2925</v>
      </c>
      <c r="B2942" t="s">
        <v>6240</v>
      </c>
      <c r="C2942" t="s">
        <v>6241</v>
      </c>
      <c r="J2942">
        <f>LEN(Table13[[#This Row],[REFERENCE_DESCR1]])</f>
        <v>6</v>
      </c>
    </row>
    <row r="2943" spans="1:10" hidden="1">
      <c r="A2943" t="s">
        <v>2925</v>
      </c>
      <c r="B2943" t="s">
        <v>6242</v>
      </c>
      <c r="C2943" t="s">
        <v>6243</v>
      </c>
      <c r="J2943">
        <f>LEN(Table13[[#This Row],[REFERENCE_DESCR1]])</f>
        <v>22</v>
      </c>
    </row>
    <row r="2944" spans="1:10" hidden="1">
      <c r="A2944" t="s">
        <v>2925</v>
      </c>
      <c r="B2944" t="s">
        <v>6244</v>
      </c>
      <c r="C2944" t="s">
        <v>6245</v>
      </c>
      <c r="J2944">
        <f>LEN(Table13[[#This Row],[REFERENCE_DESCR1]])</f>
        <v>11</v>
      </c>
    </row>
    <row r="2945" spans="1:10" hidden="1">
      <c r="A2945" t="s">
        <v>2925</v>
      </c>
      <c r="B2945" t="s">
        <v>6246</v>
      </c>
      <c r="C2945" t="s">
        <v>6247</v>
      </c>
      <c r="J2945">
        <f>LEN(Table13[[#This Row],[REFERENCE_DESCR1]])</f>
        <v>13</v>
      </c>
    </row>
    <row r="2946" spans="1:10" hidden="1">
      <c r="A2946" t="s">
        <v>2925</v>
      </c>
      <c r="B2946" t="s">
        <v>6248</v>
      </c>
      <c r="C2946" t="s">
        <v>6249</v>
      </c>
      <c r="J2946">
        <f>LEN(Table13[[#This Row],[REFERENCE_DESCR1]])</f>
        <v>6</v>
      </c>
    </row>
    <row r="2947" spans="1:10" hidden="1">
      <c r="A2947" t="s">
        <v>2925</v>
      </c>
      <c r="B2947" t="s">
        <v>6250</v>
      </c>
      <c r="C2947" t="s">
        <v>6251</v>
      </c>
      <c r="J2947">
        <f>LEN(Table13[[#This Row],[REFERENCE_DESCR1]])</f>
        <v>9</v>
      </c>
    </row>
    <row r="2948" spans="1:10" hidden="1">
      <c r="A2948" t="s">
        <v>2925</v>
      </c>
      <c r="B2948" t="s">
        <v>6252</v>
      </c>
      <c r="C2948" t="s">
        <v>6253</v>
      </c>
      <c r="J2948">
        <f>LEN(Table13[[#This Row],[REFERENCE_DESCR1]])</f>
        <v>7</v>
      </c>
    </row>
    <row r="2949" spans="1:10" hidden="1">
      <c r="A2949" t="s">
        <v>2925</v>
      </c>
      <c r="B2949" t="s">
        <v>6254</v>
      </c>
      <c r="C2949" t="s">
        <v>6255</v>
      </c>
      <c r="J2949">
        <f>LEN(Table13[[#This Row],[REFERENCE_DESCR1]])</f>
        <v>7</v>
      </c>
    </row>
    <row r="2950" spans="1:10" hidden="1">
      <c r="A2950" t="s">
        <v>2925</v>
      </c>
      <c r="B2950" s="10" t="s">
        <v>6256</v>
      </c>
      <c r="C2950" t="s">
        <v>6257</v>
      </c>
      <c r="J2950">
        <f>LEN(Table13[[#This Row],[REFERENCE_DESCR1]])</f>
        <v>36</v>
      </c>
    </row>
    <row r="2951" spans="1:10" hidden="1">
      <c r="A2951" t="s">
        <v>2925</v>
      </c>
      <c r="B2951" t="s">
        <v>6258</v>
      </c>
      <c r="C2951" t="s">
        <v>6259</v>
      </c>
      <c r="J2951">
        <f>LEN(Table13[[#This Row],[REFERENCE_DESCR1]])</f>
        <v>11</v>
      </c>
    </row>
    <row r="2952" spans="1:10" hidden="1">
      <c r="A2952" t="s">
        <v>2925</v>
      </c>
      <c r="B2952" t="s">
        <v>6260</v>
      </c>
      <c r="C2952" t="s">
        <v>6261</v>
      </c>
      <c r="J2952">
        <f>LEN(Table13[[#This Row],[REFERENCE_DESCR1]])</f>
        <v>18</v>
      </c>
    </row>
    <row r="2953" spans="1:10" hidden="1">
      <c r="A2953" t="s">
        <v>2925</v>
      </c>
      <c r="B2953" t="s">
        <v>6262</v>
      </c>
      <c r="C2953" t="s">
        <v>6263</v>
      </c>
      <c r="J2953">
        <f>LEN(Table13[[#This Row],[REFERENCE_DESCR1]])</f>
        <v>12</v>
      </c>
    </row>
    <row r="2954" spans="1:10" hidden="1">
      <c r="A2954" t="s">
        <v>2925</v>
      </c>
      <c r="B2954" t="s">
        <v>6264</v>
      </c>
      <c r="C2954" t="s">
        <v>6265</v>
      </c>
      <c r="J2954">
        <f>LEN(Table13[[#This Row],[REFERENCE_DESCR1]])</f>
        <v>9</v>
      </c>
    </row>
    <row r="2955" spans="1:10" hidden="1">
      <c r="A2955" t="s">
        <v>2925</v>
      </c>
      <c r="B2955" t="s">
        <v>6266</v>
      </c>
      <c r="C2955" t="s">
        <v>6267</v>
      </c>
      <c r="J2955">
        <f>LEN(Table13[[#This Row],[REFERENCE_DESCR1]])</f>
        <v>8</v>
      </c>
    </row>
    <row r="2956" spans="1:10" hidden="1">
      <c r="A2956" t="s">
        <v>2925</v>
      </c>
      <c r="B2956" t="s">
        <v>6268</v>
      </c>
      <c r="C2956" t="s">
        <v>6269</v>
      </c>
      <c r="J2956">
        <f>LEN(Table13[[#This Row],[REFERENCE_DESCR1]])</f>
        <v>13</v>
      </c>
    </row>
    <row r="2957" spans="1:10" hidden="1">
      <c r="A2957" t="s">
        <v>2925</v>
      </c>
      <c r="B2957" t="s">
        <v>6270</v>
      </c>
      <c r="C2957" t="s">
        <v>6271</v>
      </c>
      <c r="J2957">
        <f>LEN(Table13[[#This Row],[REFERENCE_DESCR1]])</f>
        <v>13</v>
      </c>
    </row>
    <row r="2958" spans="1:10" hidden="1">
      <c r="A2958" t="s">
        <v>2925</v>
      </c>
      <c r="B2958" t="s">
        <v>6272</v>
      </c>
      <c r="C2958" t="s">
        <v>6273</v>
      </c>
      <c r="J2958">
        <f>LEN(Table13[[#This Row],[REFERENCE_DESCR1]])</f>
        <v>8</v>
      </c>
    </row>
    <row r="2959" spans="1:10" hidden="1">
      <c r="A2959" t="s">
        <v>2925</v>
      </c>
      <c r="B2959" t="s">
        <v>6274</v>
      </c>
      <c r="C2959" t="s">
        <v>6275</v>
      </c>
      <c r="J2959">
        <f>LEN(Table13[[#This Row],[REFERENCE_DESCR1]])</f>
        <v>7</v>
      </c>
    </row>
    <row r="2960" spans="1:10" hidden="1">
      <c r="A2960" t="s">
        <v>2925</v>
      </c>
      <c r="B2960" t="s">
        <v>6276</v>
      </c>
      <c r="C2960" t="s">
        <v>6277</v>
      </c>
      <c r="J2960">
        <f>LEN(Table13[[#This Row],[REFERENCE_DESCR1]])</f>
        <v>7</v>
      </c>
    </row>
    <row r="2961" spans="1:10" hidden="1">
      <c r="A2961" t="s">
        <v>2925</v>
      </c>
      <c r="B2961" t="s">
        <v>6278</v>
      </c>
      <c r="C2961" t="s">
        <v>6279</v>
      </c>
      <c r="J2961">
        <f>LEN(Table13[[#This Row],[REFERENCE_DESCR1]])</f>
        <v>13</v>
      </c>
    </row>
    <row r="2962" spans="1:10" hidden="1">
      <c r="A2962" t="s">
        <v>2925</v>
      </c>
      <c r="B2962" t="s">
        <v>6280</v>
      </c>
      <c r="C2962" t="s">
        <v>6281</v>
      </c>
      <c r="J2962">
        <f>LEN(Table13[[#This Row],[REFERENCE_DESCR1]])</f>
        <v>8</v>
      </c>
    </row>
    <row r="2963" spans="1:10" hidden="1">
      <c r="A2963" t="s">
        <v>2925</v>
      </c>
      <c r="B2963" t="s">
        <v>6282</v>
      </c>
      <c r="C2963" t="s">
        <v>6283</v>
      </c>
      <c r="J2963">
        <f>LEN(Table13[[#This Row],[REFERENCE_DESCR1]])</f>
        <v>8</v>
      </c>
    </row>
    <row r="2964" spans="1:10" hidden="1">
      <c r="A2964" t="s">
        <v>2925</v>
      </c>
      <c r="B2964" t="s">
        <v>6284</v>
      </c>
      <c r="C2964" t="s">
        <v>6285</v>
      </c>
      <c r="J2964">
        <f>LEN(Table13[[#This Row],[REFERENCE_DESCR1]])</f>
        <v>12</v>
      </c>
    </row>
    <row r="2965" spans="1:10" hidden="1">
      <c r="A2965" t="s">
        <v>2925</v>
      </c>
      <c r="B2965" t="s">
        <v>6286</v>
      </c>
      <c r="C2965" t="s">
        <v>6287</v>
      </c>
      <c r="J2965">
        <f>LEN(Table13[[#This Row],[REFERENCE_DESCR1]])</f>
        <v>11</v>
      </c>
    </row>
    <row r="2966" spans="1:10" hidden="1">
      <c r="A2966" t="s">
        <v>2925</v>
      </c>
      <c r="B2966" t="s">
        <v>6288</v>
      </c>
      <c r="C2966" t="s">
        <v>1638</v>
      </c>
      <c r="J2966">
        <f>LEN(Table13[[#This Row],[REFERENCE_DESCR1]])</f>
        <v>9</v>
      </c>
    </row>
    <row r="2967" spans="1:10" hidden="1">
      <c r="A2967" t="s">
        <v>2925</v>
      </c>
      <c r="B2967" t="s">
        <v>6289</v>
      </c>
      <c r="C2967" t="s">
        <v>6290</v>
      </c>
      <c r="J2967">
        <f>LEN(Table13[[#This Row],[REFERENCE_DESCR1]])</f>
        <v>8</v>
      </c>
    </row>
    <row r="2968" spans="1:10" hidden="1">
      <c r="A2968" t="s">
        <v>2925</v>
      </c>
      <c r="B2968" t="s">
        <v>6291</v>
      </c>
      <c r="C2968" t="s">
        <v>6292</v>
      </c>
      <c r="J2968">
        <f>LEN(Table13[[#This Row],[REFERENCE_DESCR1]])</f>
        <v>13</v>
      </c>
    </row>
    <row r="2969" spans="1:10" hidden="1">
      <c r="A2969" t="s">
        <v>2925</v>
      </c>
      <c r="B2969" t="s">
        <v>6293</v>
      </c>
      <c r="C2969" t="s">
        <v>6294</v>
      </c>
      <c r="J2969">
        <f>LEN(Table13[[#This Row],[REFERENCE_DESCR1]])</f>
        <v>30</v>
      </c>
    </row>
    <row r="2970" spans="1:10" hidden="1">
      <c r="A2970" t="s">
        <v>2925</v>
      </c>
      <c r="B2970" t="s">
        <v>6295</v>
      </c>
      <c r="C2970" t="s">
        <v>6296</v>
      </c>
      <c r="J2970">
        <f>LEN(Table13[[#This Row],[REFERENCE_DESCR1]])</f>
        <v>27</v>
      </c>
    </row>
    <row r="2971" spans="1:10" hidden="1">
      <c r="A2971" t="s">
        <v>2925</v>
      </c>
      <c r="B2971" t="s">
        <v>6297</v>
      </c>
      <c r="C2971" t="s">
        <v>6298</v>
      </c>
      <c r="J2971">
        <f>LEN(Table13[[#This Row],[REFERENCE_DESCR1]])</f>
        <v>25</v>
      </c>
    </row>
    <row r="2972" spans="1:10" hidden="1">
      <c r="A2972" t="s">
        <v>2925</v>
      </c>
      <c r="B2972" t="s">
        <v>6299</v>
      </c>
      <c r="C2972" t="s">
        <v>6300</v>
      </c>
      <c r="J2972">
        <f>LEN(Table13[[#This Row],[REFERENCE_DESCR1]])</f>
        <v>13</v>
      </c>
    </row>
    <row r="2973" spans="1:10" hidden="1">
      <c r="A2973" t="s">
        <v>2925</v>
      </c>
      <c r="B2973" t="s">
        <v>6301</v>
      </c>
      <c r="C2973" t="s">
        <v>6302</v>
      </c>
      <c r="J2973">
        <f>LEN(Table13[[#This Row],[REFERENCE_DESCR1]])</f>
        <v>21</v>
      </c>
    </row>
    <row r="2974" spans="1:10" hidden="1">
      <c r="A2974" t="s">
        <v>2925</v>
      </c>
      <c r="B2974" t="s">
        <v>6303</v>
      </c>
      <c r="C2974" t="s">
        <v>6304</v>
      </c>
      <c r="J2974">
        <f>LEN(Table13[[#This Row],[REFERENCE_DESCR1]])</f>
        <v>6</v>
      </c>
    </row>
    <row r="2975" spans="1:10" hidden="1">
      <c r="A2975" t="s">
        <v>2925</v>
      </c>
      <c r="B2975" t="s">
        <v>6305</v>
      </c>
      <c r="C2975" t="s">
        <v>6306</v>
      </c>
      <c r="J2975">
        <f>LEN(Table13[[#This Row],[REFERENCE_DESCR1]])</f>
        <v>18</v>
      </c>
    </row>
    <row r="2976" spans="1:10" hidden="1">
      <c r="A2976" t="s">
        <v>2925</v>
      </c>
      <c r="B2976" t="s">
        <v>6307</v>
      </c>
      <c r="C2976" t="s">
        <v>6308</v>
      </c>
      <c r="J2976">
        <f>LEN(Table13[[#This Row],[REFERENCE_DESCR1]])</f>
        <v>21</v>
      </c>
    </row>
    <row r="2977" spans="1:10" hidden="1">
      <c r="A2977" t="s">
        <v>2925</v>
      </c>
      <c r="B2977" t="s">
        <v>6309</v>
      </c>
      <c r="C2977" t="s">
        <v>6310</v>
      </c>
      <c r="J2977">
        <f>LEN(Table13[[#This Row],[REFERENCE_DESCR1]])</f>
        <v>21</v>
      </c>
    </row>
    <row r="2978" spans="1:10" hidden="1">
      <c r="A2978" t="s">
        <v>2925</v>
      </c>
      <c r="B2978" t="s">
        <v>6311</v>
      </c>
      <c r="C2978" t="s">
        <v>6312</v>
      </c>
      <c r="J2978">
        <f>LEN(Table13[[#This Row],[REFERENCE_DESCR1]])</f>
        <v>30</v>
      </c>
    </row>
    <row r="2979" spans="1:10" hidden="1">
      <c r="A2979" t="s">
        <v>2925</v>
      </c>
      <c r="B2979" t="s">
        <v>6313</v>
      </c>
      <c r="C2979" t="s">
        <v>6314</v>
      </c>
      <c r="J2979">
        <f>LEN(Table13[[#This Row],[REFERENCE_DESCR1]])</f>
        <v>18</v>
      </c>
    </row>
    <row r="2980" spans="1:10" hidden="1">
      <c r="A2980" t="s">
        <v>2925</v>
      </c>
      <c r="B2980" t="s">
        <v>6315</v>
      </c>
      <c r="C2980" t="s">
        <v>6316</v>
      </c>
      <c r="J2980">
        <f>LEN(Table13[[#This Row],[REFERENCE_DESCR1]])</f>
        <v>21</v>
      </c>
    </row>
    <row r="2981" spans="1:10" hidden="1">
      <c r="A2981" t="s">
        <v>2925</v>
      </c>
      <c r="B2981" t="s">
        <v>6317</v>
      </c>
      <c r="C2981" t="s">
        <v>6318</v>
      </c>
      <c r="J2981">
        <f>LEN(Table13[[#This Row],[REFERENCE_DESCR1]])</f>
        <v>40</v>
      </c>
    </row>
    <row r="2982" spans="1:10" hidden="1">
      <c r="A2982" t="s">
        <v>2925</v>
      </c>
      <c r="B2982" t="s">
        <v>6319</v>
      </c>
      <c r="C2982" t="s">
        <v>6320</v>
      </c>
      <c r="J2982">
        <f>LEN(Table13[[#This Row],[REFERENCE_DESCR1]])</f>
        <v>13</v>
      </c>
    </row>
    <row r="2983" spans="1:10" hidden="1">
      <c r="A2983" t="s">
        <v>2925</v>
      </c>
      <c r="B2983" t="s">
        <v>6321</v>
      </c>
      <c r="C2983" t="s">
        <v>6322</v>
      </c>
      <c r="J2983">
        <f>LEN(Table13[[#This Row],[REFERENCE_DESCR1]])</f>
        <v>20</v>
      </c>
    </row>
    <row r="2984" spans="1:10" hidden="1">
      <c r="A2984" t="s">
        <v>2925</v>
      </c>
      <c r="B2984" t="s">
        <v>6323</v>
      </c>
      <c r="C2984" t="s">
        <v>6324</v>
      </c>
      <c r="J2984">
        <f>LEN(Table13[[#This Row],[REFERENCE_DESCR1]])</f>
        <v>25</v>
      </c>
    </row>
    <row r="2985" spans="1:10" hidden="1">
      <c r="A2985" t="s">
        <v>2925</v>
      </c>
      <c r="B2985" t="s">
        <v>6325</v>
      </c>
      <c r="C2985" t="s">
        <v>6326</v>
      </c>
      <c r="J2985">
        <f>LEN(Table13[[#This Row],[REFERENCE_DESCR1]])</f>
        <v>25</v>
      </c>
    </row>
    <row r="2986" spans="1:10" hidden="1">
      <c r="A2986" t="s">
        <v>2925</v>
      </c>
      <c r="B2986" t="s">
        <v>6327</v>
      </c>
      <c r="C2986" t="s">
        <v>6328</v>
      </c>
      <c r="J2986">
        <f>LEN(Table13[[#This Row],[REFERENCE_DESCR1]])</f>
        <v>25</v>
      </c>
    </row>
    <row r="2987" spans="1:10" hidden="1">
      <c r="A2987" t="s">
        <v>2925</v>
      </c>
      <c r="B2987" t="s">
        <v>6329</v>
      </c>
      <c r="C2987" t="s">
        <v>6330</v>
      </c>
      <c r="J2987">
        <f>LEN(Table13[[#This Row],[REFERENCE_DESCR1]])</f>
        <v>15</v>
      </c>
    </row>
    <row r="2988" spans="1:10" hidden="1">
      <c r="A2988" t="s">
        <v>2925</v>
      </c>
      <c r="B2988" t="s">
        <v>6331</v>
      </c>
      <c r="C2988" t="s">
        <v>6332</v>
      </c>
      <c r="J2988">
        <f>LEN(Table13[[#This Row],[REFERENCE_DESCR1]])</f>
        <v>15</v>
      </c>
    </row>
    <row r="2989" spans="1:10" hidden="1">
      <c r="A2989" t="s">
        <v>2925</v>
      </c>
      <c r="B2989" t="s">
        <v>6333</v>
      </c>
      <c r="C2989" t="s">
        <v>6334</v>
      </c>
      <c r="J2989">
        <f>LEN(Table13[[#This Row],[REFERENCE_DESCR1]])</f>
        <v>10</v>
      </c>
    </row>
    <row r="2990" spans="1:10" hidden="1">
      <c r="A2990" t="s">
        <v>2925</v>
      </c>
      <c r="B2990" t="s">
        <v>6335</v>
      </c>
      <c r="C2990" t="s">
        <v>6336</v>
      </c>
      <c r="J2990">
        <f>LEN(Table13[[#This Row],[REFERENCE_DESCR1]])</f>
        <v>26</v>
      </c>
    </row>
    <row r="2991" spans="1:10" hidden="1">
      <c r="A2991" t="s">
        <v>2925</v>
      </c>
      <c r="B2991" t="s">
        <v>6337</v>
      </c>
      <c r="C2991" t="s">
        <v>6338</v>
      </c>
      <c r="J2991">
        <f>LEN(Table13[[#This Row],[REFERENCE_DESCR1]])</f>
        <v>13</v>
      </c>
    </row>
    <row r="2992" spans="1:10" hidden="1">
      <c r="A2992" t="s">
        <v>2925</v>
      </c>
      <c r="B2992" t="s">
        <v>6339</v>
      </c>
      <c r="C2992" t="s">
        <v>6340</v>
      </c>
      <c r="J2992">
        <f>LEN(Table13[[#This Row],[REFERENCE_DESCR1]])</f>
        <v>6</v>
      </c>
    </row>
    <row r="2993" spans="1:10" hidden="1">
      <c r="A2993" t="s">
        <v>2925</v>
      </c>
      <c r="B2993" t="s">
        <v>6341</v>
      </c>
      <c r="C2993" t="s">
        <v>6342</v>
      </c>
      <c r="J2993">
        <f>LEN(Table13[[#This Row],[REFERENCE_DESCR1]])</f>
        <v>11</v>
      </c>
    </row>
    <row r="2994" spans="1:10" hidden="1">
      <c r="A2994" t="s">
        <v>2925</v>
      </c>
      <c r="B2994" t="s">
        <v>6343</v>
      </c>
      <c r="C2994" t="s">
        <v>6344</v>
      </c>
      <c r="J2994">
        <f>LEN(Table13[[#This Row],[REFERENCE_DESCR1]])</f>
        <v>9</v>
      </c>
    </row>
    <row r="2995" spans="1:10" hidden="1">
      <c r="A2995" t="s">
        <v>2925</v>
      </c>
      <c r="B2995" t="s">
        <v>6345</v>
      </c>
      <c r="C2995" t="s">
        <v>6346</v>
      </c>
      <c r="J2995">
        <f>LEN(Table13[[#This Row],[REFERENCE_DESCR1]])</f>
        <v>8</v>
      </c>
    </row>
    <row r="2996" spans="1:10" hidden="1">
      <c r="A2996" t="s">
        <v>2925</v>
      </c>
      <c r="B2996" t="s">
        <v>6347</v>
      </c>
      <c r="C2996" t="s">
        <v>6348</v>
      </c>
      <c r="J2996">
        <f>LEN(Table13[[#This Row],[REFERENCE_DESCR1]])</f>
        <v>10</v>
      </c>
    </row>
    <row r="2997" spans="1:10" hidden="1">
      <c r="A2997" t="s">
        <v>2925</v>
      </c>
      <c r="B2997" t="s">
        <v>6349</v>
      </c>
      <c r="C2997" t="s">
        <v>6350</v>
      </c>
      <c r="J2997">
        <f>LEN(Table13[[#This Row],[REFERENCE_DESCR1]])</f>
        <v>10</v>
      </c>
    </row>
    <row r="2998" spans="1:10" hidden="1">
      <c r="A2998" t="s">
        <v>2925</v>
      </c>
      <c r="B2998" t="s">
        <v>6351</v>
      </c>
      <c r="C2998" t="s">
        <v>6352</v>
      </c>
      <c r="J2998">
        <f>LEN(Table13[[#This Row],[REFERENCE_DESCR1]])</f>
        <v>5</v>
      </c>
    </row>
    <row r="2999" spans="1:10" hidden="1">
      <c r="A2999" t="s">
        <v>2925</v>
      </c>
      <c r="B2999" t="s">
        <v>6353</v>
      </c>
      <c r="C2999" t="s">
        <v>6354</v>
      </c>
      <c r="J2999">
        <f>LEN(Table13[[#This Row],[REFERENCE_DESCR1]])</f>
        <v>40</v>
      </c>
    </row>
    <row r="3000" spans="1:10" hidden="1">
      <c r="A3000" t="s">
        <v>2925</v>
      </c>
      <c r="B3000" t="s">
        <v>6355</v>
      </c>
      <c r="C3000" t="s">
        <v>6356</v>
      </c>
      <c r="J3000">
        <f>LEN(Table13[[#This Row],[REFERENCE_DESCR1]])</f>
        <v>7</v>
      </c>
    </row>
    <row r="3001" spans="1:10" hidden="1">
      <c r="A3001" t="s">
        <v>2925</v>
      </c>
      <c r="B3001" t="s">
        <v>6357</v>
      </c>
      <c r="C3001" t="s">
        <v>6358</v>
      </c>
      <c r="J3001">
        <f>LEN(Table13[[#This Row],[REFERENCE_DESCR1]])</f>
        <v>13</v>
      </c>
    </row>
    <row r="3002" spans="1:10" hidden="1">
      <c r="A3002" t="s">
        <v>2925</v>
      </c>
      <c r="B3002" t="s">
        <v>6359</v>
      </c>
      <c r="C3002" t="s">
        <v>6360</v>
      </c>
      <c r="J3002">
        <f>LEN(Table13[[#This Row],[REFERENCE_DESCR1]])</f>
        <v>10</v>
      </c>
    </row>
    <row r="3003" spans="1:10" hidden="1">
      <c r="A3003" t="s">
        <v>2925</v>
      </c>
      <c r="B3003" t="s">
        <v>6361</v>
      </c>
      <c r="C3003" t="s">
        <v>6362</v>
      </c>
      <c r="J3003">
        <f>LEN(Table13[[#This Row],[REFERENCE_DESCR1]])</f>
        <v>11</v>
      </c>
    </row>
    <row r="3004" spans="1:10" hidden="1">
      <c r="A3004" t="s">
        <v>2925</v>
      </c>
      <c r="B3004" t="s">
        <v>6363</v>
      </c>
      <c r="C3004" t="s">
        <v>6364</v>
      </c>
      <c r="J3004">
        <f>LEN(Table13[[#This Row],[REFERENCE_DESCR1]])</f>
        <v>9</v>
      </c>
    </row>
    <row r="3005" spans="1:10" hidden="1">
      <c r="A3005" t="s">
        <v>2925</v>
      </c>
      <c r="B3005" t="s">
        <v>6365</v>
      </c>
      <c r="C3005" t="s">
        <v>6366</v>
      </c>
      <c r="J3005">
        <f>LEN(Table13[[#This Row],[REFERENCE_DESCR1]])</f>
        <v>21</v>
      </c>
    </row>
    <row r="3006" spans="1:10" hidden="1">
      <c r="A3006" t="s">
        <v>2925</v>
      </c>
      <c r="B3006" t="s">
        <v>6367</v>
      </c>
      <c r="C3006" t="s">
        <v>6368</v>
      </c>
      <c r="J3006">
        <f>LEN(Table13[[#This Row],[REFERENCE_DESCR1]])</f>
        <v>10</v>
      </c>
    </row>
    <row r="3007" spans="1:10" hidden="1">
      <c r="A3007" t="s">
        <v>2925</v>
      </c>
      <c r="B3007" t="s">
        <v>6369</v>
      </c>
      <c r="C3007" t="s">
        <v>6370</v>
      </c>
      <c r="J3007">
        <f>LEN(Table13[[#This Row],[REFERENCE_DESCR1]])</f>
        <v>8</v>
      </c>
    </row>
    <row r="3008" spans="1:10" hidden="1">
      <c r="A3008" t="s">
        <v>2925</v>
      </c>
      <c r="B3008" t="s">
        <v>6371</v>
      </c>
      <c r="C3008" t="s">
        <v>6372</v>
      </c>
      <c r="J3008">
        <f>LEN(Table13[[#This Row],[REFERENCE_DESCR1]])</f>
        <v>12</v>
      </c>
    </row>
    <row r="3009" spans="1:10" hidden="1">
      <c r="A3009" t="s">
        <v>2925</v>
      </c>
      <c r="B3009" t="s">
        <v>6373</v>
      </c>
      <c r="C3009" t="s">
        <v>6374</v>
      </c>
      <c r="J3009">
        <f>LEN(Table13[[#This Row],[REFERENCE_DESCR1]])</f>
        <v>11</v>
      </c>
    </row>
    <row r="3010" spans="1:10" hidden="1">
      <c r="A3010" t="s">
        <v>2925</v>
      </c>
      <c r="B3010" t="s">
        <v>6375</v>
      </c>
      <c r="C3010" t="s">
        <v>6376</v>
      </c>
      <c r="J3010">
        <f>LEN(Table13[[#This Row],[REFERENCE_DESCR1]])</f>
        <v>11</v>
      </c>
    </row>
    <row r="3011" spans="1:10" hidden="1">
      <c r="A3011" t="s">
        <v>2925</v>
      </c>
      <c r="B3011" t="s">
        <v>6377</v>
      </c>
      <c r="C3011" t="s">
        <v>6378</v>
      </c>
      <c r="J3011">
        <f>LEN(Table13[[#This Row],[REFERENCE_DESCR1]])</f>
        <v>14</v>
      </c>
    </row>
    <row r="3012" spans="1:10" hidden="1">
      <c r="A3012" t="s">
        <v>2925</v>
      </c>
      <c r="B3012" t="s">
        <v>6379</v>
      </c>
      <c r="C3012" t="s">
        <v>6380</v>
      </c>
      <c r="J3012">
        <f>LEN(Table13[[#This Row],[REFERENCE_DESCR1]])</f>
        <v>11</v>
      </c>
    </row>
    <row r="3013" spans="1:10" hidden="1">
      <c r="A3013" t="s">
        <v>2925</v>
      </c>
      <c r="B3013" t="s">
        <v>6381</v>
      </c>
      <c r="C3013" t="s">
        <v>6382</v>
      </c>
      <c r="J3013">
        <f>LEN(Table13[[#This Row],[REFERENCE_DESCR1]])</f>
        <v>11</v>
      </c>
    </row>
    <row r="3014" spans="1:10" hidden="1">
      <c r="A3014" t="s">
        <v>2925</v>
      </c>
      <c r="B3014" t="s">
        <v>6383</v>
      </c>
      <c r="C3014" t="s">
        <v>6384</v>
      </c>
      <c r="J3014">
        <f>LEN(Table13[[#This Row],[REFERENCE_DESCR1]])</f>
        <v>23</v>
      </c>
    </row>
    <row r="3015" spans="1:10" hidden="1">
      <c r="A3015" t="s">
        <v>2925</v>
      </c>
      <c r="B3015" t="s">
        <v>6385</v>
      </c>
      <c r="C3015" t="s">
        <v>6386</v>
      </c>
      <c r="J3015">
        <f>LEN(Table13[[#This Row],[REFERENCE_DESCR1]])</f>
        <v>28</v>
      </c>
    </row>
    <row r="3016" spans="1:10" hidden="1">
      <c r="A3016" t="s">
        <v>2925</v>
      </c>
      <c r="B3016" t="s">
        <v>6387</v>
      </c>
      <c r="C3016" t="s">
        <v>6388</v>
      </c>
      <c r="J3016">
        <f>LEN(Table13[[#This Row],[REFERENCE_DESCR1]])</f>
        <v>6</v>
      </c>
    </row>
    <row r="3017" spans="1:10" hidden="1">
      <c r="A3017" t="s">
        <v>2925</v>
      </c>
      <c r="B3017" t="s">
        <v>6389</v>
      </c>
      <c r="C3017" t="s">
        <v>6390</v>
      </c>
      <c r="J3017">
        <f>LEN(Table13[[#This Row],[REFERENCE_DESCR1]])</f>
        <v>5</v>
      </c>
    </row>
    <row r="3018" spans="1:10" hidden="1">
      <c r="A3018" t="s">
        <v>2925</v>
      </c>
      <c r="B3018" t="s">
        <v>6391</v>
      </c>
      <c r="C3018" t="s">
        <v>6392</v>
      </c>
      <c r="J3018">
        <f>LEN(Table13[[#This Row],[REFERENCE_DESCR1]])</f>
        <v>10</v>
      </c>
    </row>
    <row r="3019" spans="1:10" hidden="1">
      <c r="A3019" t="s">
        <v>2925</v>
      </c>
      <c r="B3019" t="s">
        <v>6393</v>
      </c>
      <c r="C3019" t="s">
        <v>6394</v>
      </c>
      <c r="J3019">
        <f>LEN(Table13[[#This Row],[REFERENCE_DESCR1]])</f>
        <v>9</v>
      </c>
    </row>
    <row r="3020" spans="1:10" hidden="1">
      <c r="A3020" t="s">
        <v>2925</v>
      </c>
      <c r="B3020" t="s">
        <v>6395</v>
      </c>
      <c r="C3020" t="s">
        <v>6396</v>
      </c>
      <c r="J3020">
        <f>LEN(Table13[[#This Row],[REFERENCE_DESCR1]])</f>
        <v>8</v>
      </c>
    </row>
    <row r="3021" spans="1:10" hidden="1">
      <c r="A3021" t="s">
        <v>2925</v>
      </c>
      <c r="B3021" t="s">
        <v>6397</v>
      </c>
      <c r="C3021" t="s">
        <v>6398</v>
      </c>
      <c r="J3021">
        <f>LEN(Table13[[#This Row],[REFERENCE_DESCR1]])</f>
        <v>9</v>
      </c>
    </row>
    <row r="3022" spans="1:10" hidden="1">
      <c r="A3022" t="s">
        <v>2925</v>
      </c>
      <c r="B3022" t="s">
        <v>6399</v>
      </c>
      <c r="C3022" t="s">
        <v>6400</v>
      </c>
      <c r="J3022">
        <f>LEN(Table13[[#This Row],[REFERENCE_DESCR1]])</f>
        <v>7</v>
      </c>
    </row>
    <row r="3023" spans="1:10" hidden="1">
      <c r="A3023" t="s">
        <v>2925</v>
      </c>
      <c r="B3023" t="s">
        <v>6401</v>
      </c>
      <c r="C3023" t="s">
        <v>6402</v>
      </c>
      <c r="J3023">
        <f>LEN(Table13[[#This Row],[REFERENCE_DESCR1]])</f>
        <v>10</v>
      </c>
    </row>
    <row r="3024" spans="1:10" hidden="1">
      <c r="A3024" t="s">
        <v>2925</v>
      </c>
      <c r="B3024" t="s">
        <v>6403</v>
      </c>
      <c r="C3024" t="s">
        <v>6404</v>
      </c>
      <c r="J3024">
        <f>LEN(Table13[[#This Row],[REFERENCE_DESCR1]])</f>
        <v>14</v>
      </c>
    </row>
    <row r="3025" spans="1:10" hidden="1">
      <c r="A3025" t="s">
        <v>2925</v>
      </c>
      <c r="B3025" t="s">
        <v>6405</v>
      </c>
      <c r="C3025" t="s">
        <v>6406</v>
      </c>
      <c r="J3025">
        <f>LEN(Table13[[#This Row],[REFERENCE_DESCR1]])</f>
        <v>23</v>
      </c>
    </row>
    <row r="3026" spans="1:10" hidden="1">
      <c r="A3026" t="s">
        <v>2925</v>
      </c>
      <c r="B3026" t="s">
        <v>6407</v>
      </c>
      <c r="C3026" t="s">
        <v>6408</v>
      </c>
      <c r="J3026">
        <f>LEN(Table13[[#This Row],[REFERENCE_DESCR1]])</f>
        <v>27</v>
      </c>
    </row>
    <row r="3027" spans="1:10" hidden="1">
      <c r="A3027" t="s">
        <v>2925</v>
      </c>
      <c r="B3027" t="s">
        <v>6409</v>
      </c>
      <c r="C3027" t="s">
        <v>6410</v>
      </c>
      <c r="J3027">
        <f>LEN(Table13[[#This Row],[REFERENCE_DESCR1]])</f>
        <v>14</v>
      </c>
    </row>
    <row r="3028" spans="1:10" hidden="1">
      <c r="A3028" t="s">
        <v>2925</v>
      </c>
      <c r="B3028" t="s">
        <v>6411</v>
      </c>
      <c r="C3028" t="s">
        <v>6412</v>
      </c>
      <c r="J3028">
        <f>LEN(Table13[[#This Row],[REFERENCE_DESCR1]])</f>
        <v>13</v>
      </c>
    </row>
    <row r="3029" spans="1:10" hidden="1">
      <c r="A3029" t="s">
        <v>2925</v>
      </c>
      <c r="B3029" t="s">
        <v>6413</v>
      </c>
      <c r="C3029" t="s">
        <v>6414</v>
      </c>
      <c r="J3029">
        <f>LEN(Table13[[#This Row],[REFERENCE_DESCR1]])</f>
        <v>7</v>
      </c>
    </row>
    <row r="3030" spans="1:10" hidden="1">
      <c r="A3030" t="s">
        <v>2925</v>
      </c>
      <c r="B3030" t="s">
        <v>6415</v>
      </c>
      <c r="C3030" t="s">
        <v>6416</v>
      </c>
      <c r="J3030">
        <f>LEN(Table13[[#This Row],[REFERENCE_DESCR1]])</f>
        <v>13</v>
      </c>
    </row>
    <row r="3031" spans="1:10" hidden="1">
      <c r="A3031" t="s">
        <v>2925</v>
      </c>
      <c r="B3031" t="s">
        <v>6417</v>
      </c>
      <c r="C3031" t="s">
        <v>6418</v>
      </c>
      <c r="J3031">
        <f>LEN(Table13[[#This Row],[REFERENCE_DESCR1]])</f>
        <v>9</v>
      </c>
    </row>
    <row r="3032" spans="1:10" hidden="1">
      <c r="A3032" t="s">
        <v>2925</v>
      </c>
      <c r="B3032" t="s">
        <v>6419</v>
      </c>
      <c r="C3032" t="s">
        <v>6420</v>
      </c>
      <c r="J3032">
        <f>LEN(Table13[[#This Row],[REFERENCE_DESCR1]])</f>
        <v>9</v>
      </c>
    </row>
    <row r="3033" spans="1:10" hidden="1">
      <c r="A3033" t="s">
        <v>2925</v>
      </c>
      <c r="B3033" t="s">
        <v>6421</v>
      </c>
      <c r="C3033" t="s">
        <v>6422</v>
      </c>
      <c r="J3033">
        <f>LEN(Table13[[#This Row],[REFERENCE_DESCR1]])</f>
        <v>5</v>
      </c>
    </row>
    <row r="3034" spans="1:10" hidden="1">
      <c r="A3034" t="s">
        <v>2925</v>
      </c>
      <c r="B3034" t="s">
        <v>6423</v>
      </c>
      <c r="C3034" t="s">
        <v>6424</v>
      </c>
      <c r="J3034">
        <f>LEN(Table13[[#This Row],[REFERENCE_DESCR1]])</f>
        <v>8</v>
      </c>
    </row>
    <row r="3035" spans="1:10" hidden="1">
      <c r="A3035" t="s">
        <v>2925</v>
      </c>
      <c r="B3035" t="s">
        <v>6425</v>
      </c>
      <c r="C3035" t="s">
        <v>6426</v>
      </c>
      <c r="J3035">
        <f>LEN(Table13[[#This Row],[REFERENCE_DESCR1]])</f>
        <v>8</v>
      </c>
    </row>
    <row r="3036" spans="1:10" hidden="1">
      <c r="A3036" t="s">
        <v>2925</v>
      </c>
      <c r="B3036" t="s">
        <v>6427</v>
      </c>
      <c r="C3036" t="s">
        <v>6428</v>
      </c>
      <c r="J3036">
        <f>LEN(Table13[[#This Row],[REFERENCE_DESCR1]])</f>
        <v>9</v>
      </c>
    </row>
    <row r="3037" spans="1:10" hidden="1">
      <c r="A3037" t="s">
        <v>2925</v>
      </c>
      <c r="B3037" t="s">
        <v>6429</v>
      </c>
      <c r="C3037" t="s">
        <v>6430</v>
      </c>
      <c r="J3037">
        <f>LEN(Table13[[#This Row],[REFERENCE_DESCR1]])</f>
        <v>9</v>
      </c>
    </row>
    <row r="3038" spans="1:10" hidden="1">
      <c r="A3038" t="s">
        <v>2925</v>
      </c>
      <c r="B3038" t="s">
        <v>6431</v>
      </c>
      <c r="C3038" t="s">
        <v>6432</v>
      </c>
      <c r="J3038">
        <f>LEN(Table13[[#This Row],[REFERENCE_DESCR1]])</f>
        <v>13</v>
      </c>
    </row>
    <row r="3039" spans="1:10" hidden="1">
      <c r="A3039" t="s">
        <v>2925</v>
      </c>
      <c r="B3039" t="s">
        <v>6433</v>
      </c>
      <c r="C3039" t="s">
        <v>6434</v>
      </c>
      <c r="J3039">
        <f>LEN(Table13[[#This Row],[REFERENCE_DESCR1]])</f>
        <v>11</v>
      </c>
    </row>
    <row r="3040" spans="1:10" hidden="1">
      <c r="A3040" t="s">
        <v>2925</v>
      </c>
      <c r="B3040" t="s">
        <v>6435</v>
      </c>
      <c r="C3040" t="s">
        <v>6436</v>
      </c>
      <c r="J3040">
        <f>LEN(Table13[[#This Row],[REFERENCE_DESCR1]])</f>
        <v>10</v>
      </c>
    </row>
    <row r="3041" spans="1:10" hidden="1">
      <c r="A3041" t="s">
        <v>2925</v>
      </c>
      <c r="B3041" t="s">
        <v>6437</v>
      </c>
      <c r="C3041" t="s">
        <v>6438</v>
      </c>
      <c r="J3041">
        <f>LEN(Table13[[#This Row],[REFERENCE_DESCR1]])</f>
        <v>13</v>
      </c>
    </row>
    <row r="3042" spans="1:10" hidden="1">
      <c r="A3042" t="s">
        <v>2925</v>
      </c>
      <c r="B3042" t="s">
        <v>6439</v>
      </c>
      <c r="C3042" t="s">
        <v>6440</v>
      </c>
      <c r="J3042">
        <f>LEN(Table13[[#This Row],[REFERENCE_DESCR1]])</f>
        <v>8</v>
      </c>
    </row>
    <row r="3043" spans="1:10" hidden="1">
      <c r="A3043" t="s">
        <v>2925</v>
      </c>
      <c r="B3043" t="s">
        <v>6441</v>
      </c>
      <c r="C3043" t="s">
        <v>6442</v>
      </c>
      <c r="J3043">
        <f>LEN(Table13[[#This Row],[REFERENCE_DESCR1]])</f>
        <v>9</v>
      </c>
    </row>
    <row r="3044" spans="1:10" hidden="1">
      <c r="A3044" t="s">
        <v>2925</v>
      </c>
      <c r="B3044" t="s">
        <v>6443</v>
      </c>
      <c r="C3044" t="s">
        <v>6444</v>
      </c>
      <c r="J3044">
        <f>LEN(Table13[[#This Row],[REFERENCE_DESCR1]])</f>
        <v>8</v>
      </c>
    </row>
    <row r="3045" spans="1:10" hidden="1">
      <c r="A3045" t="s">
        <v>2925</v>
      </c>
      <c r="B3045" t="s">
        <v>6445</v>
      </c>
      <c r="C3045" t="s">
        <v>6446</v>
      </c>
      <c r="J3045">
        <f>LEN(Table13[[#This Row],[REFERENCE_DESCR1]])</f>
        <v>14</v>
      </c>
    </row>
    <row r="3046" spans="1:10" hidden="1">
      <c r="A3046" t="s">
        <v>2925</v>
      </c>
      <c r="B3046" t="s">
        <v>6447</v>
      </c>
      <c r="C3046" t="s">
        <v>6448</v>
      </c>
      <c r="J3046">
        <f>LEN(Table13[[#This Row],[REFERENCE_DESCR1]])</f>
        <v>15</v>
      </c>
    </row>
    <row r="3047" spans="1:10" hidden="1">
      <c r="A3047" t="s">
        <v>2925</v>
      </c>
      <c r="B3047" t="s">
        <v>6449</v>
      </c>
      <c r="C3047" t="s">
        <v>6450</v>
      </c>
      <c r="J3047">
        <f>LEN(Table13[[#This Row],[REFERENCE_DESCR1]])</f>
        <v>9</v>
      </c>
    </row>
    <row r="3048" spans="1:10" hidden="1">
      <c r="A3048" t="s">
        <v>2925</v>
      </c>
      <c r="B3048" t="s">
        <v>6451</v>
      </c>
      <c r="C3048" t="s">
        <v>6452</v>
      </c>
      <c r="J3048">
        <f>LEN(Table13[[#This Row],[REFERENCE_DESCR1]])</f>
        <v>9</v>
      </c>
    </row>
    <row r="3049" spans="1:10" hidden="1">
      <c r="A3049" t="s">
        <v>2925</v>
      </c>
      <c r="B3049" t="s">
        <v>6453</v>
      </c>
      <c r="C3049" t="s">
        <v>6454</v>
      </c>
      <c r="J3049">
        <f>LEN(Table13[[#This Row],[REFERENCE_DESCR1]])</f>
        <v>8</v>
      </c>
    </row>
    <row r="3050" spans="1:10" hidden="1">
      <c r="A3050" t="s">
        <v>2925</v>
      </c>
      <c r="B3050" t="s">
        <v>6455</v>
      </c>
      <c r="C3050" t="s">
        <v>6456</v>
      </c>
      <c r="J3050">
        <f>LEN(Table13[[#This Row],[REFERENCE_DESCR1]])</f>
        <v>7</v>
      </c>
    </row>
    <row r="3051" spans="1:10" hidden="1">
      <c r="A3051" t="s">
        <v>2925</v>
      </c>
      <c r="B3051" t="s">
        <v>6457</v>
      </c>
      <c r="C3051" t="s">
        <v>6458</v>
      </c>
      <c r="J3051">
        <f>LEN(Table13[[#This Row],[REFERENCE_DESCR1]])</f>
        <v>13</v>
      </c>
    </row>
    <row r="3052" spans="1:10" hidden="1">
      <c r="A3052" t="s">
        <v>2925</v>
      </c>
      <c r="B3052" t="s">
        <v>6459</v>
      </c>
      <c r="C3052" t="s">
        <v>6460</v>
      </c>
      <c r="J3052">
        <f>LEN(Table13[[#This Row],[REFERENCE_DESCR1]])</f>
        <v>6</v>
      </c>
    </row>
    <row r="3053" spans="1:10" hidden="1">
      <c r="A3053" t="s">
        <v>2925</v>
      </c>
      <c r="B3053" t="s">
        <v>6461</v>
      </c>
      <c r="C3053" t="s">
        <v>6462</v>
      </c>
      <c r="J3053">
        <f>LEN(Table13[[#This Row],[REFERENCE_DESCR1]])</f>
        <v>10</v>
      </c>
    </row>
    <row r="3054" spans="1:10" hidden="1">
      <c r="A3054" t="s">
        <v>2925</v>
      </c>
      <c r="B3054" t="s">
        <v>2048</v>
      </c>
      <c r="C3054" t="s">
        <v>6463</v>
      </c>
      <c r="J3054">
        <f>LEN(Table13[[#This Row],[REFERENCE_DESCR1]])</f>
        <v>5</v>
      </c>
    </row>
    <row r="3055" spans="1:10" hidden="1">
      <c r="A3055" t="s">
        <v>2925</v>
      </c>
      <c r="B3055" t="s">
        <v>6464</v>
      </c>
      <c r="C3055" t="s">
        <v>6465</v>
      </c>
      <c r="J3055">
        <f>LEN(Table13[[#This Row],[REFERENCE_DESCR1]])</f>
        <v>17</v>
      </c>
    </row>
    <row r="3056" spans="1:10" hidden="1">
      <c r="A3056" t="s">
        <v>2925</v>
      </c>
      <c r="B3056" t="s">
        <v>6466</v>
      </c>
      <c r="C3056" t="s">
        <v>6467</v>
      </c>
      <c r="J3056">
        <f>LEN(Table13[[#This Row],[REFERENCE_DESCR1]])</f>
        <v>17</v>
      </c>
    </row>
    <row r="3057" spans="1:10" hidden="1">
      <c r="A3057" t="s">
        <v>2925</v>
      </c>
      <c r="B3057" t="s">
        <v>6468</v>
      </c>
      <c r="C3057" t="s">
        <v>6469</v>
      </c>
      <c r="J3057">
        <f>LEN(Table13[[#This Row],[REFERENCE_DESCR1]])</f>
        <v>25</v>
      </c>
    </row>
    <row r="3058" spans="1:10" hidden="1">
      <c r="A3058" t="s">
        <v>2925</v>
      </c>
      <c r="B3058" t="s">
        <v>6470</v>
      </c>
      <c r="C3058" t="s">
        <v>6471</v>
      </c>
      <c r="J3058">
        <f>LEN(Table13[[#This Row],[REFERENCE_DESCR1]])</f>
        <v>10</v>
      </c>
    </row>
    <row r="3059" spans="1:10" hidden="1">
      <c r="A3059" t="s">
        <v>2925</v>
      </c>
      <c r="B3059" t="s">
        <v>6472</v>
      </c>
      <c r="C3059" t="s">
        <v>6473</v>
      </c>
      <c r="J3059">
        <f>LEN(Table13[[#This Row],[REFERENCE_DESCR1]])</f>
        <v>7</v>
      </c>
    </row>
    <row r="3060" spans="1:10" hidden="1">
      <c r="A3060" t="s">
        <v>2925</v>
      </c>
      <c r="B3060" t="s">
        <v>6474</v>
      </c>
      <c r="C3060" t="s">
        <v>6475</v>
      </c>
      <c r="J3060">
        <f>LEN(Table13[[#This Row],[REFERENCE_DESCR1]])</f>
        <v>9</v>
      </c>
    </row>
    <row r="3061" spans="1:10" hidden="1">
      <c r="A3061" t="s">
        <v>2925</v>
      </c>
      <c r="B3061" t="s">
        <v>6476</v>
      </c>
      <c r="C3061" t="s">
        <v>6477</v>
      </c>
      <c r="J3061">
        <f>LEN(Table13[[#This Row],[REFERENCE_DESCR1]])</f>
        <v>6</v>
      </c>
    </row>
    <row r="3062" spans="1:10" hidden="1">
      <c r="A3062" t="s">
        <v>2925</v>
      </c>
      <c r="B3062" t="s">
        <v>6478</v>
      </c>
      <c r="C3062" t="s">
        <v>6479</v>
      </c>
      <c r="J3062">
        <f>LEN(Table13[[#This Row],[REFERENCE_DESCR1]])</f>
        <v>27</v>
      </c>
    </row>
    <row r="3063" spans="1:10" hidden="1">
      <c r="A3063" t="s">
        <v>2925</v>
      </c>
      <c r="B3063" t="s">
        <v>6480</v>
      </c>
      <c r="C3063" t="s">
        <v>6481</v>
      </c>
      <c r="J3063">
        <f>LEN(Table13[[#This Row],[REFERENCE_DESCR1]])</f>
        <v>11</v>
      </c>
    </row>
    <row r="3064" spans="1:10" hidden="1">
      <c r="A3064" t="s">
        <v>2925</v>
      </c>
      <c r="B3064" t="s">
        <v>2050</v>
      </c>
      <c r="C3064" t="s">
        <v>6482</v>
      </c>
      <c r="J3064">
        <f>LEN(Table13[[#This Row],[REFERENCE_DESCR1]])</f>
        <v>9</v>
      </c>
    </row>
    <row r="3065" spans="1:10" hidden="1">
      <c r="A3065" t="s">
        <v>2925</v>
      </c>
      <c r="B3065" t="s">
        <v>6483</v>
      </c>
      <c r="C3065" t="s">
        <v>6484</v>
      </c>
      <c r="J3065">
        <f>LEN(Table13[[#This Row],[REFERENCE_DESCR1]])</f>
        <v>8</v>
      </c>
    </row>
    <row r="3066" spans="1:10" hidden="1">
      <c r="A3066" t="s">
        <v>2925</v>
      </c>
      <c r="B3066" t="s">
        <v>6485</v>
      </c>
      <c r="C3066" t="s">
        <v>6486</v>
      </c>
      <c r="J3066">
        <f>LEN(Table13[[#This Row],[REFERENCE_DESCR1]])</f>
        <v>6</v>
      </c>
    </row>
    <row r="3067" spans="1:10" hidden="1">
      <c r="A3067" t="s">
        <v>2925</v>
      </c>
      <c r="B3067" t="s">
        <v>6487</v>
      </c>
      <c r="C3067" t="s">
        <v>6488</v>
      </c>
      <c r="J3067">
        <f>LEN(Table13[[#This Row],[REFERENCE_DESCR1]])</f>
        <v>13</v>
      </c>
    </row>
    <row r="3068" spans="1:10" hidden="1">
      <c r="A3068" t="s">
        <v>2925</v>
      </c>
      <c r="B3068" t="s">
        <v>6489</v>
      </c>
      <c r="C3068" t="s">
        <v>6490</v>
      </c>
      <c r="J3068">
        <f>LEN(Table13[[#This Row],[REFERENCE_DESCR1]])</f>
        <v>10</v>
      </c>
    </row>
    <row r="3069" spans="1:10" hidden="1">
      <c r="A3069" t="s">
        <v>2925</v>
      </c>
      <c r="B3069" t="s">
        <v>6491</v>
      </c>
      <c r="C3069" t="s">
        <v>6492</v>
      </c>
      <c r="J3069">
        <f>LEN(Table13[[#This Row],[REFERENCE_DESCR1]])</f>
        <v>7</v>
      </c>
    </row>
    <row r="3070" spans="1:10" hidden="1">
      <c r="A3070" t="s">
        <v>2925</v>
      </c>
      <c r="B3070" t="s">
        <v>6493</v>
      </c>
      <c r="C3070" t="s">
        <v>6494</v>
      </c>
      <c r="J3070">
        <f>LEN(Table13[[#This Row],[REFERENCE_DESCR1]])</f>
        <v>12</v>
      </c>
    </row>
    <row r="3071" spans="1:10" hidden="1">
      <c r="A3071" t="s">
        <v>2925</v>
      </c>
      <c r="B3071" t="s">
        <v>6495</v>
      </c>
      <c r="C3071" t="s">
        <v>6496</v>
      </c>
      <c r="J3071">
        <f>LEN(Table13[[#This Row],[REFERENCE_DESCR1]])</f>
        <v>13</v>
      </c>
    </row>
    <row r="3072" spans="1:10" hidden="1">
      <c r="A3072" t="s">
        <v>2925</v>
      </c>
      <c r="B3072" t="s">
        <v>6497</v>
      </c>
      <c r="C3072" t="s">
        <v>6498</v>
      </c>
      <c r="J3072">
        <f>LEN(Table13[[#This Row],[REFERENCE_DESCR1]])</f>
        <v>10</v>
      </c>
    </row>
    <row r="3073" spans="1:10" hidden="1">
      <c r="A3073" t="s">
        <v>2925</v>
      </c>
      <c r="B3073" t="s">
        <v>6499</v>
      </c>
      <c r="C3073" t="s">
        <v>6500</v>
      </c>
      <c r="J3073">
        <f>LEN(Table13[[#This Row],[REFERENCE_DESCR1]])</f>
        <v>20</v>
      </c>
    </row>
    <row r="3074" spans="1:10" hidden="1">
      <c r="A3074" t="s">
        <v>2925</v>
      </c>
      <c r="B3074" t="s">
        <v>6501</v>
      </c>
      <c r="C3074" t="s">
        <v>6502</v>
      </c>
      <c r="J3074">
        <f>LEN(Table13[[#This Row],[REFERENCE_DESCR1]])</f>
        <v>13</v>
      </c>
    </row>
    <row r="3075" spans="1:10" hidden="1">
      <c r="A3075" t="s">
        <v>2925</v>
      </c>
      <c r="B3075" t="s">
        <v>6503</v>
      </c>
      <c r="C3075" t="s">
        <v>6504</v>
      </c>
      <c r="J3075">
        <f>LEN(Table13[[#This Row],[REFERENCE_DESCR1]])</f>
        <v>25</v>
      </c>
    </row>
    <row r="3076" spans="1:10" hidden="1">
      <c r="A3076" t="s">
        <v>2925</v>
      </c>
      <c r="B3076" t="s">
        <v>6505</v>
      </c>
      <c r="C3076" t="s">
        <v>6506</v>
      </c>
      <c r="J3076">
        <f>LEN(Table13[[#This Row],[REFERENCE_DESCR1]])</f>
        <v>29</v>
      </c>
    </row>
    <row r="3077" spans="1:10" hidden="1">
      <c r="A3077" t="s">
        <v>2925</v>
      </c>
      <c r="B3077" t="s">
        <v>6507</v>
      </c>
      <c r="C3077" t="s">
        <v>6508</v>
      </c>
      <c r="J3077">
        <f>LEN(Table13[[#This Row],[REFERENCE_DESCR1]])</f>
        <v>11</v>
      </c>
    </row>
    <row r="3078" spans="1:10" hidden="1">
      <c r="A3078" t="s">
        <v>2925</v>
      </c>
      <c r="B3078" t="s">
        <v>6509</v>
      </c>
      <c r="C3078" t="s">
        <v>6510</v>
      </c>
      <c r="J3078">
        <f>LEN(Table13[[#This Row],[REFERENCE_DESCR1]])</f>
        <v>24</v>
      </c>
    </row>
    <row r="3079" spans="1:10" hidden="1">
      <c r="A3079" t="s">
        <v>2925</v>
      </c>
      <c r="B3079" t="s">
        <v>6511</v>
      </c>
      <c r="C3079" t="s">
        <v>6512</v>
      </c>
      <c r="J3079">
        <f>LEN(Table13[[#This Row],[REFERENCE_DESCR1]])</f>
        <v>9</v>
      </c>
    </row>
    <row r="3080" spans="1:10" hidden="1">
      <c r="A3080" t="s">
        <v>2925</v>
      </c>
      <c r="B3080" t="s">
        <v>6513</v>
      </c>
      <c r="C3080" t="s">
        <v>6514</v>
      </c>
      <c r="J3080">
        <f>LEN(Table13[[#This Row],[REFERENCE_DESCR1]])</f>
        <v>10</v>
      </c>
    </row>
    <row r="3081" spans="1:10" hidden="1">
      <c r="A3081" t="s">
        <v>2925</v>
      </c>
      <c r="B3081" t="s">
        <v>6515</v>
      </c>
      <c r="C3081" t="s">
        <v>6516</v>
      </c>
      <c r="J3081">
        <f>LEN(Table13[[#This Row],[REFERENCE_DESCR1]])</f>
        <v>10</v>
      </c>
    </row>
    <row r="3082" spans="1:10" hidden="1">
      <c r="A3082" t="s">
        <v>2925</v>
      </c>
      <c r="B3082" t="s">
        <v>6517</v>
      </c>
      <c r="C3082" t="s">
        <v>6518</v>
      </c>
      <c r="J3082">
        <f>LEN(Table13[[#This Row],[REFERENCE_DESCR1]])</f>
        <v>10</v>
      </c>
    </row>
    <row r="3083" spans="1:10" hidden="1">
      <c r="A3083" t="s">
        <v>2925</v>
      </c>
      <c r="B3083" t="s">
        <v>6519</v>
      </c>
      <c r="C3083" t="s">
        <v>6520</v>
      </c>
      <c r="J3083">
        <f>LEN(Table13[[#This Row],[REFERENCE_DESCR1]])</f>
        <v>12</v>
      </c>
    </row>
    <row r="3084" spans="1:10" hidden="1">
      <c r="A3084" t="s">
        <v>2925</v>
      </c>
      <c r="B3084" t="s">
        <v>6521</v>
      </c>
      <c r="C3084" t="s">
        <v>6522</v>
      </c>
      <c r="J3084">
        <f>LEN(Table13[[#This Row],[REFERENCE_DESCR1]])</f>
        <v>16</v>
      </c>
    </row>
    <row r="3085" spans="1:10" hidden="1">
      <c r="A3085" t="s">
        <v>2925</v>
      </c>
      <c r="B3085" t="s">
        <v>6523</v>
      </c>
      <c r="C3085" t="s">
        <v>6524</v>
      </c>
      <c r="J3085">
        <f>LEN(Table13[[#This Row],[REFERENCE_DESCR1]])</f>
        <v>8</v>
      </c>
    </row>
    <row r="3086" spans="1:10" hidden="1">
      <c r="A3086" t="s">
        <v>2925</v>
      </c>
      <c r="B3086" t="s">
        <v>6525</v>
      </c>
      <c r="C3086" t="s">
        <v>6526</v>
      </c>
      <c r="J3086">
        <f>LEN(Table13[[#This Row],[REFERENCE_DESCR1]])</f>
        <v>7</v>
      </c>
    </row>
    <row r="3087" spans="1:10" hidden="1">
      <c r="A3087" t="s">
        <v>2925</v>
      </c>
      <c r="B3087" t="s">
        <v>6527</v>
      </c>
      <c r="C3087" t="s">
        <v>6528</v>
      </c>
      <c r="J3087">
        <f>LEN(Table13[[#This Row],[REFERENCE_DESCR1]])</f>
        <v>8</v>
      </c>
    </row>
    <row r="3088" spans="1:10" hidden="1">
      <c r="A3088" t="s">
        <v>2925</v>
      </c>
      <c r="B3088" t="s">
        <v>6529</v>
      </c>
      <c r="C3088" t="s">
        <v>6530</v>
      </c>
      <c r="J3088">
        <f>LEN(Table13[[#This Row],[REFERENCE_DESCR1]])</f>
        <v>9</v>
      </c>
    </row>
    <row r="3089" spans="1:10" hidden="1">
      <c r="A3089" t="s">
        <v>2925</v>
      </c>
      <c r="B3089" t="s">
        <v>6531</v>
      </c>
      <c r="C3089" t="s">
        <v>6532</v>
      </c>
      <c r="J3089">
        <f>LEN(Table13[[#This Row],[REFERENCE_DESCR1]])</f>
        <v>19</v>
      </c>
    </row>
    <row r="3090" spans="1:10" hidden="1">
      <c r="A3090" t="s">
        <v>2925</v>
      </c>
      <c r="B3090" t="s">
        <v>6533</v>
      </c>
      <c r="C3090" t="s">
        <v>6534</v>
      </c>
      <c r="J3090">
        <f>LEN(Table13[[#This Row],[REFERENCE_DESCR1]])</f>
        <v>7</v>
      </c>
    </row>
    <row r="3091" spans="1:10" hidden="1">
      <c r="A3091" t="s">
        <v>2925</v>
      </c>
      <c r="B3091" t="s">
        <v>6535</v>
      </c>
      <c r="C3091" t="s">
        <v>6536</v>
      </c>
      <c r="J3091">
        <f>LEN(Table13[[#This Row],[REFERENCE_DESCR1]])</f>
        <v>7</v>
      </c>
    </row>
    <row r="3092" spans="1:10" hidden="1">
      <c r="A3092" t="s">
        <v>2925</v>
      </c>
      <c r="B3092" t="s">
        <v>6537</v>
      </c>
      <c r="C3092" t="s">
        <v>6538</v>
      </c>
      <c r="J3092">
        <f>LEN(Table13[[#This Row],[REFERENCE_DESCR1]])</f>
        <v>8</v>
      </c>
    </row>
    <row r="3093" spans="1:10" hidden="1">
      <c r="A3093" t="s">
        <v>2925</v>
      </c>
      <c r="B3093" t="s">
        <v>6539</v>
      </c>
      <c r="C3093" t="s">
        <v>6540</v>
      </c>
      <c r="J3093">
        <f>LEN(Table13[[#This Row],[REFERENCE_DESCR1]])</f>
        <v>10</v>
      </c>
    </row>
    <row r="3094" spans="1:10" hidden="1">
      <c r="A3094" t="s">
        <v>2925</v>
      </c>
      <c r="B3094" t="s">
        <v>6541</v>
      </c>
      <c r="C3094" t="s">
        <v>6542</v>
      </c>
      <c r="J3094">
        <f>LEN(Table13[[#This Row],[REFERENCE_DESCR1]])</f>
        <v>13</v>
      </c>
    </row>
    <row r="3095" spans="1:10" hidden="1">
      <c r="A3095" t="s">
        <v>2925</v>
      </c>
      <c r="B3095" t="s">
        <v>6543</v>
      </c>
      <c r="C3095" t="s">
        <v>6544</v>
      </c>
      <c r="J3095">
        <f>LEN(Table13[[#This Row],[REFERENCE_DESCR1]])</f>
        <v>12</v>
      </c>
    </row>
    <row r="3096" spans="1:10" hidden="1">
      <c r="A3096" t="s">
        <v>2925</v>
      </c>
      <c r="B3096" t="s">
        <v>6545</v>
      </c>
      <c r="C3096" t="s">
        <v>6546</v>
      </c>
      <c r="J3096">
        <f>LEN(Table13[[#This Row],[REFERENCE_DESCR1]])</f>
        <v>9</v>
      </c>
    </row>
    <row r="3097" spans="1:10" hidden="1">
      <c r="A3097" t="s">
        <v>2925</v>
      </c>
      <c r="B3097" t="s">
        <v>6547</v>
      </c>
      <c r="C3097" t="s">
        <v>6548</v>
      </c>
      <c r="J3097">
        <f>LEN(Table13[[#This Row],[REFERENCE_DESCR1]])</f>
        <v>7</v>
      </c>
    </row>
    <row r="3098" spans="1:10" hidden="1">
      <c r="A3098" t="s">
        <v>2925</v>
      </c>
      <c r="B3098" t="s">
        <v>6549</v>
      </c>
      <c r="C3098" t="s">
        <v>6550</v>
      </c>
      <c r="J3098">
        <f>LEN(Table13[[#This Row],[REFERENCE_DESCR1]])</f>
        <v>7</v>
      </c>
    </row>
    <row r="3099" spans="1:10" hidden="1">
      <c r="A3099" t="s">
        <v>2925</v>
      </c>
      <c r="B3099" t="s">
        <v>6551</v>
      </c>
      <c r="C3099" t="s">
        <v>6552</v>
      </c>
      <c r="J3099">
        <f>LEN(Table13[[#This Row],[REFERENCE_DESCR1]])</f>
        <v>14</v>
      </c>
    </row>
    <row r="3100" spans="1:10" hidden="1">
      <c r="A3100" t="s">
        <v>2925</v>
      </c>
      <c r="B3100" t="s">
        <v>6553</v>
      </c>
      <c r="C3100" t="s">
        <v>6554</v>
      </c>
      <c r="J3100">
        <f>LEN(Table13[[#This Row],[REFERENCE_DESCR1]])</f>
        <v>8</v>
      </c>
    </row>
    <row r="3101" spans="1:10" hidden="1">
      <c r="A3101" t="s">
        <v>2925</v>
      </c>
      <c r="B3101" t="s">
        <v>6555</v>
      </c>
      <c r="C3101" t="s">
        <v>6556</v>
      </c>
      <c r="J3101">
        <f>LEN(Table13[[#This Row],[REFERENCE_DESCR1]])</f>
        <v>18</v>
      </c>
    </row>
    <row r="3102" spans="1:10" hidden="1">
      <c r="A3102" t="s">
        <v>2925</v>
      </c>
      <c r="B3102" t="s">
        <v>6557</v>
      </c>
      <c r="C3102" t="s">
        <v>6558</v>
      </c>
      <c r="J3102">
        <f>LEN(Table13[[#This Row],[REFERENCE_DESCR1]])</f>
        <v>6</v>
      </c>
    </row>
    <row r="3103" spans="1:10" hidden="1">
      <c r="A3103" t="s">
        <v>2925</v>
      </c>
      <c r="B3103" t="s">
        <v>6559</v>
      </c>
      <c r="C3103" t="s">
        <v>6560</v>
      </c>
      <c r="J3103">
        <f>LEN(Table13[[#This Row],[REFERENCE_DESCR1]])</f>
        <v>10</v>
      </c>
    </row>
    <row r="3104" spans="1:10" hidden="1">
      <c r="A3104" t="s">
        <v>2925</v>
      </c>
      <c r="B3104" t="s">
        <v>6561</v>
      </c>
      <c r="C3104" t="s">
        <v>6562</v>
      </c>
      <c r="J3104">
        <f>LEN(Table13[[#This Row],[REFERENCE_DESCR1]])</f>
        <v>8</v>
      </c>
    </row>
    <row r="3105" spans="1:10" hidden="1">
      <c r="A3105" t="s">
        <v>2925</v>
      </c>
      <c r="B3105" t="s">
        <v>6563</v>
      </c>
      <c r="C3105" t="s">
        <v>6564</v>
      </c>
      <c r="J3105">
        <f>LEN(Table13[[#This Row],[REFERENCE_DESCR1]])</f>
        <v>14</v>
      </c>
    </row>
    <row r="3106" spans="1:10" hidden="1">
      <c r="A3106" t="s">
        <v>2925</v>
      </c>
      <c r="B3106" t="s">
        <v>6565</v>
      </c>
      <c r="C3106" t="s">
        <v>6566</v>
      </c>
      <c r="J3106">
        <f>LEN(Table13[[#This Row],[REFERENCE_DESCR1]])</f>
        <v>7</v>
      </c>
    </row>
    <row r="3107" spans="1:10" hidden="1">
      <c r="A3107" t="s">
        <v>2925</v>
      </c>
      <c r="B3107" t="s">
        <v>6567</v>
      </c>
      <c r="C3107" t="s">
        <v>6568</v>
      </c>
      <c r="J3107">
        <f>LEN(Table13[[#This Row],[REFERENCE_DESCR1]])</f>
        <v>10</v>
      </c>
    </row>
    <row r="3108" spans="1:10" hidden="1">
      <c r="A3108" t="s">
        <v>2925</v>
      </c>
      <c r="B3108" t="s">
        <v>6569</v>
      </c>
      <c r="C3108" t="s">
        <v>6570</v>
      </c>
      <c r="J3108">
        <f>LEN(Table13[[#This Row],[REFERENCE_DESCR1]])</f>
        <v>6</v>
      </c>
    </row>
    <row r="3109" spans="1:10" hidden="1">
      <c r="A3109" t="s">
        <v>2925</v>
      </c>
      <c r="B3109" t="s">
        <v>6571</v>
      </c>
      <c r="C3109" t="s">
        <v>6572</v>
      </c>
      <c r="J3109">
        <f>LEN(Table13[[#This Row],[REFERENCE_DESCR1]])</f>
        <v>22</v>
      </c>
    </row>
    <row r="3110" spans="1:10" hidden="1">
      <c r="A3110" t="s">
        <v>2925</v>
      </c>
      <c r="B3110" t="s">
        <v>6573</v>
      </c>
      <c r="C3110" t="s">
        <v>6574</v>
      </c>
      <c r="J3110">
        <f>LEN(Table13[[#This Row],[REFERENCE_DESCR1]])</f>
        <v>9</v>
      </c>
    </row>
    <row r="3111" spans="1:10" hidden="1">
      <c r="A3111" t="s">
        <v>2925</v>
      </c>
      <c r="B3111" t="s">
        <v>6575</v>
      </c>
      <c r="C3111" t="s">
        <v>6576</v>
      </c>
      <c r="J3111">
        <f>LEN(Table13[[#This Row],[REFERENCE_DESCR1]])</f>
        <v>8</v>
      </c>
    </row>
    <row r="3112" spans="1:10" hidden="1">
      <c r="A3112" t="s">
        <v>2925</v>
      </c>
      <c r="B3112" t="s">
        <v>6577</v>
      </c>
      <c r="C3112" t="s">
        <v>6578</v>
      </c>
      <c r="J3112">
        <f>LEN(Table13[[#This Row],[REFERENCE_DESCR1]])</f>
        <v>5</v>
      </c>
    </row>
    <row r="3113" spans="1:10" hidden="1">
      <c r="A3113" t="s">
        <v>2925</v>
      </c>
      <c r="B3113" t="s">
        <v>6579</v>
      </c>
      <c r="C3113" t="s">
        <v>6580</v>
      </c>
      <c r="J3113">
        <f>LEN(Table13[[#This Row],[REFERENCE_DESCR1]])</f>
        <v>9</v>
      </c>
    </row>
    <row r="3114" spans="1:10" hidden="1">
      <c r="A3114" t="s">
        <v>2925</v>
      </c>
      <c r="B3114" t="s">
        <v>6581</v>
      </c>
      <c r="C3114" t="s">
        <v>6582</v>
      </c>
      <c r="J3114">
        <f>LEN(Table13[[#This Row],[REFERENCE_DESCR1]])</f>
        <v>5</v>
      </c>
    </row>
    <row r="3115" spans="1:10" hidden="1">
      <c r="A3115" t="s">
        <v>2925</v>
      </c>
      <c r="B3115" t="s">
        <v>6583</v>
      </c>
      <c r="C3115" t="s">
        <v>6584</v>
      </c>
      <c r="J3115">
        <f>LEN(Table13[[#This Row],[REFERENCE_DESCR1]])</f>
        <v>8</v>
      </c>
    </row>
    <row r="3116" spans="1:10" hidden="1">
      <c r="A3116" t="s">
        <v>2925</v>
      </c>
      <c r="B3116" t="s">
        <v>6585</v>
      </c>
      <c r="C3116" t="s">
        <v>6586</v>
      </c>
      <c r="J3116">
        <f>LEN(Table13[[#This Row],[REFERENCE_DESCR1]])</f>
        <v>7</v>
      </c>
    </row>
    <row r="3117" spans="1:10" hidden="1">
      <c r="A3117" t="s">
        <v>2925</v>
      </c>
      <c r="B3117" t="s">
        <v>6587</v>
      </c>
      <c r="C3117" t="s">
        <v>6588</v>
      </c>
      <c r="J3117">
        <f>LEN(Table13[[#This Row],[REFERENCE_DESCR1]])</f>
        <v>11</v>
      </c>
    </row>
    <row r="3118" spans="1:10" hidden="1">
      <c r="A3118" t="s">
        <v>2925</v>
      </c>
      <c r="B3118" t="s">
        <v>6589</v>
      </c>
      <c r="C3118" t="s">
        <v>6590</v>
      </c>
      <c r="J3118">
        <f>LEN(Table13[[#This Row],[REFERENCE_DESCR1]])</f>
        <v>9</v>
      </c>
    </row>
    <row r="3119" spans="1:10" hidden="1">
      <c r="A3119" t="s">
        <v>2925</v>
      </c>
      <c r="B3119" t="s">
        <v>6591</v>
      </c>
      <c r="C3119" t="s">
        <v>6592</v>
      </c>
      <c r="J3119">
        <f>LEN(Table13[[#This Row],[REFERENCE_DESCR1]])</f>
        <v>10</v>
      </c>
    </row>
    <row r="3120" spans="1:10" hidden="1">
      <c r="A3120" t="s">
        <v>2925</v>
      </c>
      <c r="B3120" t="s">
        <v>6593</v>
      </c>
      <c r="C3120" t="s">
        <v>6594</v>
      </c>
      <c r="J3120">
        <f>LEN(Table13[[#This Row],[REFERENCE_DESCR1]])</f>
        <v>10</v>
      </c>
    </row>
    <row r="3121" spans="1:10" hidden="1">
      <c r="A3121" t="s">
        <v>2925</v>
      </c>
      <c r="B3121" t="s">
        <v>6595</v>
      </c>
      <c r="C3121" t="s">
        <v>6596</v>
      </c>
      <c r="J3121">
        <f>LEN(Table13[[#This Row],[REFERENCE_DESCR1]])</f>
        <v>43</v>
      </c>
    </row>
    <row r="3122" spans="1:10" hidden="1">
      <c r="A3122" t="s">
        <v>2925</v>
      </c>
      <c r="B3122" t="s">
        <v>6597</v>
      </c>
      <c r="C3122" t="s">
        <v>6598</v>
      </c>
      <c r="J3122">
        <f>LEN(Table13[[#This Row],[REFERENCE_DESCR1]])</f>
        <v>8</v>
      </c>
    </row>
    <row r="3123" spans="1:10" hidden="1">
      <c r="A3123" t="s">
        <v>2925</v>
      </c>
      <c r="B3123" t="s">
        <v>6599</v>
      </c>
      <c r="C3123" t="s">
        <v>6600</v>
      </c>
      <c r="J3123">
        <f>LEN(Table13[[#This Row],[REFERENCE_DESCR1]])</f>
        <v>6</v>
      </c>
    </row>
    <row r="3124" spans="1:10" hidden="1">
      <c r="A3124" t="s">
        <v>2925</v>
      </c>
      <c r="B3124" t="s">
        <v>6601</v>
      </c>
      <c r="C3124" t="s">
        <v>6602</v>
      </c>
      <c r="J3124">
        <f>LEN(Table13[[#This Row],[REFERENCE_DESCR1]])</f>
        <v>14</v>
      </c>
    </row>
    <row r="3125" spans="1:10" hidden="1">
      <c r="A3125" t="s">
        <v>2925</v>
      </c>
      <c r="B3125" t="s">
        <v>6603</v>
      </c>
      <c r="C3125" t="s">
        <v>6604</v>
      </c>
      <c r="J3125">
        <f>LEN(Table13[[#This Row],[REFERENCE_DESCR1]])</f>
        <v>9</v>
      </c>
    </row>
    <row r="3126" spans="1:10" hidden="1">
      <c r="A3126" t="s">
        <v>2925</v>
      </c>
      <c r="B3126" t="s">
        <v>6605</v>
      </c>
      <c r="C3126" t="s">
        <v>6606</v>
      </c>
      <c r="J3126">
        <f>LEN(Table13[[#This Row],[REFERENCE_DESCR1]])</f>
        <v>6</v>
      </c>
    </row>
    <row r="3127" spans="1:10" hidden="1">
      <c r="A3127" t="s">
        <v>2925</v>
      </c>
      <c r="B3127" t="s">
        <v>6607</v>
      </c>
      <c r="C3127" t="s">
        <v>6608</v>
      </c>
      <c r="J3127">
        <f>LEN(Table13[[#This Row],[REFERENCE_DESCR1]])</f>
        <v>7</v>
      </c>
    </row>
    <row r="3128" spans="1:10" hidden="1">
      <c r="A3128" t="s">
        <v>2925</v>
      </c>
      <c r="B3128" t="s">
        <v>6609</v>
      </c>
      <c r="C3128" t="s">
        <v>6610</v>
      </c>
      <c r="J3128">
        <f>LEN(Table13[[#This Row],[REFERENCE_DESCR1]])</f>
        <v>6</v>
      </c>
    </row>
    <row r="3129" spans="1:10" hidden="1">
      <c r="A3129" t="s">
        <v>2925</v>
      </c>
      <c r="B3129" t="s">
        <v>2589</v>
      </c>
      <c r="C3129" t="s">
        <v>6611</v>
      </c>
      <c r="J3129">
        <f>LEN(Table13[[#This Row],[REFERENCE_DESCR1]])</f>
        <v>7</v>
      </c>
    </row>
    <row r="3130" spans="1:10" hidden="1">
      <c r="A3130" t="s">
        <v>2925</v>
      </c>
      <c r="B3130" t="s">
        <v>6612</v>
      </c>
      <c r="C3130" t="s">
        <v>6613</v>
      </c>
      <c r="J3130">
        <f>LEN(Table13[[#This Row],[REFERENCE_DESCR1]])</f>
        <v>6</v>
      </c>
    </row>
    <row r="3131" spans="1:10" hidden="1">
      <c r="A3131" t="s">
        <v>2925</v>
      </c>
      <c r="B3131" t="s">
        <v>6614</v>
      </c>
      <c r="C3131" t="s">
        <v>6615</v>
      </c>
      <c r="J3131">
        <f>LEN(Table13[[#This Row],[REFERENCE_DESCR1]])</f>
        <v>6</v>
      </c>
    </row>
    <row r="3132" spans="1:10" hidden="1">
      <c r="A3132" t="s">
        <v>2925</v>
      </c>
      <c r="B3132" t="s">
        <v>6616</v>
      </c>
      <c r="C3132" t="s">
        <v>6617</v>
      </c>
      <c r="J3132">
        <f>LEN(Table13[[#This Row],[REFERENCE_DESCR1]])</f>
        <v>18</v>
      </c>
    </row>
    <row r="3133" spans="1:10" hidden="1">
      <c r="A3133" t="s">
        <v>2925</v>
      </c>
      <c r="B3133" t="s">
        <v>6618</v>
      </c>
      <c r="C3133" t="s">
        <v>6619</v>
      </c>
      <c r="J3133">
        <f>LEN(Table13[[#This Row],[REFERENCE_DESCR1]])</f>
        <v>13</v>
      </c>
    </row>
    <row r="3134" spans="1:10" hidden="1">
      <c r="A3134" t="s">
        <v>2925</v>
      </c>
      <c r="B3134" t="s">
        <v>6620</v>
      </c>
      <c r="C3134" t="s">
        <v>6621</v>
      </c>
      <c r="J3134">
        <f>LEN(Table13[[#This Row],[REFERENCE_DESCR1]])</f>
        <v>14</v>
      </c>
    </row>
    <row r="3135" spans="1:10" hidden="1">
      <c r="A3135" t="s">
        <v>2925</v>
      </c>
      <c r="B3135" t="s">
        <v>6622</v>
      </c>
      <c r="C3135" t="s">
        <v>6623</v>
      </c>
      <c r="J3135">
        <f>LEN(Table13[[#This Row],[REFERENCE_DESCR1]])</f>
        <v>28</v>
      </c>
    </row>
    <row r="3136" spans="1:10" hidden="1">
      <c r="A3136" t="s">
        <v>2925</v>
      </c>
      <c r="B3136" t="s">
        <v>6624</v>
      </c>
      <c r="C3136" t="s">
        <v>6625</v>
      </c>
      <c r="J3136">
        <f>LEN(Table13[[#This Row],[REFERENCE_DESCR1]])</f>
        <v>28</v>
      </c>
    </row>
    <row r="3137" spans="1:10" hidden="1">
      <c r="A3137" t="s">
        <v>2925</v>
      </c>
      <c r="B3137" t="s">
        <v>6626</v>
      </c>
      <c r="C3137" t="s">
        <v>6627</v>
      </c>
      <c r="J3137">
        <f>LEN(Table13[[#This Row],[REFERENCE_DESCR1]])</f>
        <v>10</v>
      </c>
    </row>
    <row r="3138" spans="1:10" hidden="1">
      <c r="A3138" t="s">
        <v>2925</v>
      </c>
      <c r="B3138" t="s">
        <v>6628</v>
      </c>
      <c r="C3138" t="s">
        <v>6629</v>
      </c>
      <c r="J3138">
        <f>LEN(Table13[[#This Row],[REFERENCE_DESCR1]])</f>
        <v>34</v>
      </c>
    </row>
    <row r="3139" spans="1:10" hidden="1">
      <c r="A3139" t="s">
        <v>2925</v>
      </c>
      <c r="B3139" t="s">
        <v>6630</v>
      </c>
      <c r="C3139" t="s">
        <v>6631</v>
      </c>
      <c r="J3139">
        <f>LEN(Table13[[#This Row],[REFERENCE_DESCR1]])</f>
        <v>22</v>
      </c>
    </row>
    <row r="3140" spans="1:10" hidden="1">
      <c r="A3140" t="s">
        <v>2925</v>
      </c>
      <c r="B3140" t="s">
        <v>6632</v>
      </c>
      <c r="C3140" t="s">
        <v>6633</v>
      </c>
      <c r="J3140">
        <f>LEN(Table13[[#This Row],[REFERENCE_DESCR1]])</f>
        <v>22</v>
      </c>
    </row>
    <row r="3141" spans="1:10" hidden="1">
      <c r="A3141" t="s">
        <v>2925</v>
      </c>
      <c r="B3141" t="s">
        <v>2068</v>
      </c>
      <c r="C3141" t="s">
        <v>6634</v>
      </c>
      <c r="J3141">
        <f>LEN(Table13[[#This Row],[REFERENCE_DESCR1]])</f>
        <v>12</v>
      </c>
    </row>
    <row r="3142" spans="1:10" hidden="1">
      <c r="A3142" t="s">
        <v>2925</v>
      </c>
      <c r="B3142" t="s">
        <v>6635</v>
      </c>
      <c r="C3142" t="s">
        <v>6636</v>
      </c>
      <c r="J3142">
        <f>LEN(Table13[[#This Row],[REFERENCE_DESCR1]])</f>
        <v>23</v>
      </c>
    </row>
    <row r="3143" spans="1:10" hidden="1">
      <c r="A3143" t="s">
        <v>2925</v>
      </c>
      <c r="B3143" t="s">
        <v>6637</v>
      </c>
      <c r="C3143" t="s">
        <v>6638</v>
      </c>
      <c r="J3143">
        <f>LEN(Table13[[#This Row],[REFERENCE_DESCR1]])</f>
        <v>27</v>
      </c>
    </row>
    <row r="3144" spans="1:10" hidden="1">
      <c r="A3144" t="s">
        <v>2925</v>
      </c>
      <c r="B3144" t="s">
        <v>6639</v>
      </c>
      <c r="C3144" t="s">
        <v>6640</v>
      </c>
      <c r="J3144">
        <f>LEN(Table13[[#This Row],[REFERENCE_DESCR1]])</f>
        <v>27</v>
      </c>
    </row>
    <row r="3145" spans="1:10" hidden="1">
      <c r="A3145" t="s">
        <v>2925</v>
      </c>
      <c r="B3145" t="s">
        <v>6641</v>
      </c>
      <c r="C3145" t="s">
        <v>6642</v>
      </c>
      <c r="J3145">
        <f>LEN(Table13[[#This Row],[REFERENCE_DESCR1]])</f>
        <v>6</v>
      </c>
    </row>
    <row r="3146" spans="1:10" hidden="1">
      <c r="A3146" t="s">
        <v>2925</v>
      </c>
      <c r="B3146" t="s">
        <v>6643</v>
      </c>
      <c r="C3146" t="s">
        <v>6644</v>
      </c>
      <c r="J3146">
        <f>LEN(Table13[[#This Row],[REFERENCE_DESCR1]])</f>
        <v>8</v>
      </c>
    </row>
    <row r="3147" spans="1:10" hidden="1">
      <c r="A3147" t="s">
        <v>2925</v>
      </c>
      <c r="B3147" t="s">
        <v>6645</v>
      </c>
      <c r="C3147" t="s">
        <v>6646</v>
      </c>
      <c r="J3147">
        <f>LEN(Table13[[#This Row],[REFERENCE_DESCR1]])</f>
        <v>10</v>
      </c>
    </row>
    <row r="3148" spans="1:10" hidden="1">
      <c r="A3148" t="s">
        <v>2925</v>
      </c>
      <c r="B3148" t="s">
        <v>6647</v>
      </c>
      <c r="C3148" t="s">
        <v>6648</v>
      </c>
      <c r="J3148">
        <f>LEN(Table13[[#This Row],[REFERENCE_DESCR1]])</f>
        <v>11</v>
      </c>
    </row>
    <row r="3149" spans="1:10" hidden="1">
      <c r="A3149" t="s">
        <v>2925</v>
      </c>
      <c r="B3149" t="s">
        <v>6649</v>
      </c>
      <c r="C3149" t="s">
        <v>6650</v>
      </c>
      <c r="J3149">
        <f>LEN(Table13[[#This Row],[REFERENCE_DESCR1]])</f>
        <v>13</v>
      </c>
    </row>
    <row r="3150" spans="1:10" hidden="1">
      <c r="A3150" t="s">
        <v>2925</v>
      </c>
      <c r="B3150" t="s">
        <v>6651</v>
      </c>
      <c r="C3150" t="s">
        <v>6652</v>
      </c>
      <c r="J3150">
        <f>LEN(Table13[[#This Row],[REFERENCE_DESCR1]])</f>
        <v>26</v>
      </c>
    </row>
    <row r="3151" spans="1:10" hidden="1">
      <c r="A3151" t="s">
        <v>2925</v>
      </c>
      <c r="B3151" t="s">
        <v>6653</v>
      </c>
      <c r="C3151" t="s">
        <v>6654</v>
      </c>
      <c r="J3151">
        <f>LEN(Table13[[#This Row],[REFERENCE_DESCR1]])</f>
        <v>40</v>
      </c>
    </row>
    <row r="3152" spans="1:10" hidden="1">
      <c r="A3152" t="s">
        <v>2925</v>
      </c>
      <c r="B3152" t="s">
        <v>6655</v>
      </c>
      <c r="C3152" t="s">
        <v>6656</v>
      </c>
      <c r="J3152">
        <f>LEN(Table13[[#This Row],[REFERENCE_DESCR1]])</f>
        <v>40</v>
      </c>
    </row>
    <row r="3153" spans="1:10" hidden="1">
      <c r="A3153" t="s">
        <v>2925</v>
      </c>
      <c r="B3153" t="s">
        <v>6657</v>
      </c>
      <c r="C3153" t="s">
        <v>6658</v>
      </c>
      <c r="J3153">
        <f>LEN(Table13[[#This Row],[REFERENCE_DESCR1]])</f>
        <v>40</v>
      </c>
    </row>
    <row r="3154" spans="1:10" hidden="1">
      <c r="A3154" t="s">
        <v>2925</v>
      </c>
      <c r="B3154" t="s">
        <v>6659</v>
      </c>
      <c r="C3154" t="s">
        <v>6660</v>
      </c>
      <c r="J3154">
        <f>LEN(Table13[[#This Row],[REFERENCE_DESCR1]])</f>
        <v>40</v>
      </c>
    </row>
    <row r="3155" spans="1:10" hidden="1">
      <c r="A3155" t="s">
        <v>2925</v>
      </c>
      <c r="B3155" t="s">
        <v>6661</v>
      </c>
      <c r="C3155" t="s">
        <v>6662</v>
      </c>
      <c r="J3155">
        <f>LEN(Table13[[#This Row],[REFERENCE_DESCR1]])</f>
        <v>40</v>
      </c>
    </row>
    <row r="3156" spans="1:10" hidden="1">
      <c r="A3156" t="s">
        <v>2925</v>
      </c>
      <c r="B3156" t="s">
        <v>6663</v>
      </c>
      <c r="C3156" t="s">
        <v>6664</v>
      </c>
      <c r="J3156">
        <f>LEN(Table13[[#This Row],[REFERENCE_DESCR1]])</f>
        <v>40</v>
      </c>
    </row>
    <row r="3157" spans="1:10" hidden="1">
      <c r="A3157" t="s">
        <v>2925</v>
      </c>
      <c r="B3157" t="s">
        <v>6665</v>
      </c>
      <c r="C3157" t="s">
        <v>6666</v>
      </c>
      <c r="J3157">
        <f>LEN(Table13[[#This Row],[REFERENCE_DESCR1]])</f>
        <v>40</v>
      </c>
    </row>
    <row r="3158" spans="1:10" hidden="1">
      <c r="A3158" t="s">
        <v>2925</v>
      </c>
      <c r="B3158" t="s">
        <v>6667</v>
      </c>
      <c r="C3158" t="s">
        <v>6668</v>
      </c>
      <c r="J3158">
        <f>LEN(Table13[[#This Row],[REFERENCE_DESCR1]])</f>
        <v>40</v>
      </c>
    </row>
    <row r="3159" spans="1:10" hidden="1">
      <c r="A3159" t="s">
        <v>2925</v>
      </c>
      <c r="B3159" t="s">
        <v>6669</v>
      </c>
      <c r="C3159" t="s">
        <v>6670</v>
      </c>
      <c r="J3159">
        <f>LEN(Table13[[#This Row],[REFERENCE_DESCR1]])</f>
        <v>40</v>
      </c>
    </row>
    <row r="3160" spans="1:10" hidden="1">
      <c r="A3160" t="s">
        <v>2925</v>
      </c>
      <c r="B3160" t="s">
        <v>6671</v>
      </c>
      <c r="C3160" t="s">
        <v>6672</v>
      </c>
      <c r="J3160">
        <f>LEN(Table13[[#This Row],[REFERENCE_DESCR1]])</f>
        <v>40</v>
      </c>
    </row>
    <row r="3161" spans="1:10" hidden="1">
      <c r="A3161" t="s">
        <v>2925</v>
      </c>
      <c r="B3161" t="s">
        <v>6673</v>
      </c>
      <c r="C3161" t="s">
        <v>6674</v>
      </c>
      <c r="J3161">
        <f>LEN(Table13[[#This Row],[REFERENCE_DESCR1]])</f>
        <v>40</v>
      </c>
    </row>
    <row r="3162" spans="1:10" hidden="1">
      <c r="A3162" t="s">
        <v>2925</v>
      </c>
      <c r="B3162" t="s">
        <v>6675</v>
      </c>
      <c r="C3162" t="s">
        <v>6676</v>
      </c>
      <c r="J3162">
        <f>LEN(Table13[[#This Row],[REFERENCE_DESCR1]])</f>
        <v>35</v>
      </c>
    </row>
    <row r="3163" spans="1:10" hidden="1">
      <c r="A3163" t="s">
        <v>2925</v>
      </c>
      <c r="B3163" t="s">
        <v>6677</v>
      </c>
      <c r="C3163" t="s">
        <v>6678</v>
      </c>
      <c r="J3163">
        <f>LEN(Table13[[#This Row],[REFERENCE_DESCR1]])</f>
        <v>35</v>
      </c>
    </row>
    <row r="3164" spans="1:10" hidden="1">
      <c r="A3164" t="s">
        <v>2925</v>
      </c>
      <c r="B3164" t="s">
        <v>6679</v>
      </c>
      <c r="C3164" t="s">
        <v>6680</v>
      </c>
      <c r="J3164">
        <f>LEN(Table13[[#This Row],[REFERENCE_DESCR1]])</f>
        <v>35</v>
      </c>
    </row>
    <row r="3165" spans="1:10" hidden="1">
      <c r="A3165" t="s">
        <v>2925</v>
      </c>
      <c r="B3165" t="s">
        <v>6681</v>
      </c>
      <c r="C3165" t="s">
        <v>6682</v>
      </c>
      <c r="J3165">
        <f>LEN(Table13[[#This Row],[REFERENCE_DESCR1]])</f>
        <v>35</v>
      </c>
    </row>
    <row r="3166" spans="1:10" hidden="1">
      <c r="A3166" t="s">
        <v>2925</v>
      </c>
      <c r="B3166" t="s">
        <v>6683</v>
      </c>
      <c r="C3166" t="s">
        <v>6684</v>
      </c>
      <c r="J3166">
        <f>LEN(Table13[[#This Row],[REFERENCE_DESCR1]])</f>
        <v>35</v>
      </c>
    </row>
    <row r="3167" spans="1:10" hidden="1">
      <c r="A3167" t="s">
        <v>2925</v>
      </c>
      <c r="B3167" t="s">
        <v>6685</v>
      </c>
      <c r="C3167" t="s">
        <v>6686</v>
      </c>
      <c r="J3167">
        <f>LEN(Table13[[#This Row],[REFERENCE_DESCR1]])</f>
        <v>35</v>
      </c>
    </row>
    <row r="3168" spans="1:10" hidden="1">
      <c r="A3168" t="s">
        <v>2925</v>
      </c>
      <c r="B3168" t="s">
        <v>6687</v>
      </c>
      <c r="C3168" t="s">
        <v>6688</v>
      </c>
      <c r="J3168">
        <f>LEN(Table13[[#This Row],[REFERENCE_DESCR1]])</f>
        <v>35</v>
      </c>
    </row>
    <row r="3169" spans="1:10" hidden="1">
      <c r="A3169" t="s">
        <v>2925</v>
      </c>
      <c r="B3169" t="s">
        <v>6689</v>
      </c>
      <c r="C3169" t="s">
        <v>6690</v>
      </c>
      <c r="J3169">
        <f>LEN(Table13[[#This Row],[REFERENCE_DESCR1]])</f>
        <v>35</v>
      </c>
    </row>
    <row r="3170" spans="1:10" hidden="1">
      <c r="A3170" t="s">
        <v>2925</v>
      </c>
      <c r="B3170" t="s">
        <v>6691</v>
      </c>
      <c r="C3170" t="s">
        <v>6692</v>
      </c>
      <c r="J3170">
        <f>LEN(Table13[[#This Row],[REFERENCE_DESCR1]])</f>
        <v>35</v>
      </c>
    </row>
    <row r="3171" spans="1:10" hidden="1">
      <c r="A3171" t="s">
        <v>2925</v>
      </c>
      <c r="B3171" t="s">
        <v>6693</v>
      </c>
      <c r="C3171" t="s">
        <v>6694</v>
      </c>
      <c r="J3171">
        <f>LEN(Table13[[#This Row],[REFERENCE_DESCR1]])</f>
        <v>35</v>
      </c>
    </row>
    <row r="3172" spans="1:10" hidden="1">
      <c r="A3172" t="s">
        <v>2925</v>
      </c>
      <c r="B3172" t="s">
        <v>6695</v>
      </c>
      <c r="C3172" t="s">
        <v>6696</v>
      </c>
      <c r="J3172">
        <f>LEN(Table13[[#This Row],[REFERENCE_DESCR1]])</f>
        <v>35</v>
      </c>
    </row>
    <row r="3173" spans="1:10" hidden="1">
      <c r="A3173" t="s">
        <v>2925</v>
      </c>
      <c r="B3173" t="s">
        <v>6697</v>
      </c>
      <c r="C3173" t="s">
        <v>6698</v>
      </c>
      <c r="J3173">
        <f>LEN(Table13[[#This Row],[REFERENCE_DESCR1]])</f>
        <v>35</v>
      </c>
    </row>
    <row r="3174" spans="1:10" hidden="1">
      <c r="A3174" t="s">
        <v>2925</v>
      </c>
      <c r="B3174" t="s">
        <v>6699</v>
      </c>
      <c r="C3174" t="s">
        <v>6700</v>
      </c>
      <c r="J3174">
        <f>LEN(Table13[[#This Row],[REFERENCE_DESCR1]])</f>
        <v>35</v>
      </c>
    </row>
    <row r="3175" spans="1:10" hidden="1">
      <c r="A3175" t="s">
        <v>2925</v>
      </c>
      <c r="B3175" t="s">
        <v>6701</v>
      </c>
      <c r="C3175" t="s">
        <v>6702</v>
      </c>
      <c r="J3175">
        <f>LEN(Table13[[#This Row],[REFERENCE_DESCR1]])</f>
        <v>40</v>
      </c>
    </row>
    <row r="3176" spans="1:10" hidden="1">
      <c r="A3176" t="s">
        <v>2925</v>
      </c>
      <c r="B3176" t="s">
        <v>6703</v>
      </c>
      <c r="C3176" t="s">
        <v>6704</v>
      </c>
      <c r="J3176">
        <f>LEN(Table13[[#This Row],[REFERENCE_DESCR1]])</f>
        <v>10</v>
      </c>
    </row>
    <row r="3177" spans="1:10" hidden="1">
      <c r="A3177" t="s">
        <v>2925</v>
      </c>
      <c r="B3177" t="s">
        <v>6705</v>
      </c>
      <c r="C3177" t="s">
        <v>6706</v>
      </c>
      <c r="J3177">
        <f>LEN(Table13[[#This Row],[REFERENCE_DESCR1]])</f>
        <v>16</v>
      </c>
    </row>
    <row r="3178" spans="1:10" hidden="1">
      <c r="A3178" t="s">
        <v>2925</v>
      </c>
      <c r="B3178" t="s">
        <v>6707</v>
      </c>
      <c r="C3178" t="s">
        <v>6708</v>
      </c>
      <c r="J3178">
        <f>LEN(Table13[[#This Row],[REFERENCE_DESCR1]])</f>
        <v>28</v>
      </c>
    </row>
    <row r="3179" spans="1:10" hidden="1">
      <c r="A3179" t="s">
        <v>2925</v>
      </c>
      <c r="B3179" t="s">
        <v>6709</v>
      </c>
      <c r="C3179" t="s">
        <v>6710</v>
      </c>
      <c r="J3179">
        <f>LEN(Table13[[#This Row],[REFERENCE_DESCR1]])</f>
        <v>14</v>
      </c>
    </row>
    <row r="3180" spans="1:10" hidden="1">
      <c r="A3180" t="s">
        <v>2925</v>
      </c>
      <c r="B3180" t="s">
        <v>6711</v>
      </c>
      <c r="C3180" t="s">
        <v>6712</v>
      </c>
      <c r="J3180">
        <f>LEN(Table13[[#This Row],[REFERENCE_DESCR1]])</f>
        <v>37</v>
      </c>
    </row>
    <row r="3181" spans="1:10" hidden="1">
      <c r="A3181" t="s">
        <v>2925</v>
      </c>
      <c r="B3181" t="s">
        <v>6713</v>
      </c>
      <c r="C3181" t="s">
        <v>6714</v>
      </c>
      <c r="J3181">
        <f>LEN(Table13[[#This Row],[REFERENCE_DESCR1]])</f>
        <v>26</v>
      </c>
    </row>
    <row r="3182" spans="1:10" hidden="1">
      <c r="A3182" t="s">
        <v>2925</v>
      </c>
      <c r="B3182" t="s">
        <v>6715</v>
      </c>
      <c r="C3182" t="s">
        <v>6716</v>
      </c>
      <c r="J3182">
        <f>LEN(Table13[[#This Row],[REFERENCE_DESCR1]])</f>
        <v>26</v>
      </c>
    </row>
    <row r="3183" spans="1:10" hidden="1">
      <c r="A3183" t="s">
        <v>2925</v>
      </c>
      <c r="B3183" t="s">
        <v>6717</v>
      </c>
      <c r="C3183" t="s">
        <v>6718</v>
      </c>
      <c r="J3183">
        <f>LEN(Table13[[#This Row],[REFERENCE_DESCR1]])</f>
        <v>27</v>
      </c>
    </row>
    <row r="3184" spans="1:10" hidden="1">
      <c r="A3184" t="s">
        <v>2925</v>
      </c>
      <c r="B3184" t="s">
        <v>6719</v>
      </c>
      <c r="C3184" t="s">
        <v>6720</v>
      </c>
      <c r="J3184">
        <f>LEN(Table13[[#This Row],[REFERENCE_DESCR1]])</f>
        <v>14</v>
      </c>
    </row>
    <row r="3185" spans="1:10" hidden="1">
      <c r="A3185" t="s">
        <v>2925</v>
      </c>
      <c r="B3185" t="s">
        <v>6721</v>
      </c>
      <c r="C3185" t="s">
        <v>6722</v>
      </c>
      <c r="J3185">
        <f>LEN(Table13[[#This Row],[REFERENCE_DESCR1]])</f>
        <v>8</v>
      </c>
    </row>
    <row r="3186" spans="1:10" hidden="1">
      <c r="A3186" t="s">
        <v>2925</v>
      </c>
      <c r="B3186" t="s">
        <v>6723</v>
      </c>
      <c r="C3186" t="s">
        <v>6724</v>
      </c>
      <c r="J3186">
        <f>LEN(Table13[[#This Row],[REFERENCE_DESCR1]])</f>
        <v>9</v>
      </c>
    </row>
    <row r="3187" spans="1:10" hidden="1">
      <c r="A3187" t="s">
        <v>2925</v>
      </c>
      <c r="B3187" t="s">
        <v>6725</v>
      </c>
      <c r="C3187" t="s">
        <v>6726</v>
      </c>
      <c r="J3187">
        <f>LEN(Table13[[#This Row],[REFERENCE_DESCR1]])</f>
        <v>7</v>
      </c>
    </row>
    <row r="3188" spans="1:10" hidden="1">
      <c r="A3188" t="s">
        <v>2925</v>
      </c>
      <c r="B3188" t="s">
        <v>6727</v>
      </c>
      <c r="C3188" t="s">
        <v>6728</v>
      </c>
      <c r="J3188">
        <f>LEN(Table13[[#This Row],[REFERENCE_DESCR1]])</f>
        <v>5</v>
      </c>
    </row>
    <row r="3189" spans="1:10" hidden="1">
      <c r="A3189" t="s">
        <v>2925</v>
      </c>
      <c r="B3189" t="s">
        <v>6729</v>
      </c>
      <c r="C3189" t="s">
        <v>6730</v>
      </c>
      <c r="J3189">
        <f>LEN(Table13[[#This Row],[REFERENCE_DESCR1]])</f>
        <v>9</v>
      </c>
    </row>
    <row r="3190" spans="1:10" hidden="1">
      <c r="A3190" t="s">
        <v>2925</v>
      </c>
      <c r="B3190" t="s">
        <v>6731</v>
      </c>
      <c r="C3190" t="s">
        <v>6732</v>
      </c>
      <c r="J3190">
        <f>LEN(Table13[[#This Row],[REFERENCE_DESCR1]])</f>
        <v>14</v>
      </c>
    </row>
    <row r="3191" spans="1:10" hidden="1">
      <c r="A3191" t="s">
        <v>2925</v>
      </c>
      <c r="B3191" t="s">
        <v>6733</v>
      </c>
      <c r="C3191" t="s">
        <v>6734</v>
      </c>
      <c r="J3191">
        <f>LEN(Table13[[#This Row],[REFERENCE_DESCR1]])</f>
        <v>14</v>
      </c>
    </row>
    <row r="3192" spans="1:10" hidden="1">
      <c r="A3192" t="s">
        <v>2925</v>
      </c>
      <c r="B3192" t="s">
        <v>6735</v>
      </c>
      <c r="C3192" t="s">
        <v>6736</v>
      </c>
      <c r="J3192">
        <f>LEN(Table13[[#This Row],[REFERENCE_DESCR1]])</f>
        <v>13</v>
      </c>
    </row>
    <row r="3193" spans="1:10" hidden="1">
      <c r="A3193" t="s">
        <v>2925</v>
      </c>
      <c r="B3193" t="s">
        <v>6737</v>
      </c>
      <c r="C3193" t="s">
        <v>6738</v>
      </c>
      <c r="J3193">
        <f>LEN(Table13[[#This Row],[REFERENCE_DESCR1]])</f>
        <v>7</v>
      </c>
    </row>
    <row r="3194" spans="1:10" hidden="1">
      <c r="A3194" t="s">
        <v>2925</v>
      </c>
      <c r="B3194" t="s">
        <v>6739</v>
      </c>
      <c r="C3194" t="s">
        <v>6740</v>
      </c>
      <c r="J3194">
        <f>LEN(Table13[[#This Row],[REFERENCE_DESCR1]])</f>
        <v>8</v>
      </c>
    </row>
    <row r="3195" spans="1:10" hidden="1">
      <c r="A3195" t="s">
        <v>2925</v>
      </c>
      <c r="B3195" t="s">
        <v>6741</v>
      </c>
      <c r="C3195" t="s">
        <v>6742</v>
      </c>
      <c r="J3195">
        <f>LEN(Table13[[#This Row],[REFERENCE_DESCR1]])</f>
        <v>7</v>
      </c>
    </row>
    <row r="3196" spans="1:10" hidden="1">
      <c r="A3196" t="s">
        <v>2925</v>
      </c>
      <c r="B3196" t="s">
        <v>6743</v>
      </c>
      <c r="C3196" t="s">
        <v>6744</v>
      </c>
      <c r="J3196">
        <f>LEN(Table13[[#This Row],[REFERENCE_DESCR1]])</f>
        <v>6</v>
      </c>
    </row>
    <row r="3197" spans="1:10" hidden="1">
      <c r="A3197" t="s">
        <v>2925</v>
      </c>
      <c r="B3197" t="s">
        <v>6745</v>
      </c>
      <c r="C3197" t="s">
        <v>6746</v>
      </c>
      <c r="J3197">
        <f>LEN(Table13[[#This Row],[REFERENCE_DESCR1]])</f>
        <v>6</v>
      </c>
    </row>
    <row r="3198" spans="1:10" hidden="1">
      <c r="A3198" t="s">
        <v>2925</v>
      </c>
      <c r="B3198" t="s">
        <v>6747</v>
      </c>
      <c r="C3198" t="s">
        <v>6748</v>
      </c>
      <c r="J3198">
        <f>LEN(Table13[[#This Row],[REFERENCE_DESCR1]])</f>
        <v>12</v>
      </c>
    </row>
    <row r="3199" spans="1:10" hidden="1">
      <c r="A3199" t="s">
        <v>2925</v>
      </c>
      <c r="B3199" t="s">
        <v>6749</v>
      </c>
      <c r="C3199" t="s">
        <v>6750</v>
      </c>
      <c r="J3199">
        <f>LEN(Table13[[#This Row],[REFERENCE_DESCR1]])</f>
        <v>8</v>
      </c>
    </row>
    <row r="3200" spans="1:10" hidden="1">
      <c r="A3200" t="s">
        <v>2925</v>
      </c>
      <c r="B3200" t="s">
        <v>6751</v>
      </c>
      <c r="C3200" t="s">
        <v>6752</v>
      </c>
      <c r="J3200">
        <f>LEN(Table13[[#This Row],[REFERENCE_DESCR1]])</f>
        <v>20</v>
      </c>
    </row>
    <row r="3201" spans="1:10" hidden="1">
      <c r="A3201" t="s">
        <v>2925</v>
      </c>
      <c r="B3201" t="s">
        <v>6753</v>
      </c>
      <c r="C3201" t="s">
        <v>6754</v>
      </c>
      <c r="J3201">
        <f>LEN(Table13[[#This Row],[REFERENCE_DESCR1]])</f>
        <v>8</v>
      </c>
    </row>
    <row r="3202" spans="1:10" hidden="1">
      <c r="A3202" t="s">
        <v>2925</v>
      </c>
      <c r="B3202" t="s">
        <v>6755</v>
      </c>
      <c r="C3202" t="s">
        <v>6756</v>
      </c>
      <c r="J3202">
        <f>LEN(Table13[[#This Row],[REFERENCE_DESCR1]])</f>
        <v>7</v>
      </c>
    </row>
    <row r="3203" spans="1:10" hidden="1">
      <c r="A3203" t="s">
        <v>2925</v>
      </c>
      <c r="B3203" t="s">
        <v>6757</v>
      </c>
      <c r="C3203" t="s">
        <v>6758</v>
      </c>
      <c r="J3203">
        <f>LEN(Table13[[#This Row],[REFERENCE_DESCR1]])</f>
        <v>10</v>
      </c>
    </row>
    <row r="3204" spans="1:10" hidden="1">
      <c r="A3204" t="s">
        <v>2925</v>
      </c>
      <c r="B3204" t="s">
        <v>6759</v>
      </c>
      <c r="C3204" t="s">
        <v>6760</v>
      </c>
      <c r="J3204">
        <f>LEN(Table13[[#This Row],[REFERENCE_DESCR1]])</f>
        <v>17</v>
      </c>
    </row>
    <row r="3205" spans="1:10" hidden="1">
      <c r="A3205" t="s">
        <v>2925</v>
      </c>
      <c r="B3205" t="s">
        <v>6761</v>
      </c>
      <c r="C3205" t="s">
        <v>6762</v>
      </c>
      <c r="J3205">
        <f>LEN(Table13[[#This Row],[REFERENCE_DESCR1]])</f>
        <v>12</v>
      </c>
    </row>
    <row r="3206" spans="1:10" hidden="1">
      <c r="A3206" t="s">
        <v>2925</v>
      </c>
      <c r="B3206" t="s">
        <v>6763</v>
      </c>
      <c r="C3206" t="s">
        <v>6764</v>
      </c>
      <c r="J3206">
        <f>LEN(Table13[[#This Row],[REFERENCE_DESCR1]])</f>
        <v>6</v>
      </c>
    </row>
    <row r="3207" spans="1:10" hidden="1">
      <c r="A3207" t="s">
        <v>2925</v>
      </c>
      <c r="B3207" t="s">
        <v>6765</v>
      </c>
      <c r="C3207" t="s">
        <v>6766</v>
      </c>
      <c r="J3207">
        <f>LEN(Table13[[#This Row],[REFERENCE_DESCR1]])</f>
        <v>8</v>
      </c>
    </row>
    <row r="3208" spans="1:10" hidden="1">
      <c r="A3208" t="s">
        <v>2925</v>
      </c>
      <c r="B3208" t="s">
        <v>6767</v>
      </c>
      <c r="C3208" t="s">
        <v>6768</v>
      </c>
      <c r="J3208">
        <f>LEN(Table13[[#This Row],[REFERENCE_DESCR1]])</f>
        <v>20</v>
      </c>
    </row>
    <row r="3209" spans="1:10" hidden="1">
      <c r="A3209" t="s">
        <v>2925</v>
      </c>
      <c r="B3209" t="s">
        <v>6769</v>
      </c>
      <c r="C3209" t="s">
        <v>6770</v>
      </c>
      <c r="J3209">
        <f>LEN(Table13[[#This Row],[REFERENCE_DESCR1]])</f>
        <v>23</v>
      </c>
    </row>
    <row r="3210" spans="1:10" hidden="1">
      <c r="A3210" t="s">
        <v>2925</v>
      </c>
      <c r="B3210" t="s">
        <v>6771</v>
      </c>
      <c r="C3210" t="s">
        <v>6772</v>
      </c>
      <c r="J3210">
        <f>LEN(Table13[[#This Row],[REFERENCE_DESCR1]])</f>
        <v>40</v>
      </c>
    </row>
    <row r="3211" spans="1:10" hidden="1">
      <c r="A3211" t="s">
        <v>2925</v>
      </c>
      <c r="B3211" t="s">
        <v>6773</v>
      </c>
      <c r="C3211" t="s">
        <v>6774</v>
      </c>
      <c r="J3211">
        <f>LEN(Table13[[#This Row],[REFERENCE_DESCR1]])</f>
        <v>13</v>
      </c>
    </row>
    <row r="3212" spans="1:10" hidden="1">
      <c r="A3212" t="s">
        <v>2925</v>
      </c>
      <c r="B3212" t="s">
        <v>6775</v>
      </c>
      <c r="C3212" t="s">
        <v>6776</v>
      </c>
      <c r="J3212">
        <f>LEN(Table13[[#This Row],[REFERENCE_DESCR1]])</f>
        <v>11</v>
      </c>
    </row>
    <row r="3213" spans="1:10" hidden="1">
      <c r="A3213" t="s">
        <v>2925</v>
      </c>
      <c r="B3213" t="s">
        <v>6777</v>
      </c>
      <c r="C3213" t="s">
        <v>6778</v>
      </c>
      <c r="J3213">
        <f>LEN(Table13[[#This Row],[REFERENCE_DESCR1]])</f>
        <v>10</v>
      </c>
    </row>
    <row r="3214" spans="1:10" hidden="1">
      <c r="A3214" t="s">
        <v>2925</v>
      </c>
      <c r="B3214" t="s">
        <v>6779</v>
      </c>
      <c r="C3214" t="s">
        <v>6780</v>
      </c>
      <c r="J3214">
        <f>LEN(Table13[[#This Row],[REFERENCE_DESCR1]])</f>
        <v>8</v>
      </c>
    </row>
    <row r="3215" spans="1:10" hidden="1">
      <c r="A3215" t="s">
        <v>2925</v>
      </c>
      <c r="B3215" t="s">
        <v>6781</v>
      </c>
      <c r="C3215" t="s">
        <v>6782</v>
      </c>
      <c r="J3215">
        <f>LEN(Table13[[#This Row],[REFERENCE_DESCR1]])</f>
        <v>9</v>
      </c>
    </row>
    <row r="3216" spans="1:10" hidden="1">
      <c r="A3216" t="s">
        <v>2925</v>
      </c>
      <c r="B3216" t="s">
        <v>6783</v>
      </c>
      <c r="C3216" t="s">
        <v>6784</v>
      </c>
      <c r="J3216">
        <f>LEN(Table13[[#This Row],[REFERENCE_DESCR1]])</f>
        <v>8</v>
      </c>
    </row>
    <row r="3217" spans="1:10" hidden="1">
      <c r="A3217" t="s">
        <v>2925</v>
      </c>
      <c r="B3217" t="s">
        <v>6785</v>
      </c>
      <c r="C3217" t="s">
        <v>6786</v>
      </c>
      <c r="J3217">
        <f>LEN(Table13[[#This Row],[REFERENCE_DESCR1]])</f>
        <v>6</v>
      </c>
    </row>
    <row r="3218" spans="1:10" hidden="1">
      <c r="A3218" t="s">
        <v>2925</v>
      </c>
      <c r="B3218" t="s">
        <v>6787</v>
      </c>
      <c r="C3218" t="s">
        <v>6788</v>
      </c>
      <c r="J3218">
        <f>LEN(Table13[[#This Row],[REFERENCE_DESCR1]])</f>
        <v>8</v>
      </c>
    </row>
    <row r="3219" spans="1:10" hidden="1">
      <c r="A3219" t="s">
        <v>2925</v>
      </c>
      <c r="B3219" t="s">
        <v>6789</v>
      </c>
      <c r="C3219" t="s">
        <v>6790</v>
      </c>
      <c r="J3219">
        <f>LEN(Table13[[#This Row],[REFERENCE_DESCR1]])</f>
        <v>8</v>
      </c>
    </row>
    <row r="3220" spans="1:10" hidden="1">
      <c r="A3220" t="s">
        <v>2925</v>
      </c>
      <c r="B3220" t="s">
        <v>6791</v>
      </c>
      <c r="C3220" t="s">
        <v>6792</v>
      </c>
      <c r="J3220">
        <f>LEN(Table13[[#This Row],[REFERENCE_DESCR1]])</f>
        <v>13</v>
      </c>
    </row>
    <row r="3221" spans="1:10" hidden="1">
      <c r="A3221" t="s">
        <v>2925</v>
      </c>
      <c r="B3221" t="s">
        <v>6793</v>
      </c>
      <c r="C3221" t="s">
        <v>6794</v>
      </c>
      <c r="J3221">
        <f>LEN(Table13[[#This Row],[REFERENCE_DESCR1]])</f>
        <v>8</v>
      </c>
    </row>
    <row r="3222" spans="1:10" hidden="1">
      <c r="A3222" t="s">
        <v>2925</v>
      </c>
      <c r="B3222" t="s">
        <v>6795</v>
      </c>
      <c r="C3222" t="s">
        <v>6796</v>
      </c>
      <c r="J3222">
        <f>LEN(Table13[[#This Row],[REFERENCE_DESCR1]])</f>
        <v>7</v>
      </c>
    </row>
    <row r="3223" spans="1:10" hidden="1">
      <c r="A3223" t="s">
        <v>2925</v>
      </c>
      <c r="B3223" t="s">
        <v>6797</v>
      </c>
      <c r="C3223" t="s">
        <v>6798</v>
      </c>
      <c r="J3223">
        <f>LEN(Table13[[#This Row],[REFERENCE_DESCR1]])</f>
        <v>9</v>
      </c>
    </row>
    <row r="3224" spans="1:10" hidden="1">
      <c r="A3224" t="s">
        <v>2925</v>
      </c>
      <c r="B3224" t="s">
        <v>6799</v>
      </c>
      <c r="C3224" t="s">
        <v>6800</v>
      </c>
      <c r="J3224">
        <f>LEN(Table13[[#This Row],[REFERENCE_DESCR1]])</f>
        <v>9</v>
      </c>
    </row>
    <row r="3225" spans="1:10" hidden="1">
      <c r="A3225" t="s">
        <v>2925</v>
      </c>
      <c r="B3225" t="s">
        <v>6801</v>
      </c>
      <c r="C3225" t="s">
        <v>6802</v>
      </c>
      <c r="J3225">
        <f>LEN(Table13[[#This Row],[REFERENCE_DESCR1]])</f>
        <v>8</v>
      </c>
    </row>
    <row r="3226" spans="1:10" hidden="1">
      <c r="A3226" t="s">
        <v>2925</v>
      </c>
      <c r="B3226" t="s">
        <v>6803</v>
      </c>
      <c r="C3226" t="s">
        <v>6804</v>
      </c>
      <c r="J3226">
        <f>LEN(Table13[[#This Row],[REFERENCE_DESCR1]])</f>
        <v>37</v>
      </c>
    </row>
    <row r="3227" spans="1:10" hidden="1">
      <c r="A3227" t="s">
        <v>2925</v>
      </c>
      <c r="B3227" t="s">
        <v>6805</v>
      </c>
      <c r="C3227" t="s">
        <v>6806</v>
      </c>
      <c r="J3227">
        <f>LEN(Table13[[#This Row],[REFERENCE_DESCR1]])</f>
        <v>40</v>
      </c>
    </row>
    <row r="3228" spans="1:10" hidden="1">
      <c r="A3228" t="s">
        <v>2925</v>
      </c>
      <c r="B3228" t="s">
        <v>6807</v>
      </c>
      <c r="C3228" t="s">
        <v>6808</v>
      </c>
      <c r="J3228">
        <f>LEN(Table13[[#This Row],[REFERENCE_DESCR1]])</f>
        <v>9</v>
      </c>
    </row>
    <row r="3229" spans="1:10" hidden="1">
      <c r="A3229" t="s">
        <v>2925</v>
      </c>
      <c r="B3229" t="s">
        <v>6809</v>
      </c>
      <c r="C3229" t="s">
        <v>6810</v>
      </c>
      <c r="J3229">
        <f>LEN(Table13[[#This Row],[REFERENCE_DESCR1]])</f>
        <v>10</v>
      </c>
    </row>
    <row r="3230" spans="1:10" hidden="1">
      <c r="A3230" t="s">
        <v>2925</v>
      </c>
      <c r="B3230" t="s">
        <v>6811</v>
      </c>
      <c r="C3230" t="s">
        <v>6812</v>
      </c>
      <c r="J3230">
        <f>LEN(Table13[[#This Row],[REFERENCE_DESCR1]])</f>
        <v>31</v>
      </c>
    </row>
    <row r="3231" spans="1:10" hidden="1">
      <c r="A3231" t="s">
        <v>2925</v>
      </c>
      <c r="B3231" t="s">
        <v>6813</v>
      </c>
      <c r="C3231" t="s">
        <v>6814</v>
      </c>
      <c r="J3231">
        <f>LEN(Table13[[#This Row],[REFERENCE_DESCR1]])</f>
        <v>11</v>
      </c>
    </row>
    <row r="3232" spans="1:10" hidden="1">
      <c r="A3232" t="s">
        <v>2925</v>
      </c>
      <c r="B3232" t="s">
        <v>6815</v>
      </c>
      <c r="C3232" t="s">
        <v>6816</v>
      </c>
      <c r="J3232">
        <f>LEN(Table13[[#This Row],[REFERENCE_DESCR1]])</f>
        <v>23</v>
      </c>
    </row>
    <row r="3233" spans="1:10" hidden="1">
      <c r="A3233" t="s">
        <v>2925</v>
      </c>
      <c r="B3233" t="s">
        <v>6817</v>
      </c>
      <c r="C3233" t="s">
        <v>6818</v>
      </c>
      <c r="J3233">
        <f>LEN(Table13[[#This Row],[REFERENCE_DESCR1]])</f>
        <v>11</v>
      </c>
    </row>
    <row r="3234" spans="1:10" hidden="1">
      <c r="A3234" t="s">
        <v>2925</v>
      </c>
      <c r="B3234" t="s">
        <v>6819</v>
      </c>
      <c r="C3234" t="s">
        <v>6820</v>
      </c>
      <c r="J3234">
        <f>LEN(Table13[[#This Row],[REFERENCE_DESCR1]])</f>
        <v>9</v>
      </c>
    </row>
    <row r="3235" spans="1:10" hidden="1">
      <c r="A3235" t="s">
        <v>2925</v>
      </c>
      <c r="B3235" t="s">
        <v>6821</v>
      </c>
      <c r="C3235" t="s">
        <v>6822</v>
      </c>
      <c r="J3235">
        <f>LEN(Table13[[#This Row],[REFERENCE_DESCR1]])</f>
        <v>5</v>
      </c>
    </row>
    <row r="3236" spans="1:10" hidden="1">
      <c r="A3236" t="s">
        <v>2925</v>
      </c>
      <c r="B3236" t="s">
        <v>6823</v>
      </c>
      <c r="C3236" t="s">
        <v>6824</v>
      </c>
      <c r="J3236">
        <f>LEN(Table13[[#This Row],[REFERENCE_DESCR1]])</f>
        <v>13</v>
      </c>
    </row>
    <row r="3237" spans="1:10" hidden="1">
      <c r="A3237" t="s">
        <v>2925</v>
      </c>
      <c r="B3237" t="s">
        <v>6825</v>
      </c>
      <c r="C3237" t="s">
        <v>6826</v>
      </c>
      <c r="J3237">
        <f>LEN(Table13[[#This Row],[REFERENCE_DESCR1]])</f>
        <v>6</v>
      </c>
    </row>
    <row r="3238" spans="1:10" hidden="1">
      <c r="A3238" t="s">
        <v>2925</v>
      </c>
      <c r="B3238" t="s">
        <v>6827</v>
      </c>
      <c r="C3238" t="s">
        <v>6828</v>
      </c>
      <c r="J3238">
        <f>LEN(Table13[[#This Row],[REFERENCE_DESCR1]])</f>
        <v>6</v>
      </c>
    </row>
    <row r="3239" spans="1:10" hidden="1">
      <c r="A3239" t="s">
        <v>2925</v>
      </c>
      <c r="B3239" t="s">
        <v>6829</v>
      </c>
      <c r="C3239" t="s">
        <v>6830</v>
      </c>
      <c r="J3239">
        <f>LEN(Table13[[#This Row],[REFERENCE_DESCR1]])</f>
        <v>10</v>
      </c>
    </row>
    <row r="3240" spans="1:10" hidden="1">
      <c r="A3240" t="s">
        <v>2925</v>
      </c>
      <c r="B3240" t="s">
        <v>6831</v>
      </c>
      <c r="C3240" t="s">
        <v>6832</v>
      </c>
      <c r="J3240">
        <f>LEN(Table13[[#This Row],[REFERENCE_DESCR1]])</f>
        <v>7</v>
      </c>
    </row>
    <row r="3241" spans="1:10" hidden="1">
      <c r="A3241" t="s">
        <v>2925</v>
      </c>
      <c r="B3241" t="s">
        <v>6833</v>
      </c>
      <c r="C3241" t="s">
        <v>6834</v>
      </c>
      <c r="J3241">
        <f>LEN(Table13[[#This Row],[REFERENCE_DESCR1]])</f>
        <v>8</v>
      </c>
    </row>
    <row r="3242" spans="1:10" hidden="1">
      <c r="A3242" t="s">
        <v>2925</v>
      </c>
      <c r="B3242" t="s">
        <v>6835</v>
      </c>
      <c r="C3242" t="s">
        <v>6836</v>
      </c>
      <c r="J3242">
        <f>LEN(Table13[[#This Row],[REFERENCE_DESCR1]])</f>
        <v>20</v>
      </c>
    </row>
    <row r="3243" spans="1:10" hidden="1">
      <c r="A3243" t="s">
        <v>2925</v>
      </c>
      <c r="B3243" t="s">
        <v>6837</v>
      </c>
      <c r="C3243" t="s">
        <v>6838</v>
      </c>
      <c r="J3243">
        <f>LEN(Table13[[#This Row],[REFERENCE_DESCR1]])</f>
        <v>12</v>
      </c>
    </row>
    <row r="3244" spans="1:10" hidden="1">
      <c r="A3244" t="s">
        <v>2925</v>
      </c>
      <c r="B3244" t="s">
        <v>6839</v>
      </c>
      <c r="C3244" t="s">
        <v>6840</v>
      </c>
      <c r="J3244">
        <f>LEN(Table13[[#This Row],[REFERENCE_DESCR1]])</f>
        <v>10</v>
      </c>
    </row>
    <row r="3245" spans="1:10" hidden="1">
      <c r="A3245" t="s">
        <v>2925</v>
      </c>
      <c r="B3245" t="s">
        <v>6841</v>
      </c>
      <c r="C3245" t="s">
        <v>6842</v>
      </c>
      <c r="J3245">
        <f>LEN(Table13[[#This Row],[REFERENCE_DESCR1]])</f>
        <v>10</v>
      </c>
    </row>
    <row r="3246" spans="1:10" hidden="1">
      <c r="A3246" t="s">
        <v>2925</v>
      </c>
      <c r="B3246" t="s">
        <v>6843</v>
      </c>
      <c r="C3246" t="s">
        <v>6844</v>
      </c>
      <c r="J3246">
        <f>LEN(Table13[[#This Row],[REFERENCE_DESCR1]])</f>
        <v>12</v>
      </c>
    </row>
    <row r="3247" spans="1:10" hidden="1">
      <c r="A3247" t="s">
        <v>2925</v>
      </c>
      <c r="B3247" t="s">
        <v>6845</v>
      </c>
      <c r="C3247" t="s">
        <v>6846</v>
      </c>
      <c r="J3247">
        <f>LEN(Table13[[#This Row],[REFERENCE_DESCR1]])</f>
        <v>7</v>
      </c>
    </row>
    <row r="3248" spans="1:10" hidden="1">
      <c r="A3248" t="s">
        <v>2925</v>
      </c>
      <c r="B3248" t="s">
        <v>6847</v>
      </c>
      <c r="C3248" t="s">
        <v>6848</v>
      </c>
      <c r="J3248">
        <f>LEN(Table13[[#This Row],[REFERENCE_DESCR1]])</f>
        <v>8</v>
      </c>
    </row>
    <row r="3249" spans="1:10" hidden="1">
      <c r="A3249" t="s">
        <v>2925</v>
      </c>
      <c r="B3249" t="s">
        <v>6849</v>
      </c>
      <c r="C3249" t="s">
        <v>6850</v>
      </c>
      <c r="J3249">
        <f>LEN(Table13[[#This Row],[REFERENCE_DESCR1]])</f>
        <v>15</v>
      </c>
    </row>
    <row r="3250" spans="1:10" hidden="1">
      <c r="A3250" t="s">
        <v>2925</v>
      </c>
      <c r="B3250" t="s">
        <v>6851</v>
      </c>
      <c r="C3250" t="s">
        <v>6852</v>
      </c>
      <c r="J3250">
        <f>LEN(Table13[[#This Row],[REFERENCE_DESCR1]])</f>
        <v>15</v>
      </c>
    </row>
    <row r="3251" spans="1:10" hidden="1">
      <c r="A3251" t="s">
        <v>2925</v>
      </c>
      <c r="B3251" t="s">
        <v>6853</v>
      </c>
      <c r="C3251" t="s">
        <v>6854</v>
      </c>
      <c r="J3251">
        <f>LEN(Table13[[#This Row],[REFERENCE_DESCR1]])</f>
        <v>21</v>
      </c>
    </row>
    <row r="3252" spans="1:10" hidden="1">
      <c r="A3252" t="s">
        <v>2925</v>
      </c>
      <c r="B3252" t="s">
        <v>6855</v>
      </c>
      <c r="C3252" t="s">
        <v>6856</v>
      </c>
      <c r="J3252">
        <f>LEN(Table13[[#This Row],[REFERENCE_DESCR1]])</f>
        <v>8</v>
      </c>
    </row>
    <row r="3253" spans="1:10" hidden="1">
      <c r="A3253" t="s">
        <v>2925</v>
      </c>
      <c r="B3253" t="s">
        <v>6857</v>
      </c>
      <c r="C3253" t="s">
        <v>6858</v>
      </c>
      <c r="J3253">
        <f>LEN(Table13[[#This Row],[REFERENCE_DESCR1]])</f>
        <v>10</v>
      </c>
    </row>
    <row r="3254" spans="1:10" hidden="1">
      <c r="A3254" t="s">
        <v>2925</v>
      </c>
      <c r="B3254" t="s">
        <v>6859</v>
      </c>
      <c r="C3254" t="s">
        <v>6860</v>
      </c>
      <c r="J3254">
        <f>LEN(Table13[[#This Row],[REFERENCE_DESCR1]])</f>
        <v>16</v>
      </c>
    </row>
    <row r="3255" spans="1:10" hidden="1">
      <c r="A3255" t="s">
        <v>2925</v>
      </c>
      <c r="B3255" t="s">
        <v>6861</v>
      </c>
      <c r="C3255" t="s">
        <v>6862</v>
      </c>
      <c r="J3255">
        <f>LEN(Table13[[#This Row],[REFERENCE_DESCR1]])</f>
        <v>13</v>
      </c>
    </row>
    <row r="3256" spans="1:10" hidden="1">
      <c r="A3256" t="s">
        <v>2925</v>
      </c>
      <c r="B3256" t="s">
        <v>6863</v>
      </c>
      <c r="C3256" t="s">
        <v>6864</v>
      </c>
      <c r="J3256">
        <f>LEN(Table13[[#This Row],[REFERENCE_DESCR1]])</f>
        <v>9</v>
      </c>
    </row>
    <row r="3257" spans="1:10" hidden="1">
      <c r="A3257" t="s">
        <v>2925</v>
      </c>
      <c r="B3257" t="s">
        <v>6865</v>
      </c>
      <c r="C3257" t="s">
        <v>6866</v>
      </c>
      <c r="J3257">
        <f>LEN(Table13[[#This Row],[REFERENCE_DESCR1]])</f>
        <v>6</v>
      </c>
    </row>
    <row r="3258" spans="1:10" hidden="1">
      <c r="A3258" t="s">
        <v>2925</v>
      </c>
      <c r="B3258" t="s">
        <v>6867</v>
      </c>
      <c r="C3258" t="s">
        <v>6868</v>
      </c>
      <c r="J3258">
        <f>LEN(Table13[[#This Row],[REFERENCE_DESCR1]])</f>
        <v>19</v>
      </c>
    </row>
    <row r="3259" spans="1:10" hidden="1">
      <c r="A3259" t="s">
        <v>2925</v>
      </c>
      <c r="B3259" t="s">
        <v>6869</v>
      </c>
      <c r="C3259" t="s">
        <v>6870</v>
      </c>
      <c r="J3259">
        <f>LEN(Table13[[#This Row],[REFERENCE_DESCR1]])</f>
        <v>7</v>
      </c>
    </row>
    <row r="3260" spans="1:10" hidden="1">
      <c r="A3260" t="s">
        <v>2925</v>
      </c>
      <c r="B3260" t="s">
        <v>6871</v>
      </c>
      <c r="C3260" t="s">
        <v>6872</v>
      </c>
      <c r="J3260">
        <f>LEN(Table13[[#This Row],[REFERENCE_DESCR1]])</f>
        <v>11</v>
      </c>
    </row>
    <row r="3261" spans="1:10" hidden="1">
      <c r="A3261" t="s">
        <v>2925</v>
      </c>
      <c r="B3261" t="s">
        <v>6873</v>
      </c>
      <c r="C3261" t="s">
        <v>6874</v>
      </c>
      <c r="J3261">
        <f>LEN(Table13[[#This Row],[REFERENCE_DESCR1]])</f>
        <v>8</v>
      </c>
    </row>
    <row r="3262" spans="1:10" hidden="1">
      <c r="A3262" t="s">
        <v>2925</v>
      </c>
      <c r="B3262" t="s">
        <v>6875</v>
      </c>
      <c r="C3262" t="s">
        <v>6876</v>
      </c>
      <c r="J3262">
        <f>LEN(Table13[[#This Row],[REFERENCE_DESCR1]])</f>
        <v>7</v>
      </c>
    </row>
    <row r="3263" spans="1:10" hidden="1">
      <c r="A3263" t="s">
        <v>2925</v>
      </c>
      <c r="B3263" t="s">
        <v>6877</v>
      </c>
      <c r="C3263" t="s">
        <v>6878</v>
      </c>
      <c r="J3263">
        <f>LEN(Table13[[#This Row],[REFERENCE_DESCR1]])</f>
        <v>12</v>
      </c>
    </row>
    <row r="3264" spans="1:10" hidden="1">
      <c r="A3264" t="s">
        <v>2925</v>
      </c>
      <c r="B3264" t="s">
        <v>6879</v>
      </c>
      <c r="C3264" t="s">
        <v>6880</v>
      </c>
      <c r="J3264">
        <f>LEN(Table13[[#This Row],[REFERENCE_DESCR1]])</f>
        <v>16</v>
      </c>
    </row>
    <row r="3265" spans="1:10" hidden="1">
      <c r="A3265" t="s">
        <v>2925</v>
      </c>
      <c r="B3265" t="s">
        <v>6881</v>
      </c>
      <c r="C3265" t="s">
        <v>6882</v>
      </c>
      <c r="J3265">
        <f>LEN(Table13[[#This Row],[REFERENCE_DESCR1]])</f>
        <v>17</v>
      </c>
    </row>
    <row r="3266" spans="1:10" hidden="1">
      <c r="A3266" t="s">
        <v>2925</v>
      </c>
      <c r="B3266" t="s">
        <v>6883</v>
      </c>
      <c r="C3266" t="s">
        <v>6884</v>
      </c>
      <c r="J3266">
        <f>LEN(Table13[[#This Row],[REFERENCE_DESCR1]])</f>
        <v>9</v>
      </c>
    </row>
    <row r="3267" spans="1:10" hidden="1">
      <c r="A3267" t="s">
        <v>2925</v>
      </c>
      <c r="B3267" t="s">
        <v>6885</v>
      </c>
      <c r="C3267" t="s">
        <v>6886</v>
      </c>
      <c r="J3267">
        <f>LEN(Table13[[#This Row],[REFERENCE_DESCR1]])</f>
        <v>12</v>
      </c>
    </row>
    <row r="3268" spans="1:10" hidden="1">
      <c r="A3268" t="s">
        <v>2925</v>
      </c>
      <c r="B3268" t="s">
        <v>6887</v>
      </c>
      <c r="C3268" t="s">
        <v>6888</v>
      </c>
      <c r="J3268">
        <f>LEN(Table13[[#This Row],[REFERENCE_DESCR1]])</f>
        <v>13</v>
      </c>
    </row>
    <row r="3269" spans="1:10" hidden="1">
      <c r="A3269" t="s">
        <v>2925</v>
      </c>
      <c r="B3269" t="s">
        <v>6889</v>
      </c>
      <c r="C3269" t="s">
        <v>6890</v>
      </c>
      <c r="J3269">
        <f>LEN(Table13[[#This Row],[REFERENCE_DESCR1]])</f>
        <v>6</v>
      </c>
    </row>
    <row r="3270" spans="1:10" hidden="1">
      <c r="A3270" t="s">
        <v>2925</v>
      </c>
      <c r="B3270" t="s">
        <v>6891</v>
      </c>
      <c r="C3270" t="s">
        <v>6892</v>
      </c>
      <c r="J3270">
        <f>LEN(Table13[[#This Row],[REFERENCE_DESCR1]])</f>
        <v>20</v>
      </c>
    </row>
    <row r="3271" spans="1:10" hidden="1">
      <c r="A3271" t="s">
        <v>2925</v>
      </c>
      <c r="B3271" t="s">
        <v>6893</v>
      </c>
      <c r="C3271" t="s">
        <v>6894</v>
      </c>
      <c r="J3271">
        <f>LEN(Table13[[#This Row],[REFERENCE_DESCR1]])</f>
        <v>6</v>
      </c>
    </row>
    <row r="3272" spans="1:10" hidden="1">
      <c r="A3272" t="s">
        <v>2925</v>
      </c>
      <c r="B3272" t="s">
        <v>6895</v>
      </c>
      <c r="C3272" t="s">
        <v>6896</v>
      </c>
      <c r="J3272">
        <f>LEN(Table13[[#This Row],[REFERENCE_DESCR1]])</f>
        <v>7</v>
      </c>
    </row>
    <row r="3273" spans="1:10" hidden="1">
      <c r="A3273" t="s">
        <v>2925</v>
      </c>
      <c r="B3273" t="s">
        <v>6897</v>
      </c>
      <c r="C3273" t="s">
        <v>6898</v>
      </c>
      <c r="J3273">
        <f>LEN(Table13[[#This Row],[REFERENCE_DESCR1]])</f>
        <v>10</v>
      </c>
    </row>
    <row r="3274" spans="1:10" hidden="1">
      <c r="A3274" t="s">
        <v>2925</v>
      </c>
      <c r="B3274" t="s">
        <v>6899</v>
      </c>
      <c r="C3274" t="s">
        <v>6900</v>
      </c>
      <c r="J3274">
        <f>LEN(Table13[[#This Row],[REFERENCE_DESCR1]])</f>
        <v>8</v>
      </c>
    </row>
    <row r="3275" spans="1:10" hidden="1">
      <c r="A3275" t="s">
        <v>2925</v>
      </c>
      <c r="B3275" t="s">
        <v>6901</v>
      </c>
      <c r="C3275" t="s">
        <v>6902</v>
      </c>
      <c r="J3275">
        <f>LEN(Table13[[#This Row],[REFERENCE_DESCR1]])</f>
        <v>13</v>
      </c>
    </row>
    <row r="3276" spans="1:10" hidden="1">
      <c r="A3276" t="s">
        <v>2925</v>
      </c>
      <c r="B3276" t="s">
        <v>6903</v>
      </c>
      <c r="C3276" t="s">
        <v>6904</v>
      </c>
      <c r="J3276">
        <f>LEN(Table13[[#This Row],[REFERENCE_DESCR1]])</f>
        <v>8</v>
      </c>
    </row>
    <row r="3277" spans="1:10" hidden="1">
      <c r="A3277" t="s">
        <v>2925</v>
      </c>
      <c r="B3277" t="s">
        <v>6905</v>
      </c>
      <c r="C3277" t="s">
        <v>6906</v>
      </c>
      <c r="J3277">
        <f>LEN(Table13[[#This Row],[REFERENCE_DESCR1]])</f>
        <v>20</v>
      </c>
    </row>
    <row r="3278" spans="1:10" hidden="1">
      <c r="A3278" t="s">
        <v>2925</v>
      </c>
      <c r="B3278" t="s">
        <v>6907</v>
      </c>
      <c r="C3278" t="s">
        <v>6908</v>
      </c>
      <c r="J3278">
        <f>LEN(Table13[[#This Row],[REFERENCE_DESCR1]])</f>
        <v>10</v>
      </c>
    </row>
    <row r="3279" spans="1:10" hidden="1">
      <c r="A3279" t="s">
        <v>2925</v>
      </c>
      <c r="B3279" t="s">
        <v>6909</v>
      </c>
      <c r="C3279" t="s">
        <v>6910</v>
      </c>
      <c r="J3279">
        <f>LEN(Table13[[#This Row],[REFERENCE_DESCR1]])</f>
        <v>6</v>
      </c>
    </row>
    <row r="3280" spans="1:10" hidden="1">
      <c r="A3280" t="s">
        <v>2925</v>
      </c>
      <c r="B3280" t="s">
        <v>6911</v>
      </c>
      <c r="C3280" t="s">
        <v>6912</v>
      </c>
      <c r="J3280">
        <f>LEN(Table13[[#This Row],[REFERENCE_DESCR1]])</f>
        <v>12</v>
      </c>
    </row>
    <row r="3281" spans="1:10" hidden="1">
      <c r="A3281" t="s">
        <v>2925</v>
      </c>
      <c r="B3281" t="s">
        <v>6913</v>
      </c>
      <c r="C3281" t="s">
        <v>6914</v>
      </c>
      <c r="J3281">
        <f>LEN(Table13[[#This Row],[REFERENCE_DESCR1]])</f>
        <v>11</v>
      </c>
    </row>
    <row r="3282" spans="1:10" hidden="1">
      <c r="A3282" t="s">
        <v>2925</v>
      </c>
      <c r="B3282" t="s">
        <v>6915</v>
      </c>
      <c r="C3282" t="s">
        <v>6916</v>
      </c>
      <c r="J3282">
        <f>LEN(Table13[[#This Row],[REFERENCE_DESCR1]])</f>
        <v>10</v>
      </c>
    </row>
    <row r="3283" spans="1:10" hidden="1">
      <c r="A3283" t="s">
        <v>2925</v>
      </c>
      <c r="B3283" t="s">
        <v>6917</v>
      </c>
      <c r="C3283" t="s">
        <v>6918</v>
      </c>
      <c r="J3283">
        <f>LEN(Table13[[#This Row],[REFERENCE_DESCR1]])</f>
        <v>12</v>
      </c>
    </row>
    <row r="3284" spans="1:10" hidden="1">
      <c r="A3284" t="s">
        <v>2925</v>
      </c>
      <c r="B3284" t="s">
        <v>6919</v>
      </c>
      <c r="C3284" t="s">
        <v>6920</v>
      </c>
      <c r="J3284">
        <f>LEN(Table13[[#This Row],[REFERENCE_DESCR1]])</f>
        <v>19</v>
      </c>
    </row>
    <row r="3285" spans="1:10" hidden="1">
      <c r="A3285" t="s">
        <v>2925</v>
      </c>
      <c r="B3285" t="s">
        <v>6921</v>
      </c>
      <c r="C3285" t="s">
        <v>6922</v>
      </c>
      <c r="J3285">
        <f>LEN(Table13[[#This Row],[REFERENCE_DESCR1]])</f>
        <v>19</v>
      </c>
    </row>
    <row r="3286" spans="1:10" hidden="1">
      <c r="A3286" t="s">
        <v>2925</v>
      </c>
      <c r="B3286" t="s">
        <v>6923</v>
      </c>
      <c r="C3286" t="s">
        <v>6924</v>
      </c>
      <c r="J3286">
        <f>LEN(Table13[[#This Row],[REFERENCE_DESCR1]])</f>
        <v>20</v>
      </c>
    </row>
    <row r="3287" spans="1:10" hidden="1">
      <c r="A3287" t="s">
        <v>2925</v>
      </c>
      <c r="B3287" t="s">
        <v>6925</v>
      </c>
      <c r="C3287" t="s">
        <v>6926</v>
      </c>
      <c r="J3287">
        <f>LEN(Table13[[#This Row],[REFERENCE_DESCR1]])</f>
        <v>22</v>
      </c>
    </row>
    <row r="3288" spans="1:10" hidden="1">
      <c r="A3288" t="s">
        <v>2925</v>
      </c>
      <c r="B3288" t="s">
        <v>6927</v>
      </c>
      <c r="C3288" t="s">
        <v>6928</v>
      </c>
      <c r="J3288">
        <f>LEN(Table13[[#This Row],[REFERENCE_DESCR1]])</f>
        <v>19</v>
      </c>
    </row>
    <row r="3289" spans="1:10" hidden="1">
      <c r="A3289" t="s">
        <v>2925</v>
      </c>
      <c r="B3289" t="s">
        <v>6929</v>
      </c>
      <c r="C3289" t="s">
        <v>6930</v>
      </c>
      <c r="J3289">
        <f>LEN(Table13[[#This Row],[REFERENCE_DESCR1]])</f>
        <v>18</v>
      </c>
    </row>
    <row r="3290" spans="1:10" hidden="1">
      <c r="A3290" t="s">
        <v>2925</v>
      </c>
      <c r="B3290" t="s">
        <v>6931</v>
      </c>
      <c r="C3290" t="s">
        <v>6932</v>
      </c>
      <c r="J3290">
        <f>LEN(Table13[[#This Row],[REFERENCE_DESCR1]])</f>
        <v>22</v>
      </c>
    </row>
    <row r="3291" spans="1:10" hidden="1">
      <c r="A3291" t="s">
        <v>2925</v>
      </c>
      <c r="B3291" t="s">
        <v>6933</v>
      </c>
      <c r="C3291" t="s">
        <v>6934</v>
      </c>
      <c r="J3291">
        <f>LEN(Table13[[#This Row],[REFERENCE_DESCR1]])</f>
        <v>10</v>
      </c>
    </row>
    <row r="3292" spans="1:10" hidden="1">
      <c r="A3292" t="s">
        <v>2925</v>
      </c>
      <c r="B3292" t="s">
        <v>6935</v>
      </c>
      <c r="C3292" t="s">
        <v>6936</v>
      </c>
      <c r="J3292">
        <f>LEN(Table13[[#This Row],[REFERENCE_DESCR1]])</f>
        <v>8</v>
      </c>
    </row>
    <row r="3293" spans="1:10" hidden="1">
      <c r="A3293" t="s">
        <v>2925</v>
      </c>
      <c r="B3293" t="s">
        <v>6937</v>
      </c>
      <c r="C3293" t="s">
        <v>6938</v>
      </c>
      <c r="J3293">
        <f>LEN(Table13[[#This Row],[REFERENCE_DESCR1]])</f>
        <v>6</v>
      </c>
    </row>
    <row r="3294" spans="1:10" hidden="1">
      <c r="A3294" t="s">
        <v>2925</v>
      </c>
      <c r="B3294" t="s">
        <v>6939</v>
      </c>
      <c r="C3294" t="s">
        <v>6940</v>
      </c>
      <c r="J3294">
        <f>LEN(Table13[[#This Row],[REFERENCE_DESCR1]])</f>
        <v>15</v>
      </c>
    </row>
    <row r="3295" spans="1:10" hidden="1">
      <c r="A3295" t="s">
        <v>2925</v>
      </c>
      <c r="B3295" t="s">
        <v>6941</v>
      </c>
      <c r="C3295" t="s">
        <v>6942</v>
      </c>
      <c r="J3295">
        <f>LEN(Table13[[#This Row],[REFERENCE_DESCR1]])</f>
        <v>9</v>
      </c>
    </row>
    <row r="3296" spans="1:10" hidden="1">
      <c r="A3296" t="s">
        <v>2925</v>
      </c>
      <c r="B3296" t="s">
        <v>6943</v>
      </c>
      <c r="C3296" t="s">
        <v>6944</v>
      </c>
      <c r="J3296">
        <f>LEN(Table13[[#This Row],[REFERENCE_DESCR1]])</f>
        <v>15</v>
      </c>
    </row>
    <row r="3297" spans="1:10" hidden="1">
      <c r="A3297" t="s">
        <v>2925</v>
      </c>
      <c r="B3297" t="s">
        <v>6945</v>
      </c>
      <c r="C3297" t="s">
        <v>6946</v>
      </c>
      <c r="J3297">
        <f>LEN(Table13[[#This Row],[REFERENCE_DESCR1]])</f>
        <v>14</v>
      </c>
    </row>
    <row r="3298" spans="1:10" hidden="1">
      <c r="A3298" t="s">
        <v>2925</v>
      </c>
      <c r="B3298" t="s">
        <v>6947</v>
      </c>
      <c r="C3298" t="s">
        <v>6948</v>
      </c>
      <c r="J3298">
        <f>LEN(Table13[[#This Row],[REFERENCE_DESCR1]])</f>
        <v>8</v>
      </c>
    </row>
    <row r="3299" spans="1:10" hidden="1">
      <c r="A3299" t="s">
        <v>2925</v>
      </c>
      <c r="B3299" t="s">
        <v>6949</v>
      </c>
      <c r="C3299" t="s">
        <v>6950</v>
      </c>
      <c r="J3299">
        <f>LEN(Table13[[#This Row],[REFERENCE_DESCR1]])</f>
        <v>6</v>
      </c>
    </row>
    <row r="3300" spans="1:10" hidden="1">
      <c r="A3300" t="s">
        <v>2925</v>
      </c>
      <c r="B3300" t="s">
        <v>6951</v>
      </c>
      <c r="C3300" t="s">
        <v>6952</v>
      </c>
      <c r="J3300">
        <f>LEN(Table13[[#This Row],[REFERENCE_DESCR1]])</f>
        <v>13</v>
      </c>
    </row>
    <row r="3301" spans="1:10" hidden="1">
      <c r="A3301" t="s">
        <v>2925</v>
      </c>
      <c r="B3301" t="s">
        <v>6953</v>
      </c>
      <c r="C3301" t="s">
        <v>6954</v>
      </c>
      <c r="J3301">
        <f>LEN(Table13[[#This Row],[REFERENCE_DESCR1]])</f>
        <v>13</v>
      </c>
    </row>
    <row r="3302" spans="1:10" hidden="1">
      <c r="A3302" t="s">
        <v>2925</v>
      </c>
      <c r="B3302" t="s">
        <v>6955</v>
      </c>
      <c r="C3302" t="s">
        <v>6956</v>
      </c>
      <c r="J3302">
        <f>LEN(Table13[[#This Row],[REFERENCE_DESCR1]])</f>
        <v>13</v>
      </c>
    </row>
    <row r="3303" spans="1:10" hidden="1">
      <c r="A3303" t="s">
        <v>2925</v>
      </c>
      <c r="B3303" t="s">
        <v>6957</v>
      </c>
      <c r="C3303" t="s">
        <v>6958</v>
      </c>
      <c r="J3303">
        <f>LEN(Table13[[#This Row],[REFERENCE_DESCR1]])</f>
        <v>8</v>
      </c>
    </row>
    <row r="3304" spans="1:10" hidden="1">
      <c r="A3304" t="s">
        <v>2925</v>
      </c>
      <c r="B3304" t="s">
        <v>6959</v>
      </c>
      <c r="C3304" t="s">
        <v>6960</v>
      </c>
      <c r="J3304">
        <f>LEN(Table13[[#This Row],[REFERENCE_DESCR1]])</f>
        <v>15</v>
      </c>
    </row>
    <row r="3305" spans="1:10" hidden="1">
      <c r="A3305" t="s">
        <v>2925</v>
      </c>
      <c r="B3305" t="s">
        <v>6961</v>
      </c>
      <c r="C3305" t="s">
        <v>6962</v>
      </c>
      <c r="J3305">
        <f>LEN(Table13[[#This Row],[REFERENCE_DESCR1]])</f>
        <v>11</v>
      </c>
    </row>
    <row r="3306" spans="1:10" hidden="1">
      <c r="A3306" t="s">
        <v>2925</v>
      </c>
      <c r="B3306" t="s">
        <v>6963</v>
      </c>
      <c r="C3306" t="s">
        <v>6964</v>
      </c>
      <c r="J3306">
        <f>LEN(Table13[[#This Row],[REFERENCE_DESCR1]])</f>
        <v>10</v>
      </c>
    </row>
    <row r="3307" spans="1:10" hidden="1">
      <c r="A3307" t="s">
        <v>2925</v>
      </c>
      <c r="B3307" t="s">
        <v>6965</v>
      </c>
      <c r="C3307" t="s">
        <v>6966</v>
      </c>
      <c r="J3307">
        <f>LEN(Table13[[#This Row],[REFERENCE_DESCR1]])</f>
        <v>14</v>
      </c>
    </row>
    <row r="3308" spans="1:10" hidden="1">
      <c r="A3308" t="s">
        <v>2925</v>
      </c>
      <c r="B3308" t="s">
        <v>6967</v>
      </c>
      <c r="C3308" t="s">
        <v>6968</v>
      </c>
      <c r="J3308">
        <f>LEN(Table13[[#This Row],[REFERENCE_DESCR1]])</f>
        <v>8</v>
      </c>
    </row>
    <row r="3309" spans="1:10" hidden="1">
      <c r="A3309" t="s">
        <v>2925</v>
      </c>
      <c r="B3309" t="s">
        <v>6969</v>
      </c>
      <c r="C3309" t="s">
        <v>6970</v>
      </c>
      <c r="J3309">
        <f>LEN(Table13[[#This Row],[REFERENCE_DESCR1]])</f>
        <v>12</v>
      </c>
    </row>
    <row r="3310" spans="1:10" hidden="1">
      <c r="A3310" t="s">
        <v>2925</v>
      </c>
      <c r="B3310" t="s">
        <v>6971</v>
      </c>
      <c r="C3310" t="s">
        <v>6972</v>
      </c>
      <c r="J3310">
        <f>LEN(Table13[[#This Row],[REFERENCE_DESCR1]])</f>
        <v>10</v>
      </c>
    </row>
    <row r="3311" spans="1:10" hidden="1">
      <c r="A3311" t="s">
        <v>2925</v>
      </c>
      <c r="B3311" t="s">
        <v>6973</v>
      </c>
      <c r="C3311" t="s">
        <v>6974</v>
      </c>
      <c r="J3311">
        <f>LEN(Table13[[#This Row],[REFERENCE_DESCR1]])</f>
        <v>8</v>
      </c>
    </row>
    <row r="3312" spans="1:10" hidden="1">
      <c r="A3312" t="s">
        <v>2925</v>
      </c>
      <c r="B3312" t="s">
        <v>6975</v>
      </c>
      <c r="C3312" t="s">
        <v>6976</v>
      </c>
      <c r="J3312">
        <f>LEN(Table13[[#This Row],[REFERENCE_DESCR1]])</f>
        <v>9</v>
      </c>
    </row>
    <row r="3313" spans="1:10" hidden="1">
      <c r="A3313" t="s">
        <v>2925</v>
      </c>
      <c r="B3313" t="s">
        <v>6977</v>
      </c>
      <c r="C3313" t="s">
        <v>6978</v>
      </c>
      <c r="J3313">
        <f>LEN(Table13[[#This Row],[REFERENCE_DESCR1]])</f>
        <v>14</v>
      </c>
    </row>
    <row r="3314" spans="1:10" hidden="1">
      <c r="A3314" t="s">
        <v>2925</v>
      </c>
      <c r="B3314" t="s">
        <v>6979</v>
      </c>
      <c r="C3314" t="s">
        <v>6980</v>
      </c>
      <c r="J3314">
        <f>LEN(Table13[[#This Row],[REFERENCE_DESCR1]])</f>
        <v>9</v>
      </c>
    </row>
    <row r="3315" spans="1:10" hidden="1">
      <c r="A3315" t="s">
        <v>2925</v>
      </c>
      <c r="B3315" t="s">
        <v>6981</v>
      </c>
      <c r="C3315" t="s">
        <v>6982</v>
      </c>
      <c r="J3315">
        <f>LEN(Table13[[#This Row],[REFERENCE_DESCR1]])</f>
        <v>11</v>
      </c>
    </row>
    <row r="3316" spans="1:10" hidden="1">
      <c r="A3316" t="s">
        <v>2925</v>
      </c>
      <c r="B3316" t="s">
        <v>6983</v>
      </c>
      <c r="C3316" t="s">
        <v>6984</v>
      </c>
      <c r="J3316">
        <f>LEN(Table13[[#This Row],[REFERENCE_DESCR1]])</f>
        <v>22</v>
      </c>
    </row>
    <row r="3317" spans="1:10" hidden="1">
      <c r="A3317" t="s">
        <v>2925</v>
      </c>
      <c r="B3317" t="s">
        <v>6985</v>
      </c>
      <c r="C3317" t="s">
        <v>6986</v>
      </c>
      <c r="J3317">
        <f>LEN(Table13[[#This Row],[REFERENCE_DESCR1]])</f>
        <v>10</v>
      </c>
    </row>
    <row r="3318" spans="1:10" hidden="1">
      <c r="A3318" t="s">
        <v>2925</v>
      </c>
      <c r="B3318" t="s">
        <v>6987</v>
      </c>
      <c r="C3318" t="s">
        <v>6988</v>
      </c>
      <c r="J3318">
        <f>LEN(Table13[[#This Row],[REFERENCE_DESCR1]])</f>
        <v>23</v>
      </c>
    </row>
    <row r="3319" spans="1:10" hidden="1">
      <c r="A3319" t="s">
        <v>2925</v>
      </c>
      <c r="B3319" t="s">
        <v>6989</v>
      </c>
      <c r="C3319" t="s">
        <v>6990</v>
      </c>
      <c r="J3319">
        <f>LEN(Table13[[#This Row],[REFERENCE_DESCR1]])</f>
        <v>20</v>
      </c>
    </row>
    <row r="3320" spans="1:10" hidden="1">
      <c r="A3320" t="s">
        <v>2925</v>
      </c>
      <c r="B3320" t="s">
        <v>6991</v>
      </c>
      <c r="C3320" t="s">
        <v>6992</v>
      </c>
      <c r="J3320">
        <f>LEN(Table13[[#This Row],[REFERENCE_DESCR1]])</f>
        <v>15</v>
      </c>
    </row>
    <row r="3321" spans="1:10" hidden="1">
      <c r="A3321" t="s">
        <v>2925</v>
      </c>
      <c r="B3321" t="s">
        <v>6993</v>
      </c>
      <c r="C3321" t="s">
        <v>6994</v>
      </c>
      <c r="J3321">
        <f>LEN(Table13[[#This Row],[REFERENCE_DESCR1]])</f>
        <v>17</v>
      </c>
    </row>
    <row r="3322" spans="1:10" hidden="1">
      <c r="A3322" t="s">
        <v>2925</v>
      </c>
      <c r="B3322" t="s">
        <v>6995</v>
      </c>
      <c r="C3322" t="s">
        <v>6996</v>
      </c>
      <c r="J3322">
        <f>LEN(Table13[[#This Row],[REFERENCE_DESCR1]])</f>
        <v>17</v>
      </c>
    </row>
    <row r="3323" spans="1:10" hidden="1">
      <c r="A3323" t="s">
        <v>2925</v>
      </c>
      <c r="B3323" t="s">
        <v>6997</v>
      </c>
      <c r="C3323" t="s">
        <v>6998</v>
      </c>
      <c r="J3323">
        <f>LEN(Table13[[#This Row],[REFERENCE_DESCR1]])</f>
        <v>12</v>
      </c>
    </row>
    <row r="3324" spans="1:10" hidden="1">
      <c r="A3324" t="s">
        <v>2925</v>
      </c>
      <c r="B3324" t="s">
        <v>6999</v>
      </c>
      <c r="C3324" t="s">
        <v>7000</v>
      </c>
      <c r="J3324">
        <f>LEN(Table13[[#This Row],[REFERENCE_DESCR1]])</f>
        <v>14</v>
      </c>
    </row>
    <row r="3325" spans="1:10" hidden="1">
      <c r="A3325" t="s">
        <v>2925</v>
      </c>
      <c r="B3325" t="s">
        <v>7001</v>
      </c>
      <c r="C3325" t="s">
        <v>7002</v>
      </c>
      <c r="J3325">
        <f>LEN(Table13[[#This Row],[REFERENCE_DESCR1]])</f>
        <v>16</v>
      </c>
    </row>
    <row r="3326" spans="1:10" hidden="1">
      <c r="A3326" t="s">
        <v>2925</v>
      </c>
      <c r="B3326" t="s">
        <v>7003</v>
      </c>
      <c r="C3326" t="s">
        <v>7004</v>
      </c>
      <c r="J3326">
        <f>LEN(Table13[[#This Row],[REFERENCE_DESCR1]])</f>
        <v>6</v>
      </c>
    </row>
    <row r="3327" spans="1:10" hidden="1">
      <c r="A3327" t="s">
        <v>2925</v>
      </c>
      <c r="B3327" t="s">
        <v>7005</v>
      </c>
      <c r="C3327" t="s">
        <v>7006</v>
      </c>
      <c r="J3327">
        <f>LEN(Table13[[#This Row],[REFERENCE_DESCR1]])</f>
        <v>11</v>
      </c>
    </row>
    <row r="3328" spans="1:10" hidden="1">
      <c r="A3328" t="s">
        <v>2925</v>
      </c>
      <c r="B3328" t="s">
        <v>7007</v>
      </c>
      <c r="C3328" t="s">
        <v>7008</v>
      </c>
      <c r="J3328">
        <f>LEN(Table13[[#This Row],[REFERENCE_DESCR1]])</f>
        <v>8</v>
      </c>
    </row>
    <row r="3329" spans="1:10" hidden="1">
      <c r="A3329" t="s">
        <v>2925</v>
      </c>
      <c r="B3329" t="s">
        <v>7009</v>
      </c>
      <c r="C3329" t="s">
        <v>7010</v>
      </c>
      <c r="J3329">
        <f>LEN(Table13[[#This Row],[REFERENCE_DESCR1]])</f>
        <v>9</v>
      </c>
    </row>
    <row r="3330" spans="1:10" hidden="1">
      <c r="A3330" t="s">
        <v>2925</v>
      </c>
      <c r="B3330" t="s">
        <v>7011</v>
      </c>
      <c r="C3330" t="s">
        <v>7012</v>
      </c>
      <c r="J3330">
        <f>LEN(Table13[[#This Row],[REFERENCE_DESCR1]])</f>
        <v>10</v>
      </c>
    </row>
    <row r="3331" spans="1:10" hidden="1">
      <c r="A3331" t="s">
        <v>2925</v>
      </c>
      <c r="B3331" t="s">
        <v>7013</v>
      </c>
      <c r="C3331" t="s">
        <v>7014</v>
      </c>
      <c r="J3331">
        <f>LEN(Table13[[#This Row],[REFERENCE_DESCR1]])</f>
        <v>5</v>
      </c>
    </row>
    <row r="3332" spans="1:10" hidden="1">
      <c r="A3332" t="s">
        <v>2925</v>
      </c>
      <c r="B3332" t="s">
        <v>7015</v>
      </c>
      <c r="C3332" t="s">
        <v>7016</v>
      </c>
      <c r="J3332">
        <f>LEN(Table13[[#This Row],[REFERENCE_DESCR1]])</f>
        <v>3</v>
      </c>
    </row>
    <row r="3333" spans="1:10" hidden="1">
      <c r="A3333" t="s">
        <v>2925</v>
      </c>
      <c r="B3333" t="s">
        <v>7017</v>
      </c>
      <c r="C3333" t="s">
        <v>7018</v>
      </c>
      <c r="J3333">
        <f>LEN(Table13[[#This Row],[REFERENCE_DESCR1]])</f>
        <v>9</v>
      </c>
    </row>
    <row r="3334" spans="1:10" hidden="1">
      <c r="A3334" t="s">
        <v>2925</v>
      </c>
      <c r="B3334" t="s">
        <v>7019</v>
      </c>
      <c r="C3334" t="s">
        <v>1643</v>
      </c>
      <c r="J3334">
        <f>LEN(Table13[[#This Row],[REFERENCE_DESCR1]])</f>
        <v>9</v>
      </c>
    </row>
    <row r="3335" spans="1:10" hidden="1">
      <c r="A3335" t="s">
        <v>2925</v>
      </c>
      <c r="B3335" t="s">
        <v>7020</v>
      </c>
      <c r="C3335" t="s">
        <v>7021</v>
      </c>
      <c r="J3335">
        <f>LEN(Table13[[#This Row],[REFERENCE_DESCR1]])</f>
        <v>29</v>
      </c>
    </row>
    <row r="3336" spans="1:10" hidden="1">
      <c r="A3336" t="s">
        <v>2925</v>
      </c>
      <c r="B3336" t="s">
        <v>7022</v>
      </c>
      <c r="C3336" t="s">
        <v>7023</v>
      </c>
      <c r="J3336">
        <f>LEN(Table13[[#This Row],[REFERENCE_DESCR1]])</f>
        <v>28</v>
      </c>
    </row>
    <row r="3337" spans="1:10" hidden="1">
      <c r="A3337" t="s">
        <v>2925</v>
      </c>
      <c r="B3337" t="s">
        <v>7024</v>
      </c>
      <c r="C3337" t="s">
        <v>7025</v>
      </c>
      <c r="J3337">
        <f>LEN(Table13[[#This Row],[REFERENCE_DESCR1]])</f>
        <v>25</v>
      </c>
    </row>
    <row r="3338" spans="1:10" hidden="1">
      <c r="A3338" t="s">
        <v>2925</v>
      </c>
      <c r="B3338" t="s">
        <v>7026</v>
      </c>
      <c r="C3338" t="s">
        <v>7027</v>
      </c>
      <c r="J3338">
        <f>LEN(Table13[[#This Row],[REFERENCE_DESCR1]])</f>
        <v>27</v>
      </c>
    </row>
    <row r="3339" spans="1:10" hidden="1">
      <c r="A3339" t="s">
        <v>2925</v>
      </c>
      <c r="B3339" t="s">
        <v>7028</v>
      </c>
      <c r="C3339" t="s">
        <v>7029</v>
      </c>
      <c r="J3339">
        <f>LEN(Table13[[#This Row],[REFERENCE_DESCR1]])</f>
        <v>34</v>
      </c>
    </row>
    <row r="3340" spans="1:10" hidden="1">
      <c r="A3340" t="s">
        <v>2925</v>
      </c>
      <c r="B3340" t="s">
        <v>7030</v>
      </c>
      <c r="C3340" t="s">
        <v>7031</v>
      </c>
      <c r="J3340">
        <f>LEN(Table13[[#This Row],[REFERENCE_DESCR1]])</f>
        <v>8</v>
      </c>
    </row>
    <row r="3341" spans="1:10" hidden="1">
      <c r="A3341" t="s">
        <v>2925</v>
      </c>
      <c r="B3341" t="s">
        <v>7032</v>
      </c>
      <c r="C3341" t="s">
        <v>7033</v>
      </c>
      <c r="J3341">
        <f>LEN(Table13[[#This Row],[REFERENCE_DESCR1]])</f>
        <v>18</v>
      </c>
    </row>
    <row r="3342" spans="1:10" hidden="1">
      <c r="A3342" t="s">
        <v>2925</v>
      </c>
      <c r="B3342" t="s">
        <v>7034</v>
      </c>
      <c r="C3342" t="s">
        <v>7035</v>
      </c>
      <c r="J3342">
        <f>LEN(Table13[[#This Row],[REFERENCE_DESCR1]])</f>
        <v>14</v>
      </c>
    </row>
    <row r="3343" spans="1:10" hidden="1">
      <c r="A3343" t="s">
        <v>2925</v>
      </c>
      <c r="B3343" t="s">
        <v>7036</v>
      </c>
      <c r="C3343" t="s">
        <v>7037</v>
      </c>
      <c r="J3343">
        <f>LEN(Table13[[#This Row],[REFERENCE_DESCR1]])</f>
        <v>12</v>
      </c>
    </row>
    <row r="3344" spans="1:10" hidden="1">
      <c r="A3344" t="s">
        <v>2925</v>
      </c>
      <c r="B3344" t="s">
        <v>7038</v>
      </c>
      <c r="C3344" t="s">
        <v>7039</v>
      </c>
      <c r="J3344">
        <f>LEN(Table13[[#This Row],[REFERENCE_DESCR1]])</f>
        <v>24</v>
      </c>
    </row>
    <row r="3345" spans="1:10" hidden="1">
      <c r="A3345" t="s">
        <v>2925</v>
      </c>
      <c r="B3345" t="s">
        <v>7040</v>
      </c>
      <c r="C3345" t="s">
        <v>7041</v>
      </c>
      <c r="J3345">
        <f>LEN(Table13[[#This Row],[REFERENCE_DESCR1]])</f>
        <v>9</v>
      </c>
    </row>
    <row r="3346" spans="1:10" hidden="1">
      <c r="A3346" t="s">
        <v>2925</v>
      </c>
      <c r="B3346" t="s">
        <v>7042</v>
      </c>
      <c r="C3346" t="s">
        <v>7043</v>
      </c>
      <c r="J3346">
        <f>LEN(Table13[[#This Row],[REFERENCE_DESCR1]])</f>
        <v>15</v>
      </c>
    </row>
    <row r="3347" spans="1:10" hidden="1">
      <c r="A3347" t="s">
        <v>2925</v>
      </c>
      <c r="B3347" t="s">
        <v>7044</v>
      </c>
      <c r="C3347" t="s">
        <v>7045</v>
      </c>
      <c r="J3347">
        <f>LEN(Table13[[#This Row],[REFERENCE_DESCR1]])</f>
        <v>16</v>
      </c>
    </row>
    <row r="3348" spans="1:10" hidden="1">
      <c r="A3348" t="s">
        <v>2925</v>
      </c>
      <c r="B3348" t="s">
        <v>7046</v>
      </c>
      <c r="C3348" t="s">
        <v>7047</v>
      </c>
      <c r="J3348">
        <f>LEN(Table13[[#This Row],[REFERENCE_DESCR1]])</f>
        <v>11</v>
      </c>
    </row>
    <row r="3349" spans="1:10" hidden="1">
      <c r="A3349" t="s">
        <v>2925</v>
      </c>
      <c r="B3349" t="s">
        <v>7048</v>
      </c>
      <c r="C3349" t="s">
        <v>7049</v>
      </c>
      <c r="J3349">
        <f>LEN(Table13[[#This Row],[REFERENCE_DESCR1]])</f>
        <v>21</v>
      </c>
    </row>
    <row r="3350" spans="1:10" hidden="1">
      <c r="A3350" t="s">
        <v>2925</v>
      </c>
      <c r="B3350" t="s">
        <v>7050</v>
      </c>
      <c r="C3350" t="s">
        <v>7051</v>
      </c>
      <c r="J3350">
        <f>LEN(Table13[[#This Row],[REFERENCE_DESCR1]])</f>
        <v>10</v>
      </c>
    </row>
    <row r="3351" spans="1:10" hidden="1">
      <c r="A3351" t="s">
        <v>2925</v>
      </c>
      <c r="B3351" t="s">
        <v>7052</v>
      </c>
      <c r="C3351" t="s">
        <v>7053</v>
      </c>
      <c r="J3351">
        <f>LEN(Table13[[#This Row],[REFERENCE_DESCR1]])</f>
        <v>22</v>
      </c>
    </row>
    <row r="3352" spans="1:10" hidden="1">
      <c r="A3352" t="s">
        <v>2925</v>
      </c>
      <c r="B3352" t="s">
        <v>7054</v>
      </c>
      <c r="C3352" t="s">
        <v>7055</v>
      </c>
      <c r="J3352">
        <f>LEN(Table13[[#This Row],[REFERENCE_DESCR1]])</f>
        <v>21</v>
      </c>
    </row>
    <row r="3353" spans="1:10" hidden="1">
      <c r="A3353" t="s">
        <v>2925</v>
      </c>
      <c r="B3353" t="s">
        <v>7056</v>
      </c>
      <c r="C3353" t="s">
        <v>7057</v>
      </c>
      <c r="J3353">
        <f>LEN(Table13[[#This Row],[REFERENCE_DESCR1]])</f>
        <v>11</v>
      </c>
    </row>
    <row r="3354" spans="1:10" hidden="1">
      <c r="A3354" t="s">
        <v>2925</v>
      </c>
      <c r="B3354" t="s">
        <v>7058</v>
      </c>
      <c r="C3354" t="s">
        <v>7059</v>
      </c>
      <c r="J3354">
        <f>LEN(Table13[[#This Row],[REFERENCE_DESCR1]])</f>
        <v>36</v>
      </c>
    </row>
    <row r="3355" spans="1:10" hidden="1">
      <c r="A3355" t="s">
        <v>2925</v>
      </c>
      <c r="B3355" t="s">
        <v>7060</v>
      </c>
      <c r="C3355" t="s">
        <v>7061</v>
      </c>
      <c r="J3355">
        <f>LEN(Table13[[#This Row],[REFERENCE_DESCR1]])</f>
        <v>13</v>
      </c>
    </row>
    <row r="3356" spans="1:10" hidden="1">
      <c r="A3356" t="s">
        <v>2925</v>
      </c>
      <c r="B3356" t="s">
        <v>7062</v>
      </c>
      <c r="C3356" t="s">
        <v>7063</v>
      </c>
      <c r="J3356">
        <f>LEN(Table13[[#This Row],[REFERENCE_DESCR1]])</f>
        <v>7</v>
      </c>
    </row>
    <row r="3357" spans="1:10" hidden="1">
      <c r="A3357" t="s">
        <v>2925</v>
      </c>
      <c r="B3357" t="s">
        <v>7064</v>
      </c>
      <c r="C3357" t="s">
        <v>7065</v>
      </c>
      <c r="J3357">
        <f>LEN(Table13[[#This Row],[REFERENCE_DESCR1]])</f>
        <v>7</v>
      </c>
    </row>
    <row r="3358" spans="1:10" hidden="1">
      <c r="A3358" t="s">
        <v>2925</v>
      </c>
      <c r="B3358" t="s">
        <v>7066</v>
      </c>
      <c r="C3358" t="s">
        <v>7067</v>
      </c>
      <c r="J3358">
        <f>LEN(Table13[[#This Row],[REFERENCE_DESCR1]])</f>
        <v>15</v>
      </c>
    </row>
    <row r="3359" spans="1:10" hidden="1">
      <c r="A3359" t="s">
        <v>2925</v>
      </c>
      <c r="B3359" t="s">
        <v>7068</v>
      </c>
      <c r="C3359" t="s">
        <v>7069</v>
      </c>
      <c r="J3359">
        <f>LEN(Table13[[#This Row],[REFERENCE_DESCR1]])</f>
        <v>17</v>
      </c>
    </row>
    <row r="3360" spans="1:10" hidden="1">
      <c r="A3360" t="s">
        <v>2925</v>
      </c>
      <c r="B3360" t="s">
        <v>7070</v>
      </c>
      <c r="C3360" t="s">
        <v>7071</v>
      </c>
      <c r="J3360">
        <f>LEN(Table13[[#This Row],[REFERENCE_DESCR1]])</f>
        <v>14</v>
      </c>
    </row>
    <row r="3361" spans="1:10" hidden="1">
      <c r="A3361" t="s">
        <v>2925</v>
      </c>
      <c r="B3361" t="s">
        <v>7072</v>
      </c>
      <c r="C3361" t="s">
        <v>7073</v>
      </c>
      <c r="J3361">
        <f>LEN(Table13[[#This Row],[REFERENCE_DESCR1]])</f>
        <v>11</v>
      </c>
    </row>
    <row r="3362" spans="1:10" hidden="1">
      <c r="A3362" t="s">
        <v>2925</v>
      </c>
      <c r="B3362" t="s">
        <v>7074</v>
      </c>
      <c r="C3362" t="s">
        <v>7075</v>
      </c>
      <c r="J3362">
        <f>LEN(Table13[[#This Row],[REFERENCE_DESCR1]])</f>
        <v>9</v>
      </c>
    </row>
    <row r="3363" spans="1:10" hidden="1">
      <c r="A3363" t="s">
        <v>2925</v>
      </c>
      <c r="B3363" t="s">
        <v>7076</v>
      </c>
      <c r="C3363" t="s">
        <v>7077</v>
      </c>
      <c r="J3363">
        <f>LEN(Table13[[#This Row],[REFERENCE_DESCR1]])</f>
        <v>8</v>
      </c>
    </row>
    <row r="3364" spans="1:10" hidden="1">
      <c r="A3364" t="s">
        <v>2925</v>
      </c>
      <c r="B3364" t="s">
        <v>7078</v>
      </c>
      <c r="C3364" t="s">
        <v>7079</v>
      </c>
      <c r="J3364">
        <f>LEN(Table13[[#This Row],[REFERENCE_DESCR1]])</f>
        <v>14</v>
      </c>
    </row>
    <row r="3365" spans="1:10" hidden="1">
      <c r="A3365" t="s">
        <v>2925</v>
      </c>
      <c r="B3365" t="s">
        <v>7080</v>
      </c>
      <c r="C3365" t="s">
        <v>7081</v>
      </c>
      <c r="J3365">
        <f>LEN(Table13[[#This Row],[REFERENCE_DESCR1]])</f>
        <v>19</v>
      </c>
    </row>
    <row r="3366" spans="1:10" hidden="1">
      <c r="A3366" t="s">
        <v>2925</v>
      </c>
      <c r="B3366" t="s">
        <v>7082</v>
      </c>
      <c r="C3366" t="s">
        <v>7083</v>
      </c>
      <c r="J3366">
        <f>LEN(Table13[[#This Row],[REFERENCE_DESCR1]])</f>
        <v>6</v>
      </c>
    </row>
    <row r="3367" spans="1:10" hidden="1">
      <c r="A3367" t="s">
        <v>2925</v>
      </c>
      <c r="B3367" t="s">
        <v>7084</v>
      </c>
      <c r="C3367" t="s">
        <v>7085</v>
      </c>
      <c r="J3367">
        <f>LEN(Table13[[#This Row],[REFERENCE_DESCR1]])</f>
        <v>10</v>
      </c>
    </row>
    <row r="3368" spans="1:10" hidden="1">
      <c r="A3368" t="s">
        <v>2925</v>
      </c>
      <c r="B3368" t="s">
        <v>7086</v>
      </c>
      <c r="C3368" t="s">
        <v>7087</v>
      </c>
      <c r="J3368">
        <f>LEN(Table13[[#This Row],[REFERENCE_DESCR1]])</f>
        <v>18</v>
      </c>
    </row>
    <row r="3369" spans="1:10" hidden="1">
      <c r="A3369" t="s">
        <v>2925</v>
      </c>
      <c r="B3369" t="s">
        <v>7088</v>
      </c>
      <c r="C3369" t="s">
        <v>7089</v>
      </c>
      <c r="J3369">
        <f>LEN(Table13[[#This Row],[REFERENCE_DESCR1]])</f>
        <v>15</v>
      </c>
    </row>
    <row r="3370" spans="1:10" hidden="1">
      <c r="A3370" t="s">
        <v>2925</v>
      </c>
      <c r="B3370" t="s">
        <v>7090</v>
      </c>
      <c r="C3370" t="s">
        <v>7091</v>
      </c>
      <c r="J3370">
        <f>LEN(Table13[[#This Row],[REFERENCE_DESCR1]])</f>
        <v>14</v>
      </c>
    </row>
    <row r="3371" spans="1:10" hidden="1">
      <c r="A3371" t="s">
        <v>2925</v>
      </c>
      <c r="B3371" t="s">
        <v>7092</v>
      </c>
      <c r="C3371" t="s">
        <v>7093</v>
      </c>
      <c r="J3371">
        <f>LEN(Table13[[#This Row],[REFERENCE_DESCR1]])</f>
        <v>7</v>
      </c>
    </row>
    <row r="3372" spans="1:10" hidden="1">
      <c r="A3372" t="s">
        <v>2925</v>
      </c>
      <c r="B3372" t="s">
        <v>7094</v>
      </c>
      <c r="C3372" t="s">
        <v>7095</v>
      </c>
      <c r="J3372">
        <f>LEN(Table13[[#This Row],[REFERENCE_DESCR1]])</f>
        <v>9</v>
      </c>
    </row>
    <row r="3373" spans="1:10" hidden="1">
      <c r="A3373" t="s">
        <v>2925</v>
      </c>
      <c r="B3373" t="s">
        <v>7096</v>
      </c>
      <c r="C3373" t="s">
        <v>7097</v>
      </c>
      <c r="J3373">
        <f>LEN(Table13[[#This Row],[REFERENCE_DESCR1]])</f>
        <v>5</v>
      </c>
    </row>
    <row r="3374" spans="1:10" hidden="1">
      <c r="A3374" t="s">
        <v>2925</v>
      </c>
      <c r="B3374" t="s">
        <v>7098</v>
      </c>
      <c r="C3374" t="s">
        <v>7099</v>
      </c>
      <c r="J3374">
        <f>LEN(Table13[[#This Row],[REFERENCE_DESCR1]])</f>
        <v>14</v>
      </c>
    </row>
    <row r="3375" spans="1:10" hidden="1">
      <c r="A3375" t="s">
        <v>2925</v>
      </c>
      <c r="B3375" t="s">
        <v>7100</v>
      </c>
      <c r="C3375" t="s">
        <v>7101</v>
      </c>
      <c r="J3375">
        <f>LEN(Table13[[#This Row],[REFERENCE_DESCR1]])</f>
        <v>12</v>
      </c>
    </row>
    <row r="3376" spans="1:10" hidden="1">
      <c r="A3376" t="s">
        <v>2925</v>
      </c>
      <c r="B3376" t="s">
        <v>7102</v>
      </c>
      <c r="C3376" t="s">
        <v>7103</v>
      </c>
      <c r="J3376">
        <f>LEN(Table13[[#This Row],[REFERENCE_DESCR1]])</f>
        <v>31</v>
      </c>
    </row>
    <row r="3377" spans="1:10" hidden="1">
      <c r="A3377" t="s">
        <v>2925</v>
      </c>
      <c r="B3377" t="s">
        <v>7104</v>
      </c>
      <c r="C3377" t="s">
        <v>7105</v>
      </c>
      <c r="J3377">
        <f>LEN(Table13[[#This Row],[REFERENCE_DESCR1]])</f>
        <v>8</v>
      </c>
    </row>
    <row r="3378" spans="1:10" hidden="1">
      <c r="A3378" t="s">
        <v>2925</v>
      </c>
      <c r="B3378" t="s">
        <v>7106</v>
      </c>
      <c r="C3378" t="s">
        <v>7107</v>
      </c>
      <c r="J3378">
        <f>LEN(Table13[[#This Row],[REFERENCE_DESCR1]])</f>
        <v>6</v>
      </c>
    </row>
    <row r="3379" spans="1:10" hidden="1">
      <c r="A3379" t="s">
        <v>2925</v>
      </c>
      <c r="B3379" t="s">
        <v>7108</v>
      </c>
      <c r="C3379" t="s">
        <v>7109</v>
      </c>
      <c r="J3379">
        <f>LEN(Table13[[#This Row],[REFERENCE_DESCR1]])</f>
        <v>6</v>
      </c>
    </row>
    <row r="3380" spans="1:10" hidden="1">
      <c r="A3380" t="s">
        <v>2925</v>
      </c>
      <c r="B3380" t="s">
        <v>7110</v>
      </c>
      <c r="C3380" t="s">
        <v>7111</v>
      </c>
      <c r="J3380">
        <f>LEN(Table13[[#This Row],[REFERENCE_DESCR1]])</f>
        <v>9</v>
      </c>
    </row>
    <row r="3381" spans="1:10" hidden="1">
      <c r="A3381" t="s">
        <v>2925</v>
      </c>
      <c r="B3381" t="s">
        <v>7112</v>
      </c>
      <c r="C3381" t="s">
        <v>7113</v>
      </c>
      <c r="J3381">
        <f>LEN(Table13[[#This Row],[REFERENCE_DESCR1]])</f>
        <v>11</v>
      </c>
    </row>
    <row r="3382" spans="1:10" hidden="1">
      <c r="A3382" t="s">
        <v>2925</v>
      </c>
      <c r="B3382" t="s">
        <v>7114</v>
      </c>
      <c r="C3382" t="s">
        <v>7115</v>
      </c>
      <c r="J3382">
        <f>LEN(Table13[[#This Row],[REFERENCE_DESCR1]])</f>
        <v>8</v>
      </c>
    </row>
    <row r="3383" spans="1:10" hidden="1">
      <c r="A3383" t="s">
        <v>2925</v>
      </c>
      <c r="B3383" t="s">
        <v>7116</v>
      </c>
      <c r="C3383" t="s">
        <v>7117</v>
      </c>
      <c r="J3383">
        <f>LEN(Table13[[#This Row],[REFERENCE_DESCR1]])</f>
        <v>7</v>
      </c>
    </row>
    <row r="3384" spans="1:10" hidden="1">
      <c r="A3384" t="s">
        <v>2925</v>
      </c>
      <c r="B3384" t="s">
        <v>7118</v>
      </c>
      <c r="C3384" t="s">
        <v>7119</v>
      </c>
      <c r="J3384">
        <f>LEN(Table13[[#This Row],[REFERENCE_DESCR1]])</f>
        <v>7</v>
      </c>
    </row>
    <row r="3385" spans="1:10" hidden="1">
      <c r="A3385" t="s">
        <v>2925</v>
      </c>
      <c r="B3385" t="s">
        <v>7120</v>
      </c>
      <c r="C3385" t="s">
        <v>7121</v>
      </c>
      <c r="J3385">
        <f>LEN(Table13[[#This Row],[REFERENCE_DESCR1]])</f>
        <v>6</v>
      </c>
    </row>
    <row r="3386" spans="1:10" hidden="1">
      <c r="A3386" t="s">
        <v>2925</v>
      </c>
      <c r="B3386" t="s">
        <v>7122</v>
      </c>
      <c r="C3386" t="s">
        <v>7123</v>
      </c>
      <c r="J3386">
        <f>LEN(Table13[[#This Row],[REFERENCE_DESCR1]])</f>
        <v>10</v>
      </c>
    </row>
    <row r="3387" spans="1:10" hidden="1">
      <c r="A3387" t="s">
        <v>2925</v>
      </c>
      <c r="B3387" t="s">
        <v>7124</v>
      </c>
      <c r="C3387" t="s">
        <v>7125</v>
      </c>
      <c r="J3387">
        <f>LEN(Table13[[#This Row],[REFERENCE_DESCR1]])</f>
        <v>22</v>
      </c>
    </row>
    <row r="3388" spans="1:10" hidden="1">
      <c r="A3388" t="s">
        <v>2925</v>
      </c>
      <c r="B3388" t="s">
        <v>7126</v>
      </c>
      <c r="C3388" t="s">
        <v>7127</v>
      </c>
      <c r="J3388">
        <f>LEN(Table13[[#This Row],[REFERENCE_DESCR1]])</f>
        <v>26</v>
      </c>
    </row>
    <row r="3389" spans="1:10" hidden="1">
      <c r="A3389" t="s">
        <v>2925</v>
      </c>
      <c r="B3389" t="s">
        <v>7128</v>
      </c>
      <c r="C3389" t="s">
        <v>7129</v>
      </c>
      <c r="J3389">
        <f>LEN(Table13[[#This Row],[REFERENCE_DESCR1]])</f>
        <v>26</v>
      </c>
    </row>
    <row r="3390" spans="1:10" hidden="1">
      <c r="A3390" t="s">
        <v>2925</v>
      </c>
      <c r="B3390" t="s">
        <v>7130</v>
      </c>
      <c r="C3390" t="s">
        <v>7131</v>
      </c>
      <c r="J3390">
        <f>LEN(Table13[[#This Row],[REFERENCE_DESCR1]])</f>
        <v>26</v>
      </c>
    </row>
    <row r="3391" spans="1:10" hidden="1">
      <c r="A3391" t="s">
        <v>2925</v>
      </c>
      <c r="B3391" t="s">
        <v>7132</v>
      </c>
      <c r="C3391" t="s">
        <v>7133</v>
      </c>
      <c r="J3391">
        <f>LEN(Table13[[#This Row],[REFERENCE_DESCR1]])</f>
        <v>27</v>
      </c>
    </row>
    <row r="3392" spans="1:10" hidden="1">
      <c r="A3392" t="s">
        <v>2925</v>
      </c>
      <c r="B3392" t="s">
        <v>7134</v>
      </c>
      <c r="C3392" t="s">
        <v>7135</v>
      </c>
      <c r="J3392">
        <f>LEN(Table13[[#This Row],[REFERENCE_DESCR1]])</f>
        <v>32</v>
      </c>
    </row>
    <row r="3393" spans="1:10" hidden="1">
      <c r="A3393" t="s">
        <v>2925</v>
      </c>
      <c r="B3393" t="s">
        <v>7136</v>
      </c>
      <c r="C3393" t="s">
        <v>7137</v>
      </c>
      <c r="J3393">
        <f>LEN(Table13[[#This Row],[REFERENCE_DESCR1]])</f>
        <v>6</v>
      </c>
    </row>
    <row r="3394" spans="1:10" hidden="1">
      <c r="A3394" t="s">
        <v>2925</v>
      </c>
      <c r="B3394" t="s">
        <v>7138</v>
      </c>
      <c r="C3394" t="s">
        <v>7139</v>
      </c>
      <c r="J3394">
        <f>LEN(Table13[[#This Row],[REFERENCE_DESCR1]])</f>
        <v>18</v>
      </c>
    </row>
    <row r="3395" spans="1:10" hidden="1">
      <c r="A3395" t="s">
        <v>2925</v>
      </c>
      <c r="B3395" t="s">
        <v>7140</v>
      </c>
      <c r="C3395" t="s">
        <v>7141</v>
      </c>
      <c r="J3395">
        <f>LEN(Table13[[#This Row],[REFERENCE_DESCR1]])</f>
        <v>14</v>
      </c>
    </row>
    <row r="3396" spans="1:10" hidden="1">
      <c r="A3396" t="s">
        <v>2925</v>
      </c>
      <c r="B3396" t="s">
        <v>7142</v>
      </c>
      <c r="C3396" t="s">
        <v>7143</v>
      </c>
      <c r="J3396">
        <f>LEN(Table13[[#This Row],[REFERENCE_DESCR1]])</f>
        <v>16</v>
      </c>
    </row>
    <row r="3397" spans="1:10" hidden="1">
      <c r="A3397" t="s">
        <v>2925</v>
      </c>
      <c r="B3397" t="s">
        <v>7144</v>
      </c>
      <c r="C3397" t="s">
        <v>7145</v>
      </c>
      <c r="J3397">
        <f>LEN(Table13[[#This Row],[REFERENCE_DESCR1]])</f>
        <v>21</v>
      </c>
    </row>
    <row r="3398" spans="1:10" hidden="1">
      <c r="A3398" t="s">
        <v>2925</v>
      </c>
      <c r="B3398" t="s">
        <v>7146</v>
      </c>
      <c r="C3398" t="s">
        <v>7147</v>
      </c>
      <c r="J3398">
        <f>LEN(Table13[[#This Row],[REFERENCE_DESCR1]])</f>
        <v>18</v>
      </c>
    </row>
    <row r="3399" spans="1:10" hidden="1">
      <c r="A3399" t="s">
        <v>2925</v>
      </c>
      <c r="B3399" t="s">
        <v>7148</v>
      </c>
      <c r="C3399" t="s">
        <v>7149</v>
      </c>
      <c r="J3399">
        <f>LEN(Table13[[#This Row],[REFERENCE_DESCR1]])</f>
        <v>17</v>
      </c>
    </row>
    <row r="3400" spans="1:10" hidden="1">
      <c r="A3400" t="s">
        <v>2925</v>
      </c>
      <c r="B3400" t="s">
        <v>7150</v>
      </c>
      <c r="C3400" t="s">
        <v>1645</v>
      </c>
      <c r="J3400">
        <f>LEN(Table13[[#This Row],[REFERENCE_DESCR1]])</f>
        <v>12</v>
      </c>
    </row>
    <row r="3401" spans="1:10" hidden="1">
      <c r="A3401" t="s">
        <v>2925</v>
      </c>
      <c r="B3401" t="s">
        <v>7151</v>
      </c>
      <c r="C3401" t="s">
        <v>7152</v>
      </c>
      <c r="J3401">
        <f>LEN(Table13[[#This Row],[REFERENCE_DESCR1]])</f>
        <v>19</v>
      </c>
    </row>
    <row r="3402" spans="1:10" hidden="1">
      <c r="A3402" t="s">
        <v>2925</v>
      </c>
      <c r="B3402" t="s">
        <v>7153</v>
      </c>
      <c r="C3402" t="s">
        <v>7154</v>
      </c>
      <c r="J3402">
        <f>LEN(Table13[[#This Row],[REFERENCE_DESCR1]])</f>
        <v>19</v>
      </c>
    </row>
    <row r="3403" spans="1:10" hidden="1">
      <c r="A3403" t="s">
        <v>2925</v>
      </c>
      <c r="B3403" t="s">
        <v>7155</v>
      </c>
      <c r="C3403" t="s">
        <v>7156</v>
      </c>
      <c r="J3403">
        <f>LEN(Table13[[#This Row],[REFERENCE_DESCR1]])</f>
        <v>22</v>
      </c>
    </row>
    <row r="3404" spans="1:10" hidden="1">
      <c r="A3404" t="s">
        <v>2925</v>
      </c>
      <c r="B3404" t="s">
        <v>7157</v>
      </c>
      <c r="C3404" t="s">
        <v>7158</v>
      </c>
      <c r="J3404">
        <f>LEN(Table13[[#This Row],[REFERENCE_DESCR1]])</f>
        <v>5</v>
      </c>
    </row>
    <row r="3405" spans="1:10" hidden="1">
      <c r="A3405" t="s">
        <v>2925</v>
      </c>
      <c r="B3405" t="s">
        <v>7159</v>
      </c>
      <c r="C3405" t="s">
        <v>7160</v>
      </c>
      <c r="J3405">
        <f>LEN(Table13[[#This Row],[REFERENCE_DESCR1]])</f>
        <v>14</v>
      </c>
    </row>
    <row r="3406" spans="1:10" hidden="1">
      <c r="A3406" t="s">
        <v>2925</v>
      </c>
      <c r="B3406" t="s">
        <v>7161</v>
      </c>
      <c r="C3406" t="s">
        <v>7162</v>
      </c>
      <c r="J3406">
        <f>LEN(Table13[[#This Row],[REFERENCE_DESCR1]])</f>
        <v>7</v>
      </c>
    </row>
    <row r="3407" spans="1:10" hidden="1">
      <c r="A3407" t="s">
        <v>2925</v>
      </c>
      <c r="B3407" t="s">
        <v>7163</v>
      </c>
      <c r="C3407" t="s">
        <v>7164</v>
      </c>
      <c r="J3407">
        <f>LEN(Table13[[#This Row],[REFERENCE_DESCR1]])</f>
        <v>19</v>
      </c>
    </row>
    <row r="3408" spans="1:10" hidden="1">
      <c r="A3408" t="s">
        <v>2925</v>
      </c>
      <c r="B3408" t="s">
        <v>7165</v>
      </c>
      <c r="C3408" t="s">
        <v>7166</v>
      </c>
      <c r="J3408">
        <f>LEN(Table13[[#This Row],[REFERENCE_DESCR1]])</f>
        <v>9</v>
      </c>
    </row>
    <row r="3409" spans="1:10" hidden="1">
      <c r="A3409" t="s">
        <v>2925</v>
      </c>
      <c r="B3409" t="s">
        <v>7167</v>
      </c>
      <c r="C3409" t="s">
        <v>7168</v>
      </c>
      <c r="J3409">
        <f>LEN(Table13[[#This Row],[REFERENCE_DESCR1]])</f>
        <v>10</v>
      </c>
    </row>
    <row r="3410" spans="1:10" hidden="1">
      <c r="A3410" t="s">
        <v>2925</v>
      </c>
      <c r="B3410" t="s">
        <v>7169</v>
      </c>
      <c r="C3410" t="s">
        <v>7170</v>
      </c>
      <c r="J3410">
        <f>LEN(Table13[[#This Row],[REFERENCE_DESCR1]])</f>
        <v>14</v>
      </c>
    </row>
    <row r="3411" spans="1:10" hidden="1">
      <c r="A3411" t="s">
        <v>2925</v>
      </c>
      <c r="B3411" t="s">
        <v>7171</v>
      </c>
      <c r="C3411" t="s">
        <v>7172</v>
      </c>
      <c r="J3411">
        <f>LEN(Table13[[#This Row],[REFERENCE_DESCR1]])</f>
        <v>5</v>
      </c>
    </row>
    <row r="3412" spans="1:10" hidden="1">
      <c r="A3412" t="s">
        <v>2925</v>
      </c>
      <c r="B3412" t="s">
        <v>7173</v>
      </c>
      <c r="C3412" t="s">
        <v>7174</v>
      </c>
      <c r="J3412">
        <f>LEN(Table13[[#This Row],[REFERENCE_DESCR1]])</f>
        <v>7</v>
      </c>
    </row>
    <row r="3413" spans="1:10" hidden="1">
      <c r="A3413" t="s">
        <v>2925</v>
      </c>
      <c r="B3413" t="s">
        <v>7175</v>
      </c>
      <c r="C3413" t="s">
        <v>7176</v>
      </c>
      <c r="J3413">
        <f>LEN(Table13[[#This Row],[REFERENCE_DESCR1]])</f>
        <v>5</v>
      </c>
    </row>
    <row r="3414" spans="1:10" hidden="1">
      <c r="A3414" t="s">
        <v>2925</v>
      </c>
      <c r="B3414" t="s">
        <v>7177</v>
      </c>
      <c r="C3414" t="s">
        <v>7178</v>
      </c>
      <c r="J3414">
        <f>LEN(Table13[[#This Row],[REFERENCE_DESCR1]])</f>
        <v>13</v>
      </c>
    </row>
    <row r="3415" spans="1:10" hidden="1">
      <c r="A3415" t="s">
        <v>2925</v>
      </c>
      <c r="B3415" t="s">
        <v>7179</v>
      </c>
      <c r="C3415" t="s">
        <v>7180</v>
      </c>
      <c r="J3415">
        <f>LEN(Table13[[#This Row],[REFERENCE_DESCR1]])</f>
        <v>7</v>
      </c>
    </row>
    <row r="3416" spans="1:10" hidden="1">
      <c r="A3416" t="s">
        <v>2925</v>
      </c>
      <c r="B3416" t="s">
        <v>7181</v>
      </c>
      <c r="C3416" t="s">
        <v>7182</v>
      </c>
      <c r="J3416">
        <f>LEN(Table13[[#This Row],[REFERENCE_DESCR1]])</f>
        <v>16</v>
      </c>
    </row>
    <row r="3417" spans="1:10" hidden="1">
      <c r="A3417" t="s">
        <v>2925</v>
      </c>
      <c r="B3417" t="s">
        <v>7183</v>
      </c>
      <c r="C3417" t="s">
        <v>7184</v>
      </c>
      <c r="J3417">
        <f>LEN(Table13[[#This Row],[REFERENCE_DESCR1]])</f>
        <v>28</v>
      </c>
    </row>
    <row r="3418" spans="1:10" hidden="1">
      <c r="A3418" t="s">
        <v>2925</v>
      </c>
      <c r="B3418" t="s">
        <v>7185</v>
      </c>
      <c r="C3418" t="s">
        <v>7186</v>
      </c>
      <c r="J3418">
        <f>LEN(Table13[[#This Row],[REFERENCE_DESCR1]])</f>
        <v>21</v>
      </c>
    </row>
    <row r="3419" spans="1:10" hidden="1">
      <c r="A3419" t="s">
        <v>2925</v>
      </c>
      <c r="B3419" t="s">
        <v>7187</v>
      </c>
      <c r="C3419" t="s">
        <v>7188</v>
      </c>
      <c r="J3419">
        <f>LEN(Table13[[#This Row],[REFERENCE_DESCR1]])</f>
        <v>11</v>
      </c>
    </row>
    <row r="3420" spans="1:10" hidden="1">
      <c r="A3420" t="s">
        <v>2925</v>
      </c>
      <c r="B3420" t="s">
        <v>7189</v>
      </c>
      <c r="C3420" t="s">
        <v>7190</v>
      </c>
      <c r="J3420">
        <f>LEN(Table13[[#This Row],[REFERENCE_DESCR1]])</f>
        <v>11</v>
      </c>
    </row>
    <row r="3421" spans="1:10" hidden="1">
      <c r="A3421" t="s">
        <v>2925</v>
      </c>
      <c r="B3421" t="s">
        <v>7191</v>
      </c>
      <c r="C3421" t="s">
        <v>7192</v>
      </c>
      <c r="J3421">
        <f>LEN(Table13[[#This Row],[REFERENCE_DESCR1]])</f>
        <v>8</v>
      </c>
    </row>
    <row r="3422" spans="1:10" hidden="1">
      <c r="A3422" t="s">
        <v>2925</v>
      </c>
      <c r="B3422" t="s">
        <v>7193</v>
      </c>
      <c r="C3422" t="s">
        <v>7194</v>
      </c>
      <c r="J3422">
        <f>LEN(Table13[[#This Row],[REFERENCE_DESCR1]])</f>
        <v>13</v>
      </c>
    </row>
    <row r="3423" spans="1:10" hidden="1">
      <c r="A3423" t="s">
        <v>2925</v>
      </c>
      <c r="B3423" t="s">
        <v>7195</v>
      </c>
      <c r="C3423" t="s">
        <v>7196</v>
      </c>
      <c r="J3423">
        <f>LEN(Table13[[#This Row],[REFERENCE_DESCR1]])</f>
        <v>14</v>
      </c>
    </row>
    <row r="3424" spans="1:10" hidden="1">
      <c r="A3424" t="s">
        <v>2925</v>
      </c>
      <c r="B3424" t="s">
        <v>7197</v>
      </c>
      <c r="C3424" t="s">
        <v>7198</v>
      </c>
      <c r="J3424">
        <f>LEN(Table13[[#This Row],[REFERENCE_DESCR1]])</f>
        <v>31</v>
      </c>
    </row>
    <row r="3425" spans="1:10" hidden="1">
      <c r="A3425" t="s">
        <v>2925</v>
      </c>
      <c r="B3425" t="s">
        <v>7199</v>
      </c>
      <c r="C3425" t="s">
        <v>7200</v>
      </c>
      <c r="J3425">
        <f>LEN(Table13[[#This Row],[REFERENCE_DESCR1]])</f>
        <v>18</v>
      </c>
    </row>
    <row r="3426" spans="1:10" hidden="1">
      <c r="A3426" t="s">
        <v>2925</v>
      </c>
      <c r="B3426" t="s">
        <v>7201</v>
      </c>
      <c r="C3426" t="s">
        <v>7202</v>
      </c>
      <c r="J3426">
        <f>LEN(Table13[[#This Row],[REFERENCE_DESCR1]])</f>
        <v>7</v>
      </c>
    </row>
    <row r="3427" spans="1:10" hidden="1">
      <c r="A3427" t="s">
        <v>2925</v>
      </c>
      <c r="B3427" t="s">
        <v>7203</v>
      </c>
      <c r="C3427" t="s">
        <v>7204</v>
      </c>
      <c r="J3427">
        <f>LEN(Table13[[#This Row],[REFERENCE_DESCR1]])</f>
        <v>13</v>
      </c>
    </row>
    <row r="3428" spans="1:10" hidden="1">
      <c r="A3428" t="s">
        <v>2925</v>
      </c>
      <c r="B3428" t="s">
        <v>7205</v>
      </c>
      <c r="C3428" t="s">
        <v>7206</v>
      </c>
      <c r="J3428">
        <f>LEN(Table13[[#This Row],[REFERENCE_DESCR1]])</f>
        <v>11</v>
      </c>
    </row>
    <row r="3429" spans="1:10" hidden="1">
      <c r="A3429" t="s">
        <v>2925</v>
      </c>
      <c r="B3429" t="s">
        <v>7207</v>
      </c>
      <c r="C3429" t="s">
        <v>7208</v>
      </c>
      <c r="J3429">
        <f>LEN(Table13[[#This Row],[REFERENCE_DESCR1]])</f>
        <v>6</v>
      </c>
    </row>
    <row r="3430" spans="1:10" hidden="1">
      <c r="A3430" t="s">
        <v>2925</v>
      </c>
      <c r="B3430" t="s">
        <v>7209</v>
      </c>
      <c r="C3430" t="s">
        <v>7210</v>
      </c>
      <c r="J3430">
        <f>LEN(Table13[[#This Row],[REFERENCE_DESCR1]])</f>
        <v>12</v>
      </c>
    </row>
    <row r="3431" spans="1:10" hidden="1">
      <c r="A3431" t="s">
        <v>2925</v>
      </c>
      <c r="B3431" t="s">
        <v>7211</v>
      </c>
      <c r="C3431" t="s">
        <v>7212</v>
      </c>
      <c r="J3431">
        <f>LEN(Table13[[#This Row],[REFERENCE_DESCR1]])</f>
        <v>10</v>
      </c>
    </row>
    <row r="3432" spans="1:10" hidden="1">
      <c r="A3432" t="s">
        <v>2925</v>
      </c>
      <c r="B3432" t="s">
        <v>7213</v>
      </c>
      <c r="C3432" t="s">
        <v>7214</v>
      </c>
      <c r="J3432">
        <f>LEN(Table13[[#This Row],[REFERENCE_DESCR1]])</f>
        <v>10</v>
      </c>
    </row>
    <row r="3433" spans="1:10" hidden="1">
      <c r="A3433" t="s">
        <v>2925</v>
      </c>
      <c r="B3433" t="s">
        <v>7215</v>
      </c>
      <c r="C3433" t="s">
        <v>7216</v>
      </c>
      <c r="J3433">
        <f>LEN(Table13[[#This Row],[REFERENCE_DESCR1]])</f>
        <v>17</v>
      </c>
    </row>
    <row r="3434" spans="1:10" hidden="1">
      <c r="A3434" t="s">
        <v>2925</v>
      </c>
      <c r="B3434" t="s">
        <v>7217</v>
      </c>
      <c r="C3434" t="s">
        <v>7218</v>
      </c>
      <c r="J3434">
        <f>LEN(Table13[[#This Row],[REFERENCE_DESCR1]])</f>
        <v>10</v>
      </c>
    </row>
    <row r="3435" spans="1:10" hidden="1">
      <c r="A3435" t="s">
        <v>2925</v>
      </c>
      <c r="B3435" t="s">
        <v>7219</v>
      </c>
      <c r="C3435" t="s">
        <v>7220</v>
      </c>
      <c r="J3435">
        <f>LEN(Table13[[#This Row],[REFERENCE_DESCR1]])</f>
        <v>9</v>
      </c>
    </row>
    <row r="3436" spans="1:10" hidden="1">
      <c r="A3436" t="s">
        <v>2925</v>
      </c>
      <c r="B3436" t="s">
        <v>7221</v>
      </c>
      <c r="C3436" t="s">
        <v>7222</v>
      </c>
      <c r="J3436">
        <f>LEN(Table13[[#This Row],[REFERENCE_DESCR1]])</f>
        <v>6</v>
      </c>
    </row>
    <row r="3437" spans="1:10" hidden="1">
      <c r="A3437" t="s">
        <v>2925</v>
      </c>
      <c r="B3437" t="s">
        <v>7223</v>
      </c>
      <c r="C3437" t="s">
        <v>7224</v>
      </c>
      <c r="J3437">
        <f>LEN(Table13[[#This Row],[REFERENCE_DESCR1]])</f>
        <v>10</v>
      </c>
    </row>
    <row r="3438" spans="1:10" hidden="1">
      <c r="A3438" t="s">
        <v>2925</v>
      </c>
      <c r="B3438" t="s">
        <v>7225</v>
      </c>
      <c r="C3438" t="s">
        <v>7226</v>
      </c>
      <c r="J3438">
        <f>LEN(Table13[[#This Row],[REFERENCE_DESCR1]])</f>
        <v>6</v>
      </c>
    </row>
    <row r="3439" spans="1:10" hidden="1">
      <c r="A3439" t="s">
        <v>2925</v>
      </c>
      <c r="B3439" t="s">
        <v>7227</v>
      </c>
      <c r="C3439" t="s">
        <v>7228</v>
      </c>
      <c r="J3439">
        <f>LEN(Table13[[#This Row],[REFERENCE_DESCR1]])</f>
        <v>10</v>
      </c>
    </row>
    <row r="3440" spans="1:10" hidden="1">
      <c r="A3440" t="s">
        <v>2925</v>
      </c>
      <c r="B3440" t="s">
        <v>7229</v>
      </c>
      <c r="C3440" t="s">
        <v>7230</v>
      </c>
      <c r="J3440">
        <f>LEN(Table13[[#This Row],[REFERENCE_DESCR1]])</f>
        <v>12</v>
      </c>
    </row>
    <row r="3441" spans="1:10" hidden="1">
      <c r="A3441" t="s">
        <v>2925</v>
      </c>
      <c r="B3441" t="s">
        <v>7231</v>
      </c>
      <c r="C3441" t="s">
        <v>7232</v>
      </c>
      <c r="J3441">
        <f>LEN(Table13[[#This Row],[REFERENCE_DESCR1]])</f>
        <v>16</v>
      </c>
    </row>
    <row r="3442" spans="1:10" hidden="1">
      <c r="A3442" t="s">
        <v>2925</v>
      </c>
      <c r="B3442" t="s">
        <v>7233</v>
      </c>
      <c r="C3442" t="s">
        <v>7234</v>
      </c>
      <c r="J3442">
        <f>LEN(Table13[[#This Row],[REFERENCE_DESCR1]])</f>
        <v>20</v>
      </c>
    </row>
    <row r="3443" spans="1:10" hidden="1">
      <c r="A3443" t="s">
        <v>2925</v>
      </c>
      <c r="B3443" t="s">
        <v>7235</v>
      </c>
      <c r="C3443" t="s">
        <v>7236</v>
      </c>
      <c r="J3443">
        <f>LEN(Table13[[#This Row],[REFERENCE_DESCR1]])</f>
        <v>13</v>
      </c>
    </row>
    <row r="3444" spans="1:10" hidden="1">
      <c r="A3444" t="s">
        <v>2925</v>
      </c>
      <c r="B3444" t="s">
        <v>7237</v>
      </c>
      <c r="C3444" t="s">
        <v>7238</v>
      </c>
      <c r="J3444">
        <f>LEN(Table13[[#This Row],[REFERENCE_DESCR1]])</f>
        <v>35</v>
      </c>
    </row>
    <row r="3445" spans="1:10" hidden="1">
      <c r="A3445" t="s">
        <v>2925</v>
      </c>
      <c r="B3445" t="s">
        <v>7239</v>
      </c>
      <c r="C3445" t="s">
        <v>7240</v>
      </c>
      <c r="J3445">
        <f>LEN(Table13[[#This Row],[REFERENCE_DESCR1]])</f>
        <v>27</v>
      </c>
    </row>
    <row r="3446" spans="1:10" hidden="1">
      <c r="A3446" t="s">
        <v>2925</v>
      </c>
      <c r="B3446" t="s">
        <v>7241</v>
      </c>
      <c r="C3446" t="s">
        <v>7242</v>
      </c>
      <c r="J3446">
        <f>LEN(Table13[[#This Row],[REFERENCE_DESCR1]])</f>
        <v>43</v>
      </c>
    </row>
    <row r="3447" spans="1:10" hidden="1">
      <c r="A3447" t="s">
        <v>2925</v>
      </c>
      <c r="B3447" t="s">
        <v>7243</v>
      </c>
      <c r="C3447" t="s">
        <v>7244</v>
      </c>
      <c r="J3447">
        <f>LEN(Table13[[#This Row],[REFERENCE_DESCR1]])</f>
        <v>10</v>
      </c>
    </row>
    <row r="3448" spans="1:10" hidden="1">
      <c r="A3448" t="s">
        <v>2925</v>
      </c>
      <c r="B3448" t="s">
        <v>7245</v>
      </c>
      <c r="C3448" t="s">
        <v>7246</v>
      </c>
      <c r="J3448">
        <f>LEN(Table13[[#This Row],[REFERENCE_DESCR1]])</f>
        <v>9</v>
      </c>
    </row>
    <row r="3449" spans="1:10" hidden="1">
      <c r="A3449" t="s">
        <v>2925</v>
      </c>
      <c r="B3449" t="s">
        <v>7247</v>
      </c>
      <c r="C3449" t="s">
        <v>7248</v>
      </c>
      <c r="J3449">
        <f>LEN(Table13[[#This Row],[REFERENCE_DESCR1]])</f>
        <v>22</v>
      </c>
    </row>
    <row r="3450" spans="1:10" hidden="1">
      <c r="A3450" t="s">
        <v>2925</v>
      </c>
      <c r="B3450" t="s">
        <v>7249</v>
      </c>
      <c r="C3450" t="s">
        <v>7250</v>
      </c>
      <c r="J3450">
        <f>LEN(Table13[[#This Row],[REFERENCE_DESCR1]])</f>
        <v>8</v>
      </c>
    </row>
    <row r="3451" spans="1:10" hidden="1">
      <c r="A3451" t="s">
        <v>2925</v>
      </c>
      <c r="B3451" t="s">
        <v>7251</v>
      </c>
      <c r="C3451" t="s">
        <v>7252</v>
      </c>
      <c r="J3451">
        <f>LEN(Table13[[#This Row],[REFERENCE_DESCR1]])</f>
        <v>10</v>
      </c>
    </row>
    <row r="3452" spans="1:10" hidden="1">
      <c r="A3452" t="s">
        <v>2925</v>
      </c>
      <c r="B3452" t="s">
        <v>7253</v>
      </c>
      <c r="C3452" t="s">
        <v>7254</v>
      </c>
      <c r="J3452">
        <f>LEN(Table13[[#This Row],[REFERENCE_DESCR1]])</f>
        <v>9</v>
      </c>
    </row>
    <row r="3453" spans="1:10" hidden="1">
      <c r="A3453" t="s">
        <v>2925</v>
      </c>
      <c r="B3453" t="s">
        <v>7255</v>
      </c>
      <c r="C3453" t="s">
        <v>7256</v>
      </c>
      <c r="J3453">
        <f>LEN(Table13[[#This Row],[REFERENCE_DESCR1]])</f>
        <v>17</v>
      </c>
    </row>
    <row r="3454" spans="1:10" hidden="1">
      <c r="A3454" t="s">
        <v>2925</v>
      </c>
      <c r="B3454" t="s">
        <v>7257</v>
      </c>
      <c r="C3454" t="s">
        <v>7258</v>
      </c>
      <c r="J3454">
        <f>LEN(Table13[[#This Row],[REFERENCE_DESCR1]])</f>
        <v>12</v>
      </c>
    </row>
    <row r="3455" spans="1:10" hidden="1">
      <c r="A3455" t="s">
        <v>2925</v>
      </c>
      <c r="B3455" t="s">
        <v>7259</v>
      </c>
      <c r="C3455" t="s">
        <v>7260</v>
      </c>
      <c r="J3455">
        <f>LEN(Table13[[#This Row],[REFERENCE_DESCR1]])</f>
        <v>5</v>
      </c>
    </row>
    <row r="3456" spans="1:10" hidden="1">
      <c r="A3456" t="s">
        <v>2925</v>
      </c>
      <c r="B3456" t="s">
        <v>7261</v>
      </c>
      <c r="C3456" t="s">
        <v>7262</v>
      </c>
      <c r="J3456">
        <f>LEN(Table13[[#This Row],[REFERENCE_DESCR1]])</f>
        <v>6</v>
      </c>
    </row>
    <row r="3457" spans="1:10" hidden="1">
      <c r="A3457" t="s">
        <v>2925</v>
      </c>
      <c r="B3457" t="s">
        <v>7263</v>
      </c>
      <c r="C3457" t="s">
        <v>7264</v>
      </c>
      <c r="J3457">
        <f>LEN(Table13[[#This Row],[REFERENCE_DESCR1]])</f>
        <v>16</v>
      </c>
    </row>
    <row r="3458" spans="1:10" hidden="1">
      <c r="A3458" t="s">
        <v>2925</v>
      </c>
      <c r="B3458" t="s">
        <v>7265</v>
      </c>
      <c r="C3458" t="s">
        <v>7266</v>
      </c>
      <c r="J3458">
        <f>LEN(Table13[[#This Row],[REFERENCE_DESCR1]])</f>
        <v>6</v>
      </c>
    </row>
    <row r="3459" spans="1:10" hidden="1">
      <c r="A3459" t="s">
        <v>2925</v>
      </c>
      <c r="B3459" t="s">
        <v>7267</v>
      </c>
      <c r="C3459" t="s">
        <v>7268</v>
      </c>
      <c r="J3459">
        <f>LEN(Table13[[#This Row],[REFERENCE_DESCR1]])</f>
        <v>6</v>
      </c>
    </row>
    <row r="3460" spans="1:10" hidden="1">
      <c r="A3460" t="s">
        <v>2925</v>
      </c>
      <c r="B3460" t="s">
        <v>7269</v>
      </c>
      <c r="C3460" t="s">
        <v>7270</v>
      </c>
      <c r="J3460">
        <f>LEN(Table13[[#This Row],[REFERENCE_DESCR1]])</f>
        <v>6</v>
      </c>
    </row>
    <row r="3461" spans="1:10" hidden="1">
      <c r="A3461" t="s">
        <v>2925</v>
      </c>
      <c r="B3461" t="s">
        <v>7271</v>
      </c>
      <c r="C3461" t="s">
        <v>7272</v>
      </c>
      <c r="J3461">
        <f>LEN(Table13[[#This Row],[REFERENCE_DESCR1]])</f>
        <v>10</v>
      </c>
    </row>
    <row r="3462" spans="1:10" hidden="1">
      <c r="A3462" t="s">
        <v>2925</v>
      </c>
      <c r="B3462" t="s">
        <v>7273</v>
      </c>
      <c r="C3462" t="s">
        <v>7274</v>
      </c>
      <c r="J3462">
        <f>LEN(Table13[[#This Row],[REFERENCE_DESCR1]])</f>
        <v>7</v>
      </c>
    </row>
    <row r="3463" spans="1:10" hidden="1">
      <c r="A3463" t="s">
        <v>2925</v>
      </c>
      <c r="B3463" t="s">
        <v>7275</v>
      </c>
      <c r="C3463" t="s">
        <v>7276</v>
      </c>
      <c r="J3463">
        <f>LEN(Table13[[#This Row],[REFERENCE_DESCR1]])</f>
        <v>11</v>
      </c>
    </row>
    <row r="3464" spans="1:10" hidden="1">
      <c r="A3464" t="s">
        <v>2925</v>
      </c>
      <c r="B3464" t="s">
        <v>7277</v>
      </c>
      <c r="C3464" t="s">
        <v>7278</v>
      </c>
      <c r="J3464">
        <f>LEN(Table13[[#This Row],[REFERENCE_DESCR1]])</f>
        <v>11</v>
      </c>
    </row>
    <row r="3465" spans="1:10" hidden="1">
      <c r="A3465" t="s">
        <v>2925</v>
      </c>
      <c r="B3465" t="s">
        <v>7279</v>
      </c>
      <c r="C3465" t="s">
        <v>7280</v>
      </c>
      <c r="J3465">
        <f>LEN(Table13[[#This Row],[REFERENCE_DESCR1]])</f>
        <v>19</v>
      </c>
    </row>
    <row r="3466" spans="1:10" hidden="1">
      <c r="A3466" t="s">
        <v>2925</v>
      </c>
      <c r="B3466" t="s">
        <v>7281</v>
      </c>
      <c r="C3466" t="s">
        <v>7282</v>
      </c>
      <c r="J3466">
        <f>LEN(Table13[[#This Row],[REFERENCE_DESCR1]])</f>
        <v>6</v>
      </c>
    </row>
    <row r="3467" spans="1:10" hidden="1">
      <c r="A3467" t="s">
        <v>2925</v>
      </c>
      <c r="B3467" t="s">
        <v>7283</v>
      </c>
      <c r="C3467" t="s">
        <v>7284</v>
      </c>
      <c r="J3467">
        <f>LEN(Table13[[#This Row],[REFERENCE_DESCR1]])</f>
        <v>18</v>
      </c>
    </row>
    <row r="3468" spans="1:10" hidden="1">
      <c r="A3468" t="s">
        <v>2925</v>
      </c>
      <c r="B3468" t="s">
        <v>7285</v>
      </c>
      <c r="C3468" t="s">
        <v>7286</v>
      </c>
      <c r="J3468">
        <f>LEN(Table13[[#This Row],[REFERENCE_DESCR1]])</f>
        <v>5</v>
      </c>
    </row>
    <row r="3469" spans="1:10" hidden="1">
      <c r="A3469" t="s">
        <v>2925</v>
      </c>
      <c r="B3469" t="s">
        <v>7287</v>
      </c>
      <c r="C3469" t="s">
        <v>7288</v>
      </c>
      <c r="J3469">
        <f>LEN(Table13[[#This Row],[REFERENCE_DESCR1]])</f>
        <v>8</v>
      </c>
    </row>
    <row r="3470" spans="1:10" hidden="1">
      <c r="A3470" t="s">
        <v>2925</v>
      </c>
      <c r="B3470" t="s">
        <v>7289</v>
      </c>
      <c r="C3470" t="s">
        <v>7290</v>
      </c>
      <c r="J3470">
        <f>LEN(Table13[[#This Row],[REFERENCE_DESCR1]])</f>
        <v>20</v>
      </c>
    </row>
    <row r="3471" spans="1:10" hidden="1">
      <c r="A3471" t="s">
        <v>2925</v>
      </c>
      <c r="B3471" t="s">
        <v>7291</v>
      </c>
      <c r="C3471" t="s">
        <v>7292</v>
      </c>
      <c r="J3471">
        <f>LEN(Table13[[#This Row],[REFERENCE_DESCR1]])</f>
        <v>10</v>
      </c>
    </row>
    <row r="3472" spans="1:10" hidden="1">
      <c r="A3472" t="s">
        <v>2925</v>
      </c>
      <c r="B3472" t="s">
        <v>7293</v>
      </c>
      <c r="C3472" t="s">
        <v>7294</v>
      </c>
      <c r="J3472">
        <f>LEN(Table13[[#This Row],[REFERENCE_DESCR1]])</f>
        <v>20</v>
      </c>
    </row>
    <row r="3473" spans="1:10" hidden="1">
      <c r="A3473" t="s">
        <v>2925</v>
      </c>
      <c r="B3473" t="s">
        <v>7295</v>
      </c>
      <c r="C3473" t="s">
        <v>7296</v>
      </c>
      <c r="J3473">
        <f>LEN(Table13[[#This Row],[REFERENCE_DESCR1]])</f>
        <v>16</v>
      </c>
    </row>
    <row r="3474" spans="1:10" hidden="1">
      <c r="A3474" t="s">
        <v>2925</v>
      </c>
      <c r="B3474" t="s">
        <v>7297</v>
      </c>
      <c r="C3474" t="s">
        <v>7298</v>
      </c>
      <c r="J3474">
        <f>LEN(Table13[[#This Row],[REFERENCE_DESCR1]])</f>
        <v>27</v>
      </c>
    </row>
    <row r="3475" spans="1:10" hidden="1">
      <c r="A3475" t="s">
        <v>2925</v>
      </c>
      <c r="B3475" t="s">
        <v>7299</v>
      </c>
      <c r="C3475" t="s">
        <v>7300</v>
      </c>
      <c r="J3475">
        <f>LEN(Table13[[#This Row],[REFERENCE_DESCR1]])</f>
        <v>26</v>
      </c>
    </row>
    <row r="3476" spans="1:10" hidden="1">
      <c r="A3476" t="s">
        <v>2925</v>
      </c>
      <c r="B3476" t="s">
        <v>7301</v>
      </c>
      <c r="C3476" t="s">
        <v>7302</v>
      </c>
      <c r="J3476">
        <f>LEN(Table13[[#This Row],[REFERENCE_DESCR1]])</f>
        <v>33</v>
      </c>
    </row>
    <row r="3477" spans="1:10" hidden="1">
      <c r="A3477" t="s">
        <v>2925</v>
      </c>
      <c r="B3477" t="s">
        <v>7303</v>
      </c>
      <c r="C3477" t="s">
        <v>7304</v>
      </c>
      <c r="J3477">
        <f>LEN(Table13[[#This Row],[REFERENCE_DESCR1]])</f>
        <v>35</v>
      </c>
    </row>
    <row r="3478" spans="1:10" hidden="1">
      <c r="A3478" t="s">
        <v>2925</v>
      </c>
      <c r="B3478" t="s">
        <v>7305</v>
      </c>
      <c r="C3478" t="s">
        <v>7306</v>
      </c>
      <c r="J3478">
        <f>LEN(Table13[[#This Row],[REFERENCE_DESCR1]])</f>
        <v>25</v>
      </c>
    </row>
    <row r="3479" spans="1:10" hidden="1">
      <c r="A3479" t="s">
        <v>2925</v>
      </c>
      <c r="B3479" t="s">
        <v>7307</v>
      </c>
      <c r="C3479" t="s">
        <v>7308</v>
      </c>
      <c r="J3479">
        <f>LEN(Table13[[#This Row],[REFERENCE_DESCR1]])</f>
        <v>28</v>
      </c>
    </row>
    <row r="3480" spans="1:10" hidden="1">
      <c r="A3480" t="s">
        <v>2925</v>
      </c>
      <c r="B3480" t="s">
        <v>7309</v>
      </c>
      <c r="C3480" t="s">
        <v>7310</v>
      </c>
      <c r="J3480">
        <f>LEN(Table13[[#This Row],[REFERENCE_DESCR1]])</f>
        <v>33</v>
      </c>
    </row>
    <row r="3481" spans="1:10" hidden="1">
      <c r="A3481" t="s">
        <v>2925</v>
      </c>
      <c r="B3481" t="s">
        <v>7311</v>
      </c>
      <c r="C3481" t="s">
        <v>7312</v>
      </c>
      <c r="J3481">
        <f>LEN(Table13[[#This Row],[REFERENCE_DESCR1]])</f>
        <v>7</v>
      </c>
    </row>
    <row r="3482" spans="1:10" hidden="1">
      <c r="A3482" t="s">
        <v>2925</v>
      </c>
      <c r="B3482" t="s">
        <v>7313</v>
      </c>
      <c r="C3482" t="s">
        <v>7314</v>
      </c>
      <c r="J3482">
        <f>LEN(Table13[[#This Row],[REFERENCE_DESCR1]])</f>
        <v>7</v>
      </c>
    </row>
    <row r="3483" spans="1:10" hidden="1">
      <c r="A3483" t="s">
        <v>2925</v>
      </c>
      <c r="B3483" t="s">
        <v>7315</v>
      </c>
      <c r="C3483" t="s">
        <v>7316</v>
      </c>
      <c r="J3483">
        <f>LEN(Table13[[#This Row],[REFERENCE_DESCR1]])</f>
        <v>7</v>
      </c>
    </row>
    <row r="3484" spans="1:10" hidden="1">
      <c r="A3484" t="s">
        <v>2925</v>
      </c>
      <c r="B3484" t="s">
        <v>7317</v>
      </c>
      <c r="C3484" t="s">
        <v>7318</v>
      </c>
      <c r="J3484">
        <f>LEN(Table13[[#This Row],[REFERENCE_DESCR1]])</f>
        <v>20</v>
      </c>
    </row>
    <row r="3485" spans="1:10" hidden="1">
      <c r="A3485" t="s">
        <v>2925</v>
      </c>
      <c r="B3485" t="s">
        <v>7319</v>
      </c>
      <c r="C3485" t="s">
        <v>7320</v>
      </c>
      <c r="J3485">
        <f>LEN(Table13[[#This Row],[REFERENCE_DESCR1]])</f>
        <v>10</v>
      </c>
    </row>
    <row r="3486" spans="1:10" hidden="1">
      <c r="A3486" t="s">
        <v>2925</v>
      </c>
      <c r="B3486" t="s">
        <v>7321</v>
      </c>
      <c r="C3486" t="s">
        <v>7322</v>
      </c>
      <c r="J3486">
        <f>LEN(Table13[[#This Row],[REFERENCE_DESCR1]])</f>
        <v>8</v>
      </c>
    </row>
    <row r="3487" spans="1:10" hidden="1">
      <c r="A3487" t="s">
        <v>2925</v>
      </c>
      <c r="B3487" t="s">
        <v>7323</v>
      </c>
      <c r="C3487" t="s">
        <v>7324</v>
      </c>
      <c r="J3487">
        <f>LEN(Table13[[#This Row],[REFERENCE_DESCR1]])</f>
        <v>11</v>
      </c>
    </row>
    <row r="3488" spans="1:10" hidden="1">
      <c r="A3488" t="s">
        <v>2925</v>
      </c>
      <c r="B3488" t="s">
        <v>7325</v>
      </c>
      <c r="C3488" t="s">
        <v>7326</v>
      </c>
      <c r="J3488">
        <f>LEN(Table13[[#This Row],[REFERENCE_DESCR1]])</f>
        <v>24</v>
      </c>
    </row>
    <row r="3489" spans="1:10" hidden="1">
      <c r="A3489" t="s">
        <v>2925</v>
      </c>
      <c r="B3489" t="s">
        <v>7327</v>
      </c>
      <c r="C3489" t="s">
        <v>7328</v>
      </c>
      <c r="J3489">
        <f>LEN(Table13[[#This Row],[REFERENCE_DESCR1]])</f>
        <v>11</v>
      </c>
    </row>
    <row r="3490" spans="1:10" hidden="1">
      <c r="A3490" t="s">
        <v>2925</v>
      </c>
      <c r="B3490" t="s">
        <v>7329</v>
      </c>
      <c r="C3490" t="s">
        <v>7330</v>
      </c>
      <c r="J3490">
        <f>LEN(Table13[[#This Row],[REFERENCE_DESCR1]])</f>
        <v>11</v>
      </c>
    </row>
    <row r="3491" spans="1:10" hidden="1">
      <c r="A3491" t="s">
        <v>2925</v>
      </c>
      <c r="B3491" t="s">
        <v>7331</v>
      </c>
      <c r="C3491" t="s">
        <v>7332</v>
      </c>
      <c r="J3491">
        <f>LEN(Table13[[#This Row],[REFERENCE_DESCR1]])</f>
        <v>23</v>
      </c>
    </row>
    <row r="3492" spans="1:10" hidden="1">
      <c r="A3492" t="s">
        <v>2925</v>
      </c>
      <c r="B3492" t="s">
        <v>7333</v>
      </c>
      <c r="C3492" t="s">
        <v>7334</v>
      </c>
      <c r="J3492">
        <f>LEN(Table13[[#This Row],[REFERENCE_DESCR1]])</f>
        <v>10</v>
      </c>
    </row>
    <row r="3493" spans="1:10" hidden="1">
      <c r="A3493" t="s">
        <v>2925</v>
      </c>
      <c r="B3493" t="s">
        <v>7335</v>
      </c>
      <c r="C3493" t="s">
        <v>7336</v>
      </c>
      <c r="J3493">
        <f>LEN(Table13[[#This Row],[REFERENCE_DESCR1]])</f>
        <v>11</v>
      </c>
    </row>
    <row r="3494" spans="1:10" hidden="1">
      <c r="A3494" t="s">
        <v>2925</v>
      </c>
      <c r="B3494" t="s">
        <v>7337</v>
      </c>
      <c r="C3494" t="s">
        <v>7338</v>
      </c>
      <c r="J3494">
        <f>LEN(Table13[[#This Row],[REFERENCE_DESCR1]])</f>
        <v>7</v>
      </c>
    </row>
    <row r="3495" spans="1:10" hidden="1">
      <c r="A3495" t="s">
        <v>2925</v>
      </c>
      <c r="B3495" t="s">
        <v>7339</v>
      </c>
      <c r="C3495" t="s">
        <v>7340</v>
      </c>
      <c r="J3495">
        <f>LEN(Table13[[#This Row],[REFERENCE_DESCR1]])</f>
        <v>15</v>
      </c>
    </row>
    <row r="3496" spans="1:10" hidden="1">
      <c r="A3496" t="s">
        <v>2925</v>
      </c>
      <c r="B3496" t="s">
        <v>7341</v>
      </c>
      <c r="C3496" t="s">
        <v>7342</v>
      </c>
      <c r="J3496">
        <f>LEN(Table13[[#This Row],[REFERENCE_DESCR1]])</f>
        <v>9</v>
      </c>
    </row>
    <row r="3497" spans="1:10" hidden="1">
      <c r="A3497" t="s">
        <v>2925</v>
      </c>
      <c r="B3497" t="s">
        <v>7343</v>
      </c>
      <c r="C3497" t="s">
        <v>7344</v>
      </c>
      <c r="J3497">
        <f>LEN(Table13[[#This Row],[REFERENCE_DESCR1]])</f>
        <v>9</v>
      </c>
    </row>
    <row r="3498" spans="1:10" hidden="1">
      <c r="A3498" t="s">
        <v>2925</v>
      </c>
      <c r="B3498" t="s">
        <v>7345</v>
      </c>
      <c r="C3498" t="s">
        <v>7346</v>
      </c>
      <c r="J3498">
        <f>LEN(Table13[[#This Row],[REFERENCE_DESCR1]])</f>
        <v>7</v>
      </c>
    </row>
    <row r="3499" spans="1:10" hidden="1">
      <c r="A3499" t="s">
        <v>2925</v>
      </c>
      <c r="B3499" t="s">
        <v>7347</v>
      </c>
      <c r="C3499" t="s">
        <v>7348</v>
      </c>
      <c r="J3499">
        <f>LEN(Table13[[#This Row],[REFERENCE_DESCR1]])</f>
        <v>19</v>
      </c>
    </row>
    <row r="3500" spans="1:10" hidden="1">
      <c r="A3500" t="s">
        <v>2925</v>
      </c>
      <c r="B3500" t="s">
        <v>7349</v>
      </c>
      <c r="C3500" t="s">
        <v>7350</v>
      </c>
      <c r="J3500">
        <f>LEN(Table13[[#This Row],[REFERENCE_DESCR1]])</f>
        <v>19</v>
      </c>
    </row>
    <row r="3501" spans="1:10" hidden="1">
      <c r="A3501" t="s">
        <v>2925</v>
      </c>
      <c r="B3501" t="s">
        <v>7351</v>
      </c>
      <c r="C3501" t="s">
        <v>7352</v>
      </c>
      <c r="J3501">
        <f>LEN(Table13[[#This Row],[REFERENCE_DESCR1]])</f>
        <v>10</v>
      </c>
    </row>
    <row r="3502" spans="1:10" hidden="1">
      <c r="A3502" t="s">
        <v>2925</v>
      </c>
      <c r="B3502" t="s">
        <v>7353</v>
      </c>
      <c r="C3502" t="s">
        <v>7354</v>
      </c>
      <c r="J3502">
        <f>LEN(Table13[[#This Row],[REFERENCE_DESCR1]])</f>
        <v>9</v>
      </c>
    </row>
    <row r="3503" spans="1:10" hidden="1">
      <c r="A3503" t="s">
        <v>2925</v>
      </c>
      <c r="B3503" t="s">
        <v>7355</v>
      </c>
      <c r="C3503" t="s">
        <v>7356</v>
      </c>
      <c r="J3503">
        <f>LEN(Table13[[#This Row],[REFERENCE_DESCR1]])</f>
        <v>26</v>
      </c>
    </row>
    <row r="3504" spans="1:10" hidden="1">
      <c r="A3504" t="s">
        <v>2925</v>
      </c>
      <c r="B3504" t="s">
        <v>7357</v>
      </c>
      <c r="C3504" t="s">
        <v>7358</v>
      </c>
      <c r="J3504">
        <f>LEN(Table13[[#This Row],[REFERENCE_DESCR1]])</f>
        <v>14</v>
      </c>
    </row>
    <row r="3505" spans="1:10" hidden="1">
      <c r="A3505" t="s">
        <v>2925</v>
      </c>
      <c r="B3505" t="s">
        <v>7359</v>
      </c>
      <c r="C3505" t="s">
        <v>7360</v>
      </c>
      <c r="J3505">
        <f>LEN(Table13[[#This Row],[REFERENCE_DESCR1]])</f>
        <v>11</v>
      </c>
    </row>
    <row r="3506" spans="1:10" hidden="1">
      <c r="A3506" t="s">
        <v>2925</v>
      </c>
      <c r="B3506" t="s">
        <v>7361</v>
      </c>
      <c r="C3506" t="s">
        <v>7362</v>
      </c>
      <c r="J3506">
        <f>LEN(Table13[[#This Row],[REFERENCE_DESCR1]])</f>
        <v>12</v>
      </c>
    </row>
    <row r="3507" spans="1:10" hidden="1">
      <c r="A3507" t="s">
        <v>2925</v>
      </c>
      <c r="B3507" t="s">
        <v>7363</v>
      </c>
      <c r="C3507" t="s">
        <v>7364</v>
      </c>
      <c r="J3507">
        <f>LEN(Table13[[#This Row],[REFERENCE_DESCR1]])</f>
        <v>25</v>
      </c>
    </row>
    <row r="3508" spans="1:10" hidden="1">
      <c r="A3508" t="s">
        <v>2925</v>
      </c>
      <c r="B3508" t="s">
        <v>7365</v>
      </c>
      <c r="C3508" t="s">
        <v>7366</v>
      </c>
      <c r="J3508">
        <f>LEN(Table13[[#This Row],[REFERENCE_DESCR1]])</f>
        <v>25</v>
      </c>
    </row>
    <row r="3509" spans="1:10" hidden="1">
      <c r="A3509" t="s">
        <v>2925</v>
      </c>
      <c r="B3509" t="s">
        <v>7367</v>
      </c>
      <c r="C3509" t="s">
        <v>7368</v>
      </c>
      <c r="J3509">
        <f>LEN(Table13[[#This Row],[REFERENCE_DESCR1]])</f>
        <v>25</v>
      </c>
    </row>
    <row r="3510" spans="1:10" hidden="1">
      <c r="A3510" t="s">
        <v>2925</v>
      </c>
      <c r="B3510" t="s">
        <v>7369</v>
      </c>
      <c r="C3510" t="s">
        <v>7370</v>
      </c>
      <c r="J3510">
        <f>LEN(Table13[[#This Row],[REFERENCE_DESCR1]])</f>
        <v>27</v>
      </c>
    </row>
    <row r="3511" spans="1:10" hidden="1">
      <c r="A3511" t="s">
        <v>2925</v>
      </c>
      <c r="B3511" t="s">
        <v>7371</v>
      </c>
      <c r="C3511" t="s">
        <v>7372</v>
      </c>
      <c r="J3511">
        <f>LEN(Table13[[#This Row],[REFERENCE_DESCR1]])</f>
        <v>7</v>
      </c>
    </row>
    <row r="3512" spans="1:10" hidden="1">
      <c r="A3512" t="s">
        <v>2925</v>
      </c>
      <c r="B3512" t="s">
        <v>7373</v>
      </c>
      <c r="C3512" t="s">
        <v>7374</v>
      </c>
      <c r="J3512">
        <f>LEN(Table13[[#This Row],[REFERENCE_DESCR1]])</f>
        <v>12</v>
      </c>
    </row>
    <row r="3513" spans="1:10" hidden="1">
      <c r="A3513" t="s">
        <v>2925</v>
      </c>
      <c r="B3513" t="s">
        <v>7375</v>
      </c>
      <c r="C3513" t="s">
        <v>7376</v>
      </c>
      <c r="J3513">
        <f>LEN(Table13[[#This Row],[REFERENCE_DESCR1]])</f>
        <v>6</v>
      </c>
    </row>
    <row r="3514" spans="1:10" hidden="1">
      <c r="A3514" t="s">
        <v>2925</v>
      </c>
      <c r="B3514" t="s">
        <v>7377</v>
      </c>
      <c r="C3514" t="s">
        <v>7378</v>
      </c>
      <c r="J3514">
        <f>LEN(Table13[[#This Row],[REFERENCE_DESCR1]])</f>
        <v>11</v>
      </c>
    </row>
    <row r="3515" spans="1:10" hidden="1">
      <c r="A3515" t="s">
        <v>2925</v>
      </c>
      <c r="B3515" t="s">
        <v>7379</v>
      </c>
      <c r="C3515" t="s">
        <v>7380</v>
      </c>
      <c r="J3515">
        <f>LEN(Table13[[#This Row],[REFERENCE_DESCR1]])</f>
        <v>13</v>
      </c>
    </row>
    <row r="3516" spans="1:10" hidden="1">
      <c r="A3516" t="s">
        <v>2925</v>
      </c>
      <c r="B3516" t="s">
        <v>7381</v>
      </c>
      <c r="C3516" t="s">
        <v>7382</v>
      </c>
      <c r="J3516">
        <f>LEN(Table13[[#This Row],[REFERENCE_DESCR1]])</f>
        <v>24</v>
      </c>
    </row>
    <row r="3517" spans="1:10" hidden="1">
      <c r="A3517" t="s">
        <v>2925</v>
      </c>
      <c r="B3517" t="s">
        <v>7383</v>
      </c>
      <c r="C3517" t="s">
        <v>7384</v>
      </c>
      <c r="J3517">
        <f>LEN(Table13[[#This Row],[REFERENCE_DESCR1]])</f>
        <v>26</v>
      </c>
    </row>
    <row r="3518" spans="1:10" hidden="1">
      <c r="A3518" t="s">
        <v>2925</v>
      </c>
      <c r="B3518" t="s">
        <v>7385</v>
      </c>
      <c r="C3518" t="s">
        <v>7386</v>
      </c>
      <c r="J3518">
        <f>LEN(Table13[[#This Row],[REFERENCE_DESCR1]])</f>
        <v>21</v>
      </c>
    </row>
    <row r="3519" spans="1:10" hidden="1">
      <c r="A3519" t="s">
        <v>2925</v>
      </c>
      <c r="B3519" t="s">
        <v>7387</v>
      </c>
      <c r="C3519" t="s">
        <v>7388</v>
      </c>
      <c r="J3519">
        <f>LEN(Table13[[#This Row],[REFERENCE_DESCR1]])</f>
        <v>27</v>
      </c>
    </row>
    <row r="3520" spans="1:10" hidden="1">
      <c r="A3520" t="s">
        <v>2925</v>
      </c>
      <c r="B3520" t="s">
        <v>7389</v>
      </c>
      <c r="C3520" t="s">
        <v>7390</v>
      </c>
      <c r="J3520">
        <f>LEN(Table13[[#This Row],[REFERENCE_DESCR1]])</f>
        <v>23</v>
      </c>
    </row>
    <row r="3521" spans="1:10" hidden="1">
      <c r="A3521" t="s">
        <v>2925</v>
      </c>
      <c r="B3521" t="s">
        <v>7391</v>
      </c>
      <c r="C3521" t="s">
        <v>7392</v>
      </c>
      <c r="J3521">
        <f>LEN(Table13[[#This Row],[REFERENCE_DESCR1]])</f>
        <v>28</v>
      </c>
    </row>
    <row r="3522" spans="1:10" hidden="1">
      <c r="A3522" t="s">
        <v>2925</v>
      </c>
      <c r="B3522" t="s">
        <v>7393</v>
      </c>
      <c r="C3522" t="s">
        <v>7394</v>
      </c>
      <c r="J3522">
        <f>LEN(Table13[[#This Row],[REFERENCE_DESCR1]])</f>
        <v>25</v>
      </c>
    </row>
    <row r="3523" spans="1:10" hidden="1">
      <c r="A3523" t="s">
        <v>2925</v>
      </c>
      <c r="B3523" t="s">
        <v>7395</v>
      </c>
      <c r="C3523" t="s">
        <v>7396</v>
      </c>
      <c r="J3523">
        <f>LEN(Table13[[#This Row],[REFERENCE_DESCR1]])</f>
        <v>32</v>
      </c>
    </row>
    <row r="3524" spans="1:10" hidden="1">
      <c r="A3524" t="s">
        <v>2925</v>
      </c>
      <c r="B3524" t="s">
        <v>7397</v>
      </c>
      <c r="C3524" t="s">
        <v>7398</v>
      </c>
      <c r="J3524">
        <f>LEN(Table13[[#This Row],[REFERENCE_DESCR1]])</f>
        <v>33</v>
      </c>
    </row>
    <row r="3525" spans="1:10" hidden="1">
      <c r="A3525" t="s">
        <v>2925</v>
      </c>
      <c r="B3525" t="s">
        <v>7399</v>
      </c>
      <c r="C3525" t="s">
        <v>7400</v>
      </c>
      <c r="J3525">
        <f>LEN(Table13[[#This Row],[REFERENCE_DESCR1]])</f>
        <v>27</v>
      </c>
    </row>
    <row r="3526" spans="1:10" hidden="1">
      <c r="A3526" t="s">
        <v>2925</v>
      </c>
      <c r="B3526" t="s">
        <v>7401</v>
      </c>
      <c r="C3526" t="s">
        <v>7402</v>
      </c>
      <c r="J3526">
        <f>LEN(Table13[[#This Row],[REFERENCE_DESCR1]])</f>
        <v>28</v>
      </c>
    </row>
    <row r="3527" spans="1:10" hidden="1">
      <c r="A3527" t="s">
        <v>2925</v>
      </c>
      <c r="B3527" t="s">
        <v>7403</v>
      </c>
      <c r="C3527" t="s">
        <v>7404</v>
      </c>
      <c r="J3527">
        <f>LEN(Table13[[#This Row],[REFERENCE_DESCR1]])</f>
        <v>25</v>
      </c>
    </row>
    <row r="3528" spans="1:10" hidden="1">
      <c r="A3528" t="s">
        <v>2925</v>
      </c>
      <c r="B3528" t="s">
        <v>7405</v>
      </c>
      <c r="C3528" t="s">
        <v>7406</v>
      </c>
      <c r="J3528">
        <f>LEN(Table13[[#This Row],[REFERENCE_DESCR1]])</f>
        <v>25</v>
      </c>
    </row>
    <row r="3529" spans="1:10" hidden="1">
      <c r="A3529" t="s">
        <v>2925</v>
      </c>
      <c r="B3529" t="s">
        <v>7407</v>
      </c>
      <c r="C3529" t="s">
        <v>7408</v>
      </c>
      <c r="J3529">
        <f>LEN(Table13[[#This Row],[REFERENCE_DESCR1]])</f>
        <v>25</v>
      </c>
    </row>
    <row r="3530" spans="1:10" hidden="1">
      <c r="A3530" t="s">
        <v>2925</v>
      </c>
      <c r="B3530" t="s">
        <v>7409</v>
      </c>
      <c r="C3530" t="s">
        <v>7410</v>
      </c>
      <c r="J3530">
        <f>LEN(Table13[[#This Row],[REFERENCE_DESCR1]])</f>
        <v>24</v>
      </c>
    </row>
    <row r="3531" spans="1:10" hidden="1">
      <c r="A3531" t="s">
        <v>2925</v>
      </c>
      <c r="B3531" t="s">
        <v>7411</v>
      </c>
      <c r="C3531" t="s">
        <v>7412</v>
      </c>
      <c r="J3531">
        <f>LEN(Table13[[#This Row],[REFERENCE_DESCR1]])</f>
        <v>25</v>
      </c>
    </row>
    <row r="3532" spans="1:10" hidden="1">
      <c r="A3532" t="s">
        <v>2925</v>
      </c>
      <c r="B3532" t="s">
        <v>7413</v>
      </c>
      <c r="C3532" t="s">
        <v>7414</v>
      </c>
      <c r="J3532">
        <f>LEN(Table13[[#This Row],[REFERENCE_DESCR1]])</f>
        <v>24</v>
      </c>
    </row>
    <row r="3533" spans="1:10" hidden="1">
      <c r="A3533" t="s">
        <v>2925</v>
      </c>
      <c r="B3533" t="s">
        <v>7415</v>
      </c>
      <c r="C3533" t="s">
        <v>7416</v>
      </c>
      <c r="J3533">
        <f>LEN(Table13[[#This Row],[REFERENCE_DESCR1]])</f>
        <v>11</v>
      </c>
    </row>
    <row r="3534" spans="1:10" hidden="1">
      <c r="A3534" t="s">
        <v>2925</v>
      </c>
      <c r="B3534" t="s">
        <v>7417</v>
      </c>
      <c r="C3534" t="s">
        <v>7418</v>
      </c>
      <c r="J3534">
        <f>LEN(Table13[[#This Row],[REFERENCE_DESCR1]])</f>
        <v>23</v>
      </c>
    </row>
    <row r="3535" spans="1:10" hidden="1">
      <c r="A3535" t="s">
        <v>2925</v>
      </c>
      <c r="B3535" t="s">
        <v>7419</v>
      </c>
      <c r="C3535" t="s">
        <v>7420</v>
      </c>
      <c r="J3535">
        <f>LEN(Table13[[#This Row],[REFERENCE_DESCR1]])</f>
        <v>9</v>
      </c>
    </row>
    <row r="3536" spans="1:10" hidden="1">
      <c r="A3536" t="s">
        <v>2925</v>
      </c>
      <c r="B3536" t="s">
        <v>7421</v>
      </c>
      <c r="C3536" t="s">
        <v>7422</v>
      </c>
      <c r="J3536">
        <f>LEN(Table13[[#This Row],[REFERENCE_DESCR1]])</f>
        <v>17</v>
      </c>
    </row>
    <row r="3537" spans="1:10" hidden="1">
      <c r="A3537" t="s">
        <v>2925</v>
      </c>
      <c r="B3537" t="s">
        <v>7423</v>
      </c>
      <c r="C3537" t="s">
        <v>7424</v>
      </c>
      <c r="J3537">
        <f>LEN(Table13[[#This Row],[REFERENCE_DESCR1]])</f>
        <v>17</v>
      </c>
    </row>
    <row r="3538" spans="1:10" hidden="1">
      <c r="A3538" t="s">
        <v>2925</v>
      </c>
      <c r="B3538" t="s">
        <v>7425</v>
      </c>
      <c r="C3538" t="s">
        <v>7426</v>
      </c>
      <c r="J3538">
        <f>LEN(Table13[[#This Row],[REFERENCE_DESCR1]])</f>
        <v>19</v>
      </c>
    </row>
    <row r="3539" spans="1:10" hidden="1">
      <c r="A3539" t="s">
        <v>2925</v>
      </c>
      <c r="B3539" t="s">
        <v>7427</v>
      </c>
      <c r="C3539" t="s">
        <v>7428</v>
      </c>
      <c r="J3539">
        <f>LEN(Table13[[#This Row],[REFERENCE_DESCR1]])</f>
        <v>14</v>
      </c>
    </row>
    <row r="3540" spans="1:10" hidden="1">
      <c r="A3540" t="s">
        <v>2925</v>
      </c>
      <c r="B3540" t="s">
        <v>7429</v>
      </c>
      <c r="C3540" t="s">
        <v>7430</v>
      </c>
      <c r="J3540">
        <f>LEN(Table13[[#This Row],[REFERENCE_DESCR1]])</f>
        <v>22</v>
      </c>
    </row>
    <row r="3541" spans="1:10" hidden="1">
      <c r="A3541" t="s">
        <v>2925</v>
      </c>
      <c r="B3541" t="s">
        <v>7431</v>
      </c>
      <c r="C3541" t="s">
        <v>7432</v>
      </c>
      <c r="J3541">
        <f>LEN(Table13[[#This Row],[REFERENCE_DESCR1]])</f>
        <v>21</v>
      </c>
    </row>
    <row r="3542" spans="1:10" hidden="1">
      <c r="A3542" t="s">
        <v>2925</v>
      </c>
      <c r="B3542" t="s">
        <v>7433</v>
      </c>
      <c r="C3542" t="s">
        <v>7434</v>
      </c>
      <c r="J3542">
        <f>LEN(Table13[[#This Row],[REFERENCE_DESCR1]])</f>
        <v>14</v>
      </c>
    </row>
    <row r="3543" spans="1:10" hidden="1">
      <c r="A3543" t="s">
        <v>2925</v>
      </c>
      <c r="B3543" t="s">
        <v>7435</v>
      </c>
      <c r="C3543" t="s">
        <v>7436</v>
      </c>
      <c r="J3543">
        <f>LEN(Table13[[#This Row],[REFERENCE_DESCR1]])</f>
        <v>20</v>
      </c>
    </row>
    <row r="3544" spans="1:10" hidden="1">
      <c r="A3544" t="s">
        <v>2925</v>
      </c>
      <c r="B3544" t="s">
        <v>7437</v>
      </c>
      <c r="C3544" t="s">
        <v>7438</v>
      </c>
      <c r="J3544">
        <f>LEN(Table13[[#This Row],[REFERENCE_DESCR1]])</f>
        <v>10</v>
      </c>
    </row>
    <row r="3545" spans="1:10" hidden="1">
      <c r="A3545" t="s">
        <v>2925</v>
      </c>
      <c r="B3545" t="s">
        <v>7439</v>
      </c>
      <c r="C3545" t="s">
        <v>7440</v>
      </c>
      <c r="J3545">
        <f>LEN(Table13[[#This Row],[REFERENCE_DESCR1]])</f>
        <v>11</v>
      </c>
    </row>
    <row r="3546" spans="1:10" hidden="1">
      <c r="A3546" t="s">
        <v>2925</v>
      </c>
      <c r="B3546" t="s">
        <v>7441</v>
      </c>
      <c r="C3546" t="s">
        <v>7442</v>
      </c>
      <c r="J3546">
        <f>LEN(Table13[[#This Row],[REFERENCE_DESCR1]])</f>
        <v>10</v>
      </c>
    </row>
    <row r="3547" spans="1:10" hidden="1">
      <c r="A3547" t="s">
        <v>2925</v>
      </c>
      <c r="B3547" t="s">
        <v>7443</v>
      </c>
      <c r="C3547" t="s">
        <v>7444</v>
      </c>
      <c r="J3547">
        <f>LEN(Table13[[#This Row],[REFERENCE_DESCR1]])</f>
        <v>12</v>
      </c>
    </row>
    <row r="3548" spans="1:10" hidden="1">
      <c r="A3548" t="s">
        <v>2925</v>
      </c>
      <c r="B3548" t="s">
        <v>7445</v>
      </c>
      <c r="C3548" t="s">
        <v>7446</v>
      </c>
      <c r="J3548">
        <f>LEN(Table13[[#This Row],[REFERENCE_DESCR1]])</f>
        <v>23</v>
      </c>
    </row>
    <row r="3549" spans="1:10" hidden="1">
      <c r="A3549" t="s">
        <v>2925</v>
      </c>
      <c r="B3549" t="s">
        <v>7447</v>
      </c>
      <c r="C3549" t="s">
        <v>7448</v>
      </c>
      <c r="J3549">
        <f>LEN(Table13[[#This Row],[REFERENCE_DESCR1]])</f>
        <v>30</v>
      </c>
    </row>
    <row r="3550" spans="1:10" hidden="1">
      <c r="A3550" t="s">
        <v>2925</v>
      </c>
      <c r="B3550" t="s">
        <v>7449</v>
      </c>
      <c r="C3550" t="s">
        <v>7450</v>
      </c>
      <c r="J3550">
        <f>LEN(Table13[[#This Row],[REFERENCE_DESCR1]])</f>
        <v>26</v>
      </c>
    </row>
    <row r="3551" spans="1:10" hidden="1">
      <c r="A3551" t="s">
        <v>2925</v>
      </c>
      <c r="B3551" t="s">
        <v>7451</v>
      </c>
      <c r="C3551" t="s">
        <v>7452</v>
      </c>
      <c r="J3551">
        <f>LEN(Table13[[#This Row],[REFERENCE_DESCR1]])</f>
        <v>28</v>
      </c>
    </row>
    <row r="3552" spans="1:10" hidden="1">
      <c r="A3552" t="s">
        <v>2925</v>
      </c>
      <c r="B3552" t="s">
        <v>7453</v>
      </c>
      <c r="C3552" t="s">
        <v>7454</v>
      </c>
      <c r="J3552">
        <f>LEN(Table13[[#This Row],[REFERENCE_DESCR1]])</f>
        <v>24</v>
      </c>
    </row>
    <row r="3553" spans="1:10" hidden="1">
      <c r="A3553" t="s">
        <v>2925</v>
      </c>
      <c r="B3553" t="s">
        <v>7455</v>
      </c>
      <c r="C3553" t="s">
        <v>7456</v>
      </c>
      <c r="J3553">
        <f>LEN(Table13[[#This Row],[REFERENCE_DESCR1]])</f>
        <v>23</v>
      </c>
    </row>
    <row r="3554" spans="1:10" hidden="1">
      <c r="A3554" t="s">
        <v>2925</v>
      </c>
      <c r="B3554" t="s">
        <v>7457</v>
      </c>
      <c r="C3554" t="s">
        <v>7458</v>
      </c>
      <c r="J3554">
        <f>LEN(Table13[[#This Row],[REFERENCE_DESCR1]])</f>
        <v>25</v>
      </c>
    </row>
    <row r="3555" spans="1:10" hidden="1">
      <c r="A3555" t="s">
        <v>2925</v>
      </c>
      <c r="B3555" t="s">
        <v>7459</v>
      </c>
      <c r="C3555" t="s">
        <v>7460</v>
      </c>
      <c r="J3555">
        <f>LEN(Table13[[#This Row],[REFERENCE_DESCR1]])</f>
        <v>34</v>
      </c>
    </row>
    <row r="3556" spans="1:10" hidden="1">
      <c r="A3556" t="s">
        <v>2925</v>
      </c>
      <c r="B3556" t="s">
        <v>7461</v>
      </c>
      <c r="C3556" t="s">
        <v>7462</v>
      </c>
      <c r="J3556">
        <f>LEN(Table13[[#This Row],[REFERENCE_DESCR1]])</f>
        <v>21</v>
      </c>
    </row>
    <row r="3557" spans="1:10" hidden="1">
      <c r="A3557" t="s">
        <v>2925</v>
      </c>
      <c r="B3557" t="s">
        <v>7463</v>
      </c>
      <c r="C3557" t="s">
        <v>7464</v>
      </c>
      <c r="J3557">
        <f>LEN(Table13[[#This Row],[REFERENCE_DESCR1]])</f>
        <v>23</v>
      </c>
    </row>
    <row r="3558" spans="1:10" hidden="1">
      <c r="A3558" t="s">
        <v>2925</v>
      </c>
      <c r="B3558" t="s">
        <v>7465</v>
      </c>
      <c r="C3558" t="s">
        <v>7466</v>
      </c>
      <c r="J3558">
        <f>LEN(Table13[[#This Row],[REFERENCE_DESCR1]])</f>
        <v>24</v>
      </c>
    </row>
    <row r="3559" spans="1:10" hidden="1">
      <c r="A3559" t="s">
        <v>2925</v>
      </c>
      <c r="B3559" t="s">
        <v>7467</v>
      </c>
      <c r="C3559" t="s">
        <v>7468</v>
      </c>
      <c r="J3559">
        <f>LEN(Table13[[#This Row],[REFERENCE_DESCR1]])</f>
        <v>32</v>
      </c>
    </row>
    <row r="3560" spans="1:10" hidden="1">
      <c r="A3560" t="s">
        <v>2925</v>
      </c>
      <c r="B3560" t="s">
        <v>7469</v>
      </c>
      <c r="C3560" t="s">
        <v>7470</v>
      </c>
      <c r="J3560">
        <f>LEN(Table13[[#This Row],[REFERENCE_DESCR1]])</f>
        <v>30</v>
      </c>
    </row>
    <row r="3561" spans="1:10" hidden="1">
      <c r="A3561" t="s">
        <v>2925</v>
      </c>
      <c r="B3561" t="s">
        <v>7471</v>
      </c>
      <c r="C3561" t="s">
        <v>7472</v>
      </c>
      <c r="J3561">
        <f>LEN(Table13[[#This Row],[REFERENCE_DESCR1]])</f>
        <v>19</v>
      </c>
    </row>
    <row r="3562" spans="1:10" hidden="1">
      <c r="A3562" t="s">
        <v>2925</v>
      </c>
      <c r="B3562" t="s">
        <v>7473</v>
      </c>
      <c r="C3562" t="s">
        <v>7474</v>
      </c>
      <c r="J3562">
        <f>LEN(Table13[[#This Row],[REFERENCE_DESCR1]])</f>
        <v>21</v>
      </c>
    </row>
    <row r="3563" spans="1:10" hidden="1">
      <c r="A3563" t="s">
        <v>2925</v>
      </c>
      <c r="B3563" t="s">
        <v>7475</v>
      </c>
      <c r="C3563" t="s">
        <v>7476</v>
      </c>
      <c r="J3563">
        <f>LEN(Table13[[#This Row],[REFERENCE_DESCR1]])</f>
        <v>22</v>
      </c>
    </row>
    <row r="3564" spans="1:10" hidden="1">
      <c r="A3564" t="s">
        <v>2925</v>
      </c>
      <c r="B3564" t="s">
        <v>7477</v>
      </c>
      <c r="C3564" t="s">
        <v>7478</v>
      </c>
      <c r="J3564">
        <f>LEN(Table13[[#This Row],[REFERENCE_DESCR1]])</f>
        <v>28</v>
      </c>
    </row>
    <row r="3565" spans="1:10" hidden="1">
      <c r="A3565" t="s">
        <v>2925</v>
      </c>
      <c r="B3565" t="s">
        <v>7479</v>
      </c>
      <c r="C3565" t="s">
        <v>7480</v>
      </c>
      <c r="J3565">
        <f>LEN(Table13[[#This Row],[REFERENCE_DESCR1]])</f>
        <v>35</v>
      </c>
    </row>
    <row r="3566" spans="1:10" hidden="1">
      <c r="A3566" t="s">
        <v>2925</v>
      </c>
      <c r="B3566" t="s">
        <v>7481</v>
      </c>
      <c r="C3566" t="s">
        <v>7482</v>
      </c>
      <c r="J3566">
        <f>LEN(Table13[[#This Row],[REFERENCE_DESCR1]])</f>
        <v>25</v>
      </c>
    </row>
    <row r="3567" spans="1:10" hidden="1">
      <c r="A3567" t="s">
        <v>2925</v>
      </c>
      <c r="B3567" t="s">
        <v>7483</v>
      </c>
      <c r="C3567" t="s">
        <v>7484</v>
      </c>
      <c r="J3567">
        <f>LEN(Table13[[#This Row],[REFERENCE_DESCR1]])</f>
        <v>30</v>
      </c>
    </row>
    <row r="3568" spans="1:10" hidden="1">
      <c r="A3568" t="s">
        <v>2925</v>
      </c>
      <c r="B3568" t="s">
        <v>7485</v>
      </c>
      <c r="C3568" t="s">
        <v>7486</v>
      </c>
      <c r="J3568">
        <f>LEN(Table13[[#This Row],[REFERENCE_DESCR1]])</f>
        <v>23</v>
      </c>
    </row>
    <row r="3569" spans="1:10" hidden="1">
      <c r="A3569" t="s">
        <v>2925</v>
      </c>
      <c r="B3569" t="s">
        <v>7487</v>
      </c>
      <c r="C3569" t="s">
        <v>7488</v>
      </c>
      <c r="J3569">
        <f>LEN(Table13[[#This Row],[REFERENCE_DESCR1]])</f>
        <v>24</v>
      </c>
    </row>
    <row r="3570" spans="1:10" hidden="1">
      <c r="A3570" t="s">
        <v>2925</v>
      </c>
      <c r="B3570" t="s">
        <v>7489</v>
      </c>
      <c r="C3570" t="s">
        <v>7490</v>
      </c>
      <c r="J3570">
        <f>LEN(Table13[[#This Row],[REFERENCE_DESCR1]])</f>
        <v>23</v>
      </c>
    </row>
    <row r="3571" spans="1:10" hidden="1">
      <c r="A3571" t="s">
        <v>2925</v>
      </c>
      <c r="B3571" t="s">
        <v>7491</v>
      </c>
      <c r="C3571" t="s">
        <v>7492</v>
      </c>
      <c r="J3571">
        <f>LEN(Table13[[#This Row],[REFERENCE_DESCR1]])</f>
        <v>32</v>
      </c>
    </row>
    <row r="3572" spans="1:10" hidden="1">
      <c r="A3572" t="s">
        <v>2925</v>
      </c>
      <c r="B3572" t="s">
        <v>7493</v>
      </c>
      <c r="C3572" t="s">
        <v>7494</v>
      </c>
      <c r="J3572">
        <f>LEN(Table13[[#This Row],[REFERENCE_DESCR1]])</f>
        <v>23</v>
      </c>
    </row>
    <row r="3573" spans="1:10" hidden="1">
      <c r="A3573" t="s">
        <v>2925</v>
      </c>
      <c r="B3573" t="s">
        <v>7495</v>
      </c>
      <c r="C3573" t="s">
        <v>7496</v>
      </c>
      <c r="J3573">
        <f>LEN(Table13[[#This Row],[REFERENCE_DESCR1]])</f>
        <v>11</v>
      </c>
    </row>
    <row r="3574" spans="1:10" hidden="1">
      <c r="A3574" t="s">
        <v>2925</v>
      </c>
      <c r="B3574" t="s">
        <v>7497</v>
      </c>
      <c r="C3574" t="s">
        <v>7498</v>
      </c>
      <c r="J3574">
        <f>LEN(Table13[[#This Row],[REFERENCE_DESCR1]])</f>
        <v>36</v>
      </c>
    </row>
    <row r="3575" spans="1:10" hidden="1">
      <c r="A3575" t="s">
        <v>2925</v>
      </c>
      <c r="B3575" t="s">
        <v>7499</v>
      </c>
      <c r="C3575" t="s">
        <v>7500</v>
      </c>
      <c r="J3575">
        <f>LEN(Table13[[#This Row],[REFERENCE_DESCR1]])</f>
        <v>25</v>
      </c>
    </row>
    <row r="3576" spans="1:10" hidden="1">
      <c r="A3576" t="s">
        <v>2925</v>
      </c>
      <c r="B3576" t="s">
        <v>7501</v>
      </c>
      <c r="C3576" t="s">
        <v>7502</v>
      </c>
      <c r="J3576">
        <f>LEN(Table13[[#This Row],[REFERENCE_DESCR1]])</f>
        <v>25</v>
      </c>
    </row>
    <row r="3577" spans="1:10" hidden="1">
      <c r="A3577" t="s">
        <v>2925</v>
      </c>
      <c r="B3577" t="s">
        <v>7503</v>
      </c>
      <c r="C3577" t="s">
        <v>7504</v>
      </c>
      <c r="J3577">
        <f>LEN(Table13[[#This Row],[REFERENCE_DESCR1]])</f>
        <v>9</v>
      </c>
    </row>
    <row r="3578" spans="1:10" hidden="1">
      <c r="A3578" t="s">
        <v>2925</v>
      </c>
      <c r="B3578" t="s">
        <v>7505</v>
      </c>
      <c r="C3578" t="s">
        <v>7506</v>
      </c>
      <c r="J3578">
        <f>LEN(Table13[[#This Row],[REFERENCE_DESCR1]])</f>
        <v>17</v>
      </c>
    </row>
    <row r="3579" spans="1:10" hidden="1">
      <c r="A3579" t="s">
        <v>2925</v>
      </c>
      <c r="B3579" t="s">
        <v>7507</v>
      </c>
      <c r="C3579" t="s">
        <v>7508</v>
      </c>
      <c r="J3579">
        <f>LEN(Table13[[#This Row],[REFERENCE_DESCR1]])</f>
        <v>27</v>
      </c>
    </row>
    <row r="3580" spans="1:10" hidden="1">
      <c r="A3580" t="s">
        <v>2925</v>
      </c>
      <c r="B3580" t="s">
        <v>7509</v>
      </c>
      <c r="C3580" t="s">
        <v>1647</v>
      </c>
      <c r="J3580">
        <f>LEN(Table13[[#This Row],[REFERENCE_DESCR1]])</f>
        <v>6</v>
      </c>
    </row>
    <row r="3581" spans="1:10" hidden="1">
      <c r="A3581" t="s">
        <v>2925</v>
      </c>
      <c r="B3581" t="s">
        <v>7510</v>
      </c>
      <c r="C3581" t="s">
        <v>7511</v>
      </c>
      <c r="J3581">
        <f>LEN(Table13[[#This Row],[REFERENCE_DESCR1]])</f>
        <v>29</v>
      </c>
    </row>
    <row r="3582" spans="1:10" hidden="1">
      <c r="A3582" t="s">
        <v>2925</v>
      </c>
      <c r="B3582" t="s">
        <v>7512</v>
      </c>
      <c r="C3582" t="s">
        <v>7513</v>
      </c>
      <c r="J3582">
        <f>LEN(Table13[[#This Row],[REFERENCE_DESCR1]])</f>
        <v>32</v>
      </c>
    </row>
    <row r="3583" spans="1:10" hidden="1">
      <c r="A3583" t="s">
        <v>2925</v>
      </c>
      <c r="B3583" t="s">
        <v>7514</v>
      </c>
      <c r="C3583" t="s">
        <v>7515</v>
      </c>
      <c r="J3583">
        <f>LEN(Table13[[#This Row],[REFERENCE_DESCR1]])</f>
        <v>11</v>
      </c>
    </row>
    <row r="3584" spans="1:10" hidden="1">
      <c r="A3584" t="s">
        <v>2925</v>
      </c>
      <c r="B3584" t="s">
        <v>7516</v>
      </c>
      <c r="C3584" t="s">
        <v>7517</v>
      </c>
      <c r="J3584">
        <f>LEN(Table13[[#This Row],[REFERENCE_DESCR1]])</f>
        <v>16</v>
      </c>
    </row>
    <row r="3585" spans="1:10" hidden="1">
      <c r="A3585" t="s">
        <v>2925</v>
      </c>
      <c r="B3585" t="s">
        <v>7518</v>
      </c>
      <c r="C3585" t="s">
        <v>7519</v>
      </c>
      <c r="J3585">
        <f>LEN(Table13[[#This Row],[REFERENCE_DESCR1]])</f>
        <v>14</v>
      </c>
    </row>
    <row r="3586" spans="1:10" hidden="1">
      <c r="A3586" t="s">
        <v>2925</v>
      </c>
      <c r="B3586" t="s">
        <v>7520</v>
      </c>
      <c r="C3586" t="s">
        <v>7521</v>
      </c>
      <c r="J3586">
        <f>LEN(Table13[[#This Row],[REFERENCE_DESCR1]])</f>
        <v>8</v>
      </c>
    </row>
    <row r="3587" spans="1:10" hidden="1">
      <c r="A3587" t="s">
        <v>2925</v>
      </c>
      <c r="B3587" t="s">
        <v>7522</v>
      </c>
      <c r="C3587" t="s">
        <v>7523</v>
      </c>
      <c r="J3587">
        <f>LEN(Table13[[#This Row],[REFERENCE_DESCR1]])</f>
        <v>14</v>
      </c>
    </row>
    <row r="3588" spans="1:10" hidden="1">
      <c r="A3588" t="s">
        <v>2925</v>
      </c>
      <c r="B3588" t="s">
        <v>7524</v>
      </c>
      <c r="C3588" t="s">
        <v>7525</v>
      </c>
      <c r="J3588">
        <f>LEN(Table13[[#This Row],[REFERENCE_DESCR1]])</f>
        <v>26</v>
      </c>
    </row>
    <row r="3589" spans="1:10" hidden="1">
      <c r="A3589" t="s">
        <v>2925</v>
      </c>
      <c r="B3589" t="s">
        <v>7526</v>
      </c>
      <c r="C3589" t="s">
        <v>7527</v>
      </c>
      <c r="J3589">
        <f>LEN(Table13[[#This Row],[REFERENCE_DESCR1]])</f>
        <v>15</v>
      </c>
    </row>
    <row r="3590" spans="1:10" hidden="1">
      <c r="A3590" t="s">
        <v>2925</v>
      </c>
      <c r="B3590" t="s">
        <v>7528</v>
      </c>
      <c r="C3590" t="s">
        <v>7529</v>
      </c>
      <c r="J3590">
        <f>LEN(Table13[[#This Row],[REFERENCE_DESCR1]])</f>
        <v>8</v>
      </c>
    </row>
    <row r="3591" spans="1:10" hidden="1">
      <c r="A3591" t="s">
        <v>2925</v>
      </c>
      <c r="B3591" t="s">
        <v>2133</v>
      </c>
      <c r="C3591" t="s">
        <v>7530</v>
      </c>
      <c r="J3591">
        <f>LEN(Table13[[#This Row],[REFERENCE_DESCR1]])</f>
        <v>7</v>
      </c>
    </row>
    <row r="3592" spans="1:10" hidden="1">
      <c r="A3592" t="s">
        <v>2925</v>
      </c>
      <c r="B3592" t="s">
        <v>7531</v>
      </c>
      <c r="C3592" t="s">
        <v>7532</v>
      </c>
      <c r="J3592">
        <f>LEN(Table13[[#This Row],[REFERENCE_DESCR1]])</f>
        <v>12</v>
      </c>
    </row>
    <row r="3593" spans="1:10" hidden="1">
      <c r="A3593" t="s">
        <v>2925</v>
      </c>
      <c r="B3593" t="s">
        <v>7533</v>
      </c>
      <c r="C3593" t="s">
        <v>7534</v>
      </c>
      <c r="J3593">
        <f>LEN(Table13[[#This Row],[REFERENCE_DESCR1]])</f>
        <v>12</v>
      </c>
    </row>
    <row r="3594" spans="1:10" hidden="1">
      <c r="A3594" t="s">
        <v>2925</v>
      </c>
      <c r="B3594" t="s">
        <v>7535</v>
      </c>
      <c r="C3594" t="s">
        <v>7536</v>
      </c>
      <c r="J3594">
        <f>LEN(Table13[[#This Row],[REFERENCE_DESCR1]])</f>
        <v>32</v>
      </c>
    </row>
    <row r="3595" spans="1:10" hidden="1">
      <c r="A3595" t="s">
        <v>2925</v>
      </c>
      <c r="B3595" t="s">
        <v>7537</v>
      </c>
      <c r="C3595" t="s">
        <v>7538</v>
      </c>
      <c r="J3595">
        <f>LEN(Table13[[#This Row],[REFERENCE_DESCR1]])</f>
        <v>17</v>
      </c>
    </row>
    <row r="3596" spans="1:10" hidden="1">
      <c r="A3596" t="s">
        <v>2925</v>
      </c>
      <c r="B3596" t="s">
        <v>7539</v>
      </c>
      <c r="C3596" t="s">
        <v>7540</v>
      </c>
      <c r="J3596">
        <f>LEN(Table13[[#This Row],[REFERENCE_DESCR1]])</f>
        <v>24</v>
      </c>
    </row>
    <row r="3597" spans="1:10" hidden="1">
      <c r="A3597" t="s">
        <v>2925</v>
      </c>
      <c r="B3597" t="s">
        <v>7541</v>
      </c>
      <c r="C3597" t="s">
        <v>7542</v>
      </c>
      <c r="J3597">
        <f>LEN(Table13[[#This Row],[REFERENCE_DESCR1]])</f>
        <v>14</v>
      </c>
    </row>
    <row r="3598" spans="1:10" hidden="1">
      <c r="A3598" t="s">
        <v>2925</v>
      </c>
      <c r="B3598" t="s">
        <v>7543</v>
      </c>
      <c r="C3598" t="s">
        <v>7544</v>
      </c>
      <c r="J3598">
        <f>LEN(Table13[[#This Row],[REFERENCE_DESCR1]])</f>
        <v>17</v>
      </c>
    </row>
    <row r="3599" spans="1:10" hidden="1">
      <c r="A3599" t="s">
        <v>2925</v>
      </c>
      <c r="B3599" t="s">
        <v>7545</v>
      </c>
      <c r="C3599" t="s">
        <v>7546</v>
      </c>
      <c r="J3599">
        <f>LEN(Table13[[#This Row],[REFERENCE_DESCR1]])</f>
        <v>7</v>
      </c>
    </row>
    <row r="3600" spans="1:10" hidden="1">
      <c r="A3600" t="s">
        <v>2925</v>
      </c>
      <c r="B3600" t="s">
        <v>7547</v>
      </c>
      <c r="C3600" t="s">
        <v>7548</v>
      </c>
      <c r="J3600">
        <f>LEN(Table13[[#This Row],[REFERENCE_DESCR1]])</f>
        <v>9</v>
      </c>
    </row>
    <row r="3601" spans="1:10" hidden="1">
      <c r="A3601" t="s">
        <v>2925</v>
      </c>
      <c r="B3601" t="s">
        <v>7549</v>
      </c>
      <c r="C3601" t="s">
        <v>7550</v>
      </c>
      <c r="J3601">
        <f>LEN(Table13[[#This Row],[REFERENCE_DESCR1]])</f>
        <v>13</v>
      </c>
    </row>
    <row r="3602" spans="1:10" hidden="1">
      <c r="A3602" t="s">
        <v>2925</v>
      </c>
      <c r="B3602" t="s">
        <v>7551</v>
      </c>
      <c r="C3602" t="s">
        <v>7552</v>
      </c>
      <c r="J3602">
        <f>LEN(Table13[[#This Row],[REFERENCE_DESCR1]])</f>
        <v>15</v>
      </c>
    </row>
    <row r="3603" spans="1:10" hidden="1">
      <c r="A3603" t="s">
        <v>2925</v>
      </c>
      <c r="B3603" t="s">
        <v>7553</v>
      </c>
      <c r="C3603" t="s">
        <v>7554</v>
      </c>
      <c r="J3603">
        <f>LEN(Table13[[#This Row],[REFERENCE_DESCR1]])</f>
        <v>9</v>
      </c>
    </row>
    <row r="3604" spans="1:10" hidden="1">
      <c r="A3604" t="s">
        <v>2925</v>
      </c>
      <c r="B3604" t="s">
        <v>7555</v>
      </c>
      <c r="C3604" t="s">
        <v>7556</v>
      </c>
      <c r="J3604">
        <f>LEN(Table13[[#This Row],[REFERENCE_DESCR1]])</f>
        <v>6</v>
      </c>
    </row>
    <row r="3605" spans="1:10" hidden="1">
      <c r="A3605" t="s">
        <v>2925</v>
      </c>
      <c r="B3605" t="s">
        <v>7557</v>
      </c>
      <c r="C3605" t="s">
        <v>7558</v>
      </c>
      <c r="J3605">
        <f>LEN(Table13[[#This Row],[REFERENCE_DESCR1]])</f>
        <v>7</v>
      </c>
    </row>
    <row r="3606" spans="1:10" hidden="1">
      <c r="A3606" t="s">
        <v>2925</v>
      </c>
      <c r="B3606" t="s">
        <v>7559</v>
      </c>
      <c r="C3606" t="s">
        <v>7560</v>
      </c>
      <c r="J3606">
        <f>LEN(Table13[[#This Row],[REFERENCE_DESCR1]])</f>
        <v>7</v>
      </c>
    </row>
    <row r="3607" spans="1:10" hidden="1">
      <c r="A3607" t="s">
        <v>2925</v>
      </c>
      <c r="B3607" t="s">
        <v>7561</v>
      </c>
      <c r="C3607" t="s">
        <v>7562</v>
      </c>
      <c r="J3607">
        <f>LEN(Table13[[#This Row],[REFERENCE_DESCR1]])</f>
        <v>13</v>
      </c>
    </row>
    <row r="3608" spans="1:10" hidden="1">
      <c r="A3608" t="s">
        <v>2925</v>
      </c>
      <c r="B3608" t="s">
        <v>7563</v>
      </c>
      <c r="C3608" t="s">
        <v>7564</v>
      </c>
      <c r="J3608">
        <f>LEN(Table13[[#This Row],[REFERENCE_DESCR1]])</f>
        <v>14</v>
      </c>
    </row>
    <row r="3609" spans="1:10" hidden="1">
      <c r="A3609" t="s">
        <v>2925</v>
      </c>
      <c r="B3609" t="s">
        <v>7565</v>
      </c>
      <c r="C3609" t="s">
        <v>7566</v>
      </c>
      <c r="J3609">
        <f>LEN(Table13[[#This Row],[REFERENCE_DESCR1]])</f>
        <v>38</v>
      </c>
    </row>
    <row r="3610" spans="1:10" hidden="1">
      <c r="A3610" t="s">
        <v>2925</v>
      </c>
      <c r="B3610" t="s">
        <v>7567</v>
      </c>
      <c r="C3610" t="s">
        <v>7568</v>
      </c>
      <c r="J3610">
        <f>LEN(Table13[[#This Row],[REFERENCE_DESCR1]])</f>
        <v>6</v>
      </c>
    </row>
    <row r="3611" spans="1:10" hidden="1">
      <c r="A3611" t="s">
        <v>2925</v>
      </c>
      <c r="B3611" t="s">
        <v>7569</v>
      </c>
      <c r="C3611" t="s">
        <v>7570</v>
      </c>
      <c r="J3611">
        <f>LEN(Table13[[#This Row],[REFERENCE_DESCR1]])</f>
        <v>8</v>
      </c>
    </row>
    <row r="3612" spans="1:10" hidden="1">
      <c r="A3612" t="s">
        <v>2925</v>
      </c>
      <c r="B3612" t="s">
        <v>7571</v>
      </c>
      <c r="C3612" t="s">
        <v>7572</v>
      </c>
      <c r="J3612">
        <f>LEN(Table13[[#This Row],[REFERENCE_DESCR1]])</f>
        <v>7</v>
      </c>
    </row>
    <row r="3613" spans="1:10" hidden="1">
      <c r="A3613" t="s">
        <v>2925</v>
      </c>
      <c r="B3613" t="s">
        <v>7573</v>
      </c>
      <c r="C3613" t="s">
        <v>7574</v>
      </c>
      <c r="J3613">
        <f>LEN(Table13[[#This Row],[REFERENCE_DESCR1]])</f>
        <v>8</v>
      </c>
    </row>
    <row r="3614" spans="1:10" hidden="1">
      <c r="A3614" t="s">
        <v>2925</v>
      </c>
      <c r="B3614" t="s">
        <v>7575</v>
      </c>
      <c r="C3614" t="s">
        <v>7576</v>
      </c>
      <c r="J3614">
        <f>LEN(Table13[[#This Row],[REFERENCE_DESCR1]])</f>
        <v>9</v>
      </c>
    </row>
    <row r="3615" spans="1:10" hidden="1">
      <c r="A3615" t="s">
        <v>2925</v>
      </c>
      <c r="B3615" t="s">
        <v>7577</v>
      </c>
      <c r="C3615" t="s">
        <v>7578</v>
      </c>
      <c r="J3615">
        <f>LEN(Table13[[#This Row],[REFERENCE_DESCR1]])</f>
        <v>11</v>
      </c>
    </row>
    <row r="3616" spans="1:10" hidden="1">
      <c r="A3616" t="s">
        <v>2925</v>
      </c>
      <c r="B3616" t="s">
        <v>7579</v>
      </c>
      <c r="C3616" t="s">
        <v>7580</v>
      </c>
      <c r="J3616">
        <f>LEN(Table13[[#This Row],[REFERENCE_DESCR1]])</f>
        <v>14</v>
      </c>
    </row>
    <row r="3617" spans="1:10" hidden="1">
      <c r="A3617" t="s">
        <v>2925</v>
      </c>
      <c r="B3617" t="s">
        <v>7581</v>
      </c>
      <c r="C3617" t="s">
        <v>7582</v>
      </c>
      <c r="J3617">
        <f>LEN(Table13[[#This Row],[REFERENCE_DESCR1]])</f>
        <v>22</v>
      </c>
    </row>
    <row r="3618" spans="1:10" hidden="1">
      <c r="A3618" t="s">
        <v>2925</v>
      </c>
      <c r="B3618" t="s">
        <v>7583</v>
      </c>
      <c r="C3618" t="s">
        <v>1648</v>
      </c>
      <c r="J3618">
        <f>LEN(Table13[[#This Row],[REFERENCE_DESCR1]])</f>
        <v>10</v>
      </c>
    </row>
    <row r="3619" spans="1:10" hidden="1">
      <c r="A3619" t="s">
        <v>2925</v>
      </c>
      <c r="B3619" t="s">
        <v>7584</v>
      </c>
      <c r="C3619" t="s">
        <v>7585</v>
      </c>
      <c r="J3619">
        <f>LEN(Table13[[#This Row],[REFERENCE_DESCR1]])</f>
        <v>36</v>
      </c>
    </row>
    <row r="3620" spans="1:10" hidden="1">
      <c r="A3620" t="s">
        <v>2925</v>
      </c>
      <c r="B3620" t="s">
        <v>7586</v>
      </c>
      <c r="C3620" t="s">
        <v>7587</v>
      </c>
      <c r="J3620">
        <f>LEN(Table13[[#This Row],[REFERENCE_DESCR1]])</f>
        <v>39</v>
      </c>
    </row>
    <row r="3621" spans="1:10" hidden="1">
      <c r="A3621" t="s">
        <v>2925</v>
      </c>
      <c r="B3621" t="s">
        <v>7588</v>
      </c>
      <c r="C3621" t="s">
        <v>7589</v>
      </c>
      <c r="J3621">
        <f>LEN(Table13[[#This Row],[REFERENCE_DESCR1]])</f>
        <v>39</v>
      </c>
    </row>
    <row r="3622" spans="1:10" hidden="1">
      <c r="A3622" t="s">
        <v>2925</v>
      </c>
      <c r="B3622" t="s">
        <v>7590</v>
      </c>
      <c r="C3622" t="s">
        <v>7591</v>
      </c>
      <c r="J3622">
        <f>LEN(Table13[[#This Row],[REFERENCE_DESCR1]])</f>
        <v>31</v>
      </c>
    </row>
    <row r="3623" spans="1:10" hidden="1">
      <c r="A3623" t="s">
        <v>2925</v>
      </c>
      <c r="B3623" t="s">
        <v>7592</v>
      </c>
      <c r="C3623" t="s">
        <v>7593</v>
      </c>
      <c r="J3623">
        <f>LEN(Table13[[#This Row],[REFERENCE_DESCR1]])</f>
        <v>40</v>
      </c>
    </row>
    <row r="3624" spans="1:10" hidden="1">
      <c r="A3624" t="s">
        <v>2925</v>
      </c>
      <c r="B3624" t="s">
        <v>7594</v>
      </c>
      <c r="C3624" t="s">
        <v>7595</v>
      </c>
      <c r="J3624">
        <f>LEN(Table13[[#This Row],[REFERENCE_DESCR1]])</f>
        <v>34</v>
      </c>
    </row>
    <row r="3625" spans="1:10" hidden="1">
      <c r="A3625" t="s">
        <v>2925</v>
      </c>
      <c r="B3625" t="s">
        <v>7596</v>
      </c>
      <c r="C3625" t="s">
        <v>7597</v>
      </c>
      <c r="J3625">
        <f>LEN(Table13[[#This Row],[REFERENCE_DESCR1]])</f>
        <v>39</v>
      </c>
    </row>
    <row r="3626" spans="1:10" hidden="1">
      <c r="A3626" t="s">
        <v>2925</v>
      </c>
      <c r="B3626" t="s">
        <v>7598</v>
      </c>
      <c r="C3626" t="s">
        <v>7599</v>
      </c>
      <c r="J3626">
        <f>LEN(Table13[[#This Row],[REFERENCE_DESCR1]])</f>
        <v>39</v>
      </c>
    </row>
    <row r="3627" spans="1:10" hidden="1">
      <c r="A3627" t="s">
        <v>2925</v>
      </c>
      <c r="B3627" t="s">
        <v>7600</v>
      </c>
      <c r="C3627" t="s">
        <v>7601</v>
      </c>
      <c r="J3627">
        <f>LEN(Table13[[#This Row],[REFERENCE_DESCR1]])</f>
        <v>39</v>
      </c>
    </row>
    <row r="3628" spans="1:10" hidden="1">
      <c r="A3628" t="s">
        <v>2925</v>
      </c>
      <c r="B3628" t="s">
        <v>7602</v>
      </c>
      <c r="C3628" t="s">
        <v>7603</v>
      </c>
      <c r="J3628">
        <f>LEN(Table13[[#This Row],[REFERENCE_DESCR1]])</f>
        <v>34</v>
      </c>
    </row>
    <row r="3629" spans="1:10" hidden="1">
      <c r="A3629" t="s">
        <v>2925</v>
      </c>
      <c r="B3629" t="s">
        <v>7604</v>
      </c>
      <c r="C3629" t="s">
        <v>7605</v>
      </c>
      <c r="J3629">
        <f>LEN(Table13[[#This Row],[REFERENCE_DESCR1]])</f>
        <v>39</v>
      </c>
    </row>
    <row r="3630" spans="1:10" hidden="1">
      <c r="A3630" t="s">
        <v>2925</v>
      </c>
      <c r="B3630" t="s">
        <v>7606</v>
      </c>
      <c r="C3630" t="s">
        <v>7607</v>
      </c>
      <c r="J3630">
        <f>LEN(Table13[[#This Row],[REFERENCE_DESCR1]])</f>
        <v>39</v>
      </c>
    </row>
    <row r="3631" spans="1:10" hidden="1">
      <c r="A3631" t="s">
        <v>2925</v>
      </c>
      <c r="B3631" t="s">
        <v>7608</v>
      </c>
      <c r="C3631" t="s">
        <v>7609</v>
      </c>
      <c r="J3631">
        <f>LEN(Table13[[#This Row],[REFERENCE_DESCR1]])</f>
        <v>34</v>
      </c>
    </row>
    <row r="3632" spans="1:10" hidden="1">
      <c r="A3632" t="s">
        <v>2925</v>
      </c>
      <c r="B3632" t="s">
        <v>7610</v>
      </c>
      <c r="C3632" t="s">
        <v>7611</v>
      </c>
      <c r="J3632">
        <f>LEN(Table13[[#This Row],[REFERENCE_DESCR1]])</f>
        <v>39</v>
      </c>
    </row>
    <row r="3633" spans="1:10" hidden="1">
      <c r="A3633" t="s">
        <v>2925</v>
      </c>
      <c r="B3633" t="s">
        <v>7612</v>
      </c>
      <c r="C3633" t="s">
        <v>7613</v>
      </c>
      <c r="J3633">
        <f>LEN(Table13[[#This Row],[REFERENCE_DESCR1]])</f>
        <v>39</v>
      </c>
    </row>
    <row r="3634" spans="1:10" hidden="1">
      <c r="A3634" t="s">
        <v>2925</v>
      </c>
      <c r="B3634" t="s">
        <v>7614</v>
      </c>
      <c r="C3634" t="s">
        <v>7615</v>
      </c>
      <c r="J3634">
        <f>LEN(Table13[[#This Row],[REFERENCE_DESCR1]])</f>
        <v>34</v>
      </c>
    </row>
    <row r="3635" spans="1:10" hidden="1">
      <c r="A3635" t="s">
        <v>2925</v>
      </c>
      <c r="B3635" t="s">
        <v>7616</v>
      </c>
      <c r="C3635" t="s">
        <v>7617</v>
      </c>
      <c r="J3635">
        <f>LEN(Table13[[#This Row],[REFERENCE_DESCR1]])</f>
        <v>39</v>
      </c>
    </row>
    <row r="3636" spans="1:10" hidden="1">
      <c r="A3636" t="s">
        <v>2925</v>
      </c>
      <c r="B3636" t="s">
        <v>7618</v>
      </c>
      <c r="C3636" t="s">
        <v>7619</v>
      </c>
      <c r="J3636">
        <f>LEN(Table13[[#This Row],[REFERENCE_DESCR1]])</f>
        <v>39</v>
      </c>
    </row>
    <row r="3637" spans="1:10" hidden="1">
      <c r="A3637" t="s">
        <v>2925</v>
      </c>
      <c r="B3637" t="s">
        <v>7620</v>
      </c>
      <c r="C3637" t="s">
        <v>7621</v>
      </c>
      <c r="J3637">
        <f>LEN(Table13[[#This Row],[REFERENCE_DESCR1]])</f>
        <v>39</v>
      </c>
    </row>
    <row r="3638" spans="1:10" hidden="1">
      <c r="A3638" t="s">
        <v>2925</v>
      </c>
      <c r="B3638" t="s">
        <v>7622</v>
      </c>
      <c r="C3638" t="s">
        <v>7623</v>
      </c>
      <c r="J3638">
        <f>LEN(Table13[[#This Row],[REFERENCE_DESCR1]])</f>
        <v>39</v>
      </c>
    </row>
    <row r="3639" spans="1:10" hidden="1">
      <c r="A3639" t="s">
        <v>2925</v>
      </c>
      <c r="B3639" t="s">
        <v>7624</v>
      </c>
      <c r="C3639" t="s">
        <v>7625</v>
      </c>
      <c r="J3639">
        <f>LEN(Table13[[#This Row],[REFERENCE_DESCR1]])</f>
        <v>34</v>
      </c>
    </row>
    <row r="3640" spans="1:10" hidden="1">
      <c r="A3640" t="s">
        <v>2925</v>
      </c>
      <c r="B3640" t="s">
        <v>7626</v>
      </c>
      <c r="C3640" t="s">
        <v>7627</v>
      </c>
      <c r="J3640">
        <f>LEN(Table13[[#This Row],[REFERENCE_DESCR1]])</f>
        <v>21</v>
      </c>
    </row>
    <row r="3641" spans="1:10" hidden="1">
      <c r="A3641" t="s">
        <v>2925</v>
      </c>
      <c r="B3641" t="s">
        <v>7628</v>
      </c>
      <c r="C3641" t="s">
        <v>7629</v>
      </c>
      <c r="J3641">
        <f>LEN(Table13[[#This Row],[REFERENCE_DESCR1]])</f>
        <v>31</v>
      </c>
    </row>
    <row r="3642" spans="1:10" hidden="1">
      <c r="A3642" t="s">
        <v>2925</v>
      </c>
      <c r="B3642" t="s">
        <v>7630</v>
      </c>
      <c r="C3642" t="s">
        <v>7631</v>
      </c>
      <c r="J3642">
        <f>LEN(Table13[[#This Row],[REFERENCE_DESCR1]])</f>
        <v>34</v>
      </c>
    </row>
    <row r="3643" spans="1:10" hidden="1">
      <c r="A3643" t="s">
        <v>2925</v>
      </c>
      <c r="B3643" t="s">
        <v>7632</v>
      </c>
      <c r="C3643" t="s">
        <v>7633</v>
      </c>
      <c r="J3643">
        <f>LEN(Table13[[#This Row],[REFERENCE_DESCR1]])</f>
        <v>39</v>
      </c>
    </row>
    <row r="3644" spans="1:10" hidden="1">
      <c r="A3644" t="s">
        <v>2925</v>
      </c>
      <c r="B3644" t="s">
        <v>7634</v>
      </c>
      <c r="C3644" t="s">
        <v>7635</v>
      </c>
      <c r="J3644">
        <f>LEN(Table13[[#This Row],[REFERENCE_DESCR1]])</f>
        <v>39</v>
      </c>
    </row>
    <row r="3645" spans="1:10" hidden="1">
      <c r="A3645" t="s">
        <v>2925</v>
      </c>
      <c r="B3645" t="s">
        <v>7636</v>
      </c>
      <c r="C3645" t="s">
        <v>7637</v>
      </c>
      <c r="J3645">
        <f>LEN(Table13[[#This Row],[REFERENCE_DESCR1]])</f>
        <v>34</v>
      </c>
    </row>
    <row r="3646" spans="1:10" hidden="1">
      <c r="A3646" t="s">
        <v>2925</v>
      </c>
      <c r="B3646" t="s">
        <v>7638</v>
      </c>
      <c r="C3646" t="s">
        <v>7639</v>
      </c>
      <c r="J3646">
        <f>LEN(Table13[[#This Row],[REFERENCE_DESCR1]])</f>
        <v>39</v>
      </c>
    </row>
    <row r="3647" spans="1:10" hidden="1">
      <c r="A3647" t="s">
        <v>2925</v>
      </c>
      <c r="B3647" t="s">
        <v>7640</v>
      </c>
      <c r="C3647" t="s">
        <v>7641</v>
      </c>
      <c r="J3647">
        <f>LEN(Table13[[#This Row],[REFERENCE_DESCR1]])</f>
        <v>39</v>
      </c>
    </row>
    <row r="3648" spans="1:10" hidden="1">
      <c r="A3648" t="s">
        <v>2925</v>
      </c>
      <c r="B3648" t="s">
        <v>7642</v>
      </c>
      <c r="C3648" t="s">
        <v>7643</v>
      </c>
      <c r="J3648">
        <f>LEN(Table13[[#This Row],[REFERENCE_DESCR1]])</f>
        <v>39</v>
      </c>
    </row>
    <row r="3649" spans="1:10" hidden="1">
      <c r="A3649" t="s">
        <v>2925</v>
      </c>
      <c r="B3649" t="s">
        <v>7644</v>
      </c>
      <c r="C3649" t="s">
        <v>7645</v>
      </c>
      <c r="J3649">
        <f>LEN(Table13[[#This Row],[REFERENCE_DESCR1]])</f>
        <v>39</v>
      </c>
    </row>
    <row r="3650" spans="1:10" hidden="1">
      <c r="A3650" t="s">
        <v>2925</v>
      </c>
      <c r="B3650" t="s">
        <v>7646</v>
      </c>
      <c r="C3650" t="s">
        <v>7647</v>
      </c>
      <c r="J3650">
        <f>LEN(Table13[[#This Row],[REFERENCE_DESCR1]])</f>
        <v>33</v>
      </c>
    </row>
    <row r="3651" spans="1:10" hidden="1">
      <c r="A3651" t="s">
        <v>2925</v>
      </c>
      <c r="B3651" t="s">
        <v>7648</v>
      </c>
      <c r="C3651" t="s">
        <v>7649</v>
      </c>
      <c r="J3651">
        <f>LEN(Table13[[#This Row],[REFERENCE_DESCR1]])</f>
        <v>31</v>
      </c>
    </row>
    <row r="3652" spans="1:10" hidden="1">
      <c r="A3652" t="s">
        <v>2925</v>
      </c>
      <c r="B3652" t="s">
        <v>7650</v>
      </c>
      <c r="C3652" t="s">
        <v>7651</v>
      </c>
      <c r="J3652">
        <f>LEN(Table13[[#This Row],[REFERENCE_DESCR1]])</f>
        <v>26</v>
      </c>
    </row>
    <row r="3653" spans="1:10" hidden="1">
      <c r="A3653" t="s">
        <v>2925</v>
      </c>
      <c r="B3653" t="s">
        <v>7652</v>
      </c>
      <c r="C3653" t="s">
        <v>7653</v>
      </c>
      <c r="J3653">
        <f>LEN(Table13[[#This Row],[REFERENCE_DESCR1]])</f>
        <v>10</v>
      </c>
    </row>
    <row r="3654" spans="1:10" hidden="1">
      <c r="A3654" t="s">
        <v>2925</v>
      </c>
      <c r="B3654" t="s">
        <v>7654</v>
      </c>
      <c r="C3654" t="s">
        <v>1649</v>
      </c>
      <c r="J3654">
        <f>LEN(Table13[[#This Row],[REFERENCE_DESCR1]])</f>
        <v>8</v>
      </c>
    </row>
    <row r="3655" spans="1:10" hidden="1">
      <c r="A3655" t="s">
        <v>2925</v>
      </c>
      <c r="B3655" t="s">
        <v>7655</v>
      </c>
      <c r="C3655" t="s">
        <v>7656</v>
      </c>
      <c r="J3655">
        <f>LEN(Table13[[#This Row],[REFERENCE_DESCR1]])</f>
        <v>8</v>
      </c>
    </row>
    <row r="3656" spans="1:10" hidden="1">
      <c r="A3656" t="s">
        <v>2925</v>
      </c>
      <c r="B3656" t="s">
        <v>7657</v>
      </c>
      <c r="C3656" t="s">
        <v>7658</v>
      </c>
      <c r="J3656">
        <f>LEN(Table13[[#This Row],[REFERENCE_DESCR1]])</f>
        <v>26</v>
      </c>
    </row>
    <row r="3657" spans="1:10" hidden="1">
      <c r="A3657" t="s">
        <v>2925</v>
      </c>
      <c r="B3657" t="s">
        <v>7659</v>
      </c>
      <c r="C3657" t="s">
        <v>7660</v>
      </c>
      <c r="J3657">
        <f>LEN(Table13[[#This Row],[REFERENCE_DESCR1]])</f>
        <v>7</v>
      </c>
    </row>
    <row r="3658" spans="1:10" hidden="1">
      <c r="A3658" t="s">
        <v>2925</v>
      </c>
      <c r="B3658" t="s">
        <v>7661</v>
      </c>
      <c r="C3658" t="s">
        <v>7662</v>
      </c>
      <c r="J3658">
        <f>LEN(Table13[[#This Row],[REFERENCE_DESCR1]])</f>
        <v>7</v>
      </c>
    </row>
    <row r="3659" spans="1:10" hidden="1">
      <c r="A3659" t="s">
        <v>2925</v>
      </c>
      <c r="B3659" t="s">
        <v>7663</v>
      </c>
      <c r="C3659" t="s">
        <v>7664</v>
      </c>
      <c r="J3659">
        <f>LEN(Table13[[#This Row],[REFERENCE_DESCR1]])</f>
        <v>10</v>
      </c>
    </row>
    <row r="3660" spans="1:10" hidden="1">
      <c r="A3660" t="s">
        <v>2925</v>
      </c>
      <c r="B3660" t="s">
        <v>7665</v>
      </c>
      <c r="C3660" t="s">
        <v>7666</v>
      </c>
      <c r="J3660">
        <f>LEN(Table13[[#This Row],[REFERENCE_DESCR1]])</f>
        <v>9</v>
      </c>
    </row>
    <row r="3661" spans="1:10" hidden="1">
      <c r="A3661" t="s">
        <v>2925</v>
      </c>
      <c r="B3661" t="s">
        <v>7667</v>
      </c>
      <c r="C3661" t="s">
        <v>7668</v>
      </c>
      <c r="J3661">
        <f>LEN(Table13[[#This Row],[REFERENCE_DESCR1]])</f>
        <v>21</v>
      </c>
    </row>
    <row r="3662" spans="1:10" hidden="1">
      <c r="A3662" t="s">
        <v>2925</v>
      </c>
      <c r="B3662" t="s">
        <v>7669</v>
      </c>
      <c r="C3662" t="s">
        <v>7670</v>
      </c>
      <c r="J3662">
        <f>LEN(Table13[[#This Row],[REFERENCE_DESCR1]])</f>
        <v>21</v>
      </c>
    </row>
    <row r="3663" spans="1:10" hidden="1">
      <c r="A3663" t="s">
        <v>2925</v>
      </c>
      <c r="B3663" t="s">
        <v>7671</v>
      </c>
      <c r="C3663" t="s">
        <v>7672</v>
      </c>
      <c r="J3663">
        <f>LEN(Table13[[#This Row],[REFERENCE_DESCR1]])</f>
        <v>8</v>
      </c>
    </row>
    <row r="3664" spans="1:10" hidden="1">
      <c r="A3664" t="s">
        <v>2925</v>
      </c>
      <c r="B3664" t="s">
        <v>7673</v>
      </c>
      <c r="C3664" t="s">
        <v>7674</v>
      </c>
      <c r="J3664">
        <f>LEN(Table13[[#This Row],[REFERENCE_DESCR1]])</f>
        <v>9</v>
      </c>
    </row>
    <row r="3665" spans="1:10" hidden="1">
      <c r="A3665" t="s">
        <v>2925</v>
      </c>
      <c r="B3665" t="s">
        <v>7675</v>
      </c>
      <c r="C3665" t="s">
        <v>7676</v>
      </c>
      <c r="J3665">
        <f>LEN(Table13[[#This Row],[REFERENCE_DESCR1]])</f>
        <v>8</v>
      </c>
    </row>
    <row r="3666" spans="1:10" hidden="1">
      <c r="A3666" t="s">
        <v>2925</v>
      </c>
      <c r="B3666" t="s">
        <v>7677</v>
      </c>
      <c r="C3666" t="s">
        <v>7678</v>
      </c>
      <c r="J3666">
        <f>LEN(Table13[[#This Row],[REFERENCE_DESCR1]])</f>
        <v>18</v>
      </c>
    </row>
    <row r="3667" spans="1:10" hidden="1">
      <c r="A3667" t="s">
        <v>2925</v>
      </c>
      <c r="B3667" t="s">
        <v>7679</v>
      </c>
      <c r="C3667" t="s">
        <v>7680</v>
      </c>
      <c r="J3667">
        <f>LEN(Table13[[#This Row],[REFERENCE_DESCR1]])</f>
        <v>17</v>
      </c>
    </row>
    <row r="3668" spans="1:10" hidden="1">
      <c r="A3668" t="s">
        <v>2925</v>
      </c>
      <c r="B3668" t="s">
        <v>7681</v>
      </c>
      <c r="C3668" t="s">
        <v>7682</v>
      </c>
      <c r="J3668">
        <f>LEN(Table13[[#This Row],[REFERENCE_DESCR1]])</f>
        <v>6</v>
      </c>
    </row>
    <row r="3669" spans="1:10" hidden="1">
      <c r="A3669" t="s">
        <v>2925</v>
      </c>
      <c r="B3669" t="s">
        <v>7683</v>
      </c>
      <c r="C3669" t="s">
        <v>7684</v>
      </c>
      <c r="J3669">
        <f>LEN(Table13[[#This Row],[REFERENCE_DESCR1]])</f>
        <v>7</v>
      </c>
    </row>
    <row r="3670" spans="1:10" hidden="1">
      <c r="A3670" t="s">
        <v>2925</v>
      </c>
      <c r="B3670" t="s">
        <v>7685</v>
      </c>
      <c r="C3670" t="s">
        <v>7686</v>
      </c>
      <c r="J3670">
        <f>LEN(Table13[[#This Row],[REFERENCE_DESCR1]])</f>
        <v>33</v>
      </c>
    </row>
    <row r="3671" spans="1:10" hidden="1">
      <c r="A3671" t="s">
        <v>2925</v>
      </c>
      <c r="B3671" t="s">
        <v>7687</v>
      </c>
      <c r="C3671" t="s">
        <v>7688</v>
      </c>
      <c r="J3671">
        <f>LEN(Table13[[#This Row],[REFERENCE_DESCR1]])</f>
        <v>12</v>
      </c>
    </row>
    <row r="3672" spans="1:10" hidden="1">
      <c r="A3672" t="s">
        <v>2925</v>
      </c>
      <c r="B3672" t="s">
        <v>7689</v>
      </c>
      <c r="C3672" t="s">
        <v>7690</v>
      </c>
      <c r="J3672">
        <f>LEN(Table13[[#This Row],[REFERENCE_DESCR1]])</f>
        <v>15</v>
      </c>
    </row>
    <row r="3673" spans="1:10" hidden="1">
      <c r="A3673" t="s">
        <v>2925</v>
      </c>
      <c r="B3673" t="s">
        <v>7691</v>
      </c>
      <c r="C3673" t="s">
        <v>7692</v>
      </c>
      <c r="J3673">
        <f>LEN(Table13[[#This Row],[REFERENCE_DESCR1]])</f>
        <v>11</v>
      </c>
    </row>
    <row r="3674" spans="1:10" hidden="1">
      <c r="A3674" t="s">
        <v>2925</v>
      </c>
      <c r="B3674" t="s">
        <v>7693</v>
      </c>
      <c r="C3674" t="s">
        <v>7694</v>
      </c>
      <c r="J3674">
        <f>LEN(Table13[[#This Row],[REFERENCE_DESCR1]])</f>
        <v>8</v>
      </c>
    </row>
    <row r="3675" spans="1:10" hidden="1">
      <c r="A3675" t="s">
        <v>2925</v>
      </c>
      <c r="B3675" t="s">
        <v>7695</v>
      </c>
      <c r="C3675" t="s">
        <v>7696</v>
      </c>
      <c r="J3675">
        <f>LEN(Table13[[#This Row],[REFERENCE_DESCR1]])</f>
        <v>10</v>
      </c>
    </row>
    <row r="3676" spans="1:10" hidden="1">
      <c r="A3676" t="s">
        <v>2925</v>
      </c>
      <c r="B3676" t="s">
        <v>7697</v>
      </c>
      <c r="C3676" t="s">
        <v>7698</v>
      </c>
      <c r="J3676">
        <f>LEN(Table13[[#This Row],[REFERENCE_DESCR1]])</f>
        <v>8</v>
      </c>
    </row>
    <row r="3677" spans="1:10" hidden="1">
      <c r="A3677" t="s">
        <v>2925</v>
      </c>
      <c r="B3677" t="s">
        <v>7699</v>
      </c>
      <c r="C3677" t="s">
        <v>7700</v>
      </c>
      <c r="J3677">
        <f>LEN(Table13[[#This Row],[REFERENCE_DESCR1]])</f>
        <v>12</v>
      </c>
    </row>
    <row r="3678" spans="1:10" hidden="1">
      <c r="A3678" t="s">
        <v>2925</v>
      </c>
      <c r="B3678" t="s">
        <v>7701</v>
      </c>
      <c r="C3678" t="s">
        <v>7702</v>
      </c>
      <c r="J3678">
        <f>LEN(Table13[[#This Row],[REFERENCE_DESCR1]])</f>
        <v>27</v>
      </c>
    </row>
    <row r="3679" spans="1:10" hidden="1">
      <c r="A3679" t="s">
        <v>2925</v>
      </c>
      <c r="B3679" t="s">
        <v>7703</v>
      </c>
      <c r="C3679" t="s">
        <v>7704</v>
      </c>
      <c r="J3679">
        <f>LEN(Table13[[#This Row],[REFERENCE_DESCR1]])</f>
        <v>10</v>
      </c>
    </row>
    <row r="3680" spans="1:10" hidden="1">
      <c r="A3680" t="s">
        <v>2925</v>
      </c>
      <c r="B3680" t="s">
        <v>7705</v>
      </c>
      <c r="C3680" t="s">
        <v>7706</v>
      </c>
      <c r="J3680">
        <f>LEN(Table13[[#This Row],[REFERENCE_DESCR1]])</f>
        <v>14</v>
      </c>
    </row>
    <row r="3681" spans="1:10" hidden="1">
      <c r="A3681" t="s">
        <v>2925</v>
      </c>
      <c r="B3681" t="s">
        <v>7707</v>
      </c>
      <c r="C3681" t="s">
        <v>7708</v>
      </c>
      <c r="J3681">
        <f>LEN(Table13[[#This Row],[REFERENCE_DESCR1]])</f>
        <v>8</v>
      </c>
    </row>
    <row r="3682" spans="1:10" hidden="1">
      <c r="A3682" t="s">
        <v>2925</v>
      </c>
      <c r="B3682" t="s">
        <v>7709</v>
      </c>
      <c r="C3682" t="s">
        <v>7710</v>
      </c>
      <c r="J3682">
        <f>LEN(Table13[[#This Row],[REFERENCE_DESCR1]])</f>
        <v>6</v>
      </c>
    </row>
    <row r="3683" spans="1:10" hidden="1">
      <c r="A3683" t="s">
        <v>2925</v>
      </c>
      <c r="B3683" t="s">
        <v>2147</v>
      </c>
      <c r="C3683" t="s">
        <v>7711</v>
      </c>
      <c r="J3683">
        <f>LEN(Table13[[#This Row],[REFERENCE_DESCR1]])</f>
        <v>8</v>
      </c>
    </row>
    <row r="3684" spans="1:10" hidden="1">
      <c r="A3684" t="s">
        <v>2925</v>
      </c>
      <c r="B3684" t="s">
        <v>7712</v>
      </c>
      <c r="C3684" t="s">
        <v>7688</v>
      </c>
      <c r="J3684">
        <f>LEN(Table13[[#This Row],[REFERENCE_DESCR1]])</f>
        <v>12</v>
      </c>
    </row>
    <row r="3685" spans="1:10" hidden="1">
      <c r="A3685" t="s">
        <v>2925</v>
      </c>
      <c r="B3685" t="s">
        <v>7713</v>
      </c>
      <c r="C3685" t="s">
        <v>7714</v>
      </c>
      <c r="J3685">
        <f>LEN(Table13[[#This Row],[REFERENCE_DESCR1]])</f>
        <v>14</v>
      </c>
    </row>
    <row r="3686" spans="1:10" hidden="1">
      <c r="A3686" t="s">
        <v>2925</v>
      </c>
      <c r="B3686" t="s">
        <v>7715</v>
      </c>
      <c r="C3686" t="s">
        <v>7716</v>
      </c>
      <c r="J3686">
        <f>LEN(Table13[[#This Row],[REFERENCE_DESCR1]])</f>
        <v>13</v>
      </c>
    </row>
    <row r="3687" spans="1:10" hidden="1">
      <c r="A3687" t="s">
        <v>2925</v>
      </c>
      <c r="B3687" t="s">
        <v>7717</v>
      </c>
      <c r="C3687" t="s">
        <v>7717</v>
      </c>
      <c r="J3687">
        <f>LEN(Table13[[#This Row],[REFERENCE_DESCR1]])</f>
        <v>3</v>
      </c>
    </row>
    <row r="3688" spans="1:10" hidden="1">
      <c r="A3688" t="s">
        <v>2925</v>
      </c>
      <c r="B3688" t="s">
        <v>7718</v>
      </c>
      <c r="C3688" t="s">
        <v>7719</v>
      </c>
      <c r="J3688">
        <f>LEN(Table13[[#This Row],[REFERENCE_DESCR1]])</f>
        <v>6</v>
      </c>
    </row>
    <row r="3689" spans="1:10" hidden="1">
      <c r="A3689" t="s">
        <v>2925</v>
      </c>
      <c r="B3689" t="s">
        <v>7720</v>
      </c>
      <c r="C3689" t="s">
        <v>7721</v>
      </c>
      <c r="J3689">
        <f>LEN(Table13[[#This Row],[REFERENCE_DESCR1]])</f>
        <v>15</v>
      </c>
    </row>
    <row r="3690" spans="1:10" hidden="1">
      <c r="A3690" t="s">
        <v>2925</v>
      </c>
      <c r="B3690" t="s">
        <v>7722</v>
      </c>
      <c r="C3690" t="s">
        <v>7723</v>
      </c>
      <c r="J3690">
        <f>LEN(Table13[[#This Row],[REFERENCE_DESCR1]])</f>
        <v>7</v>
      </c>
    </row>
    <row r="3691" spans="1:10" hidden="1">
      <c r="A3691" t="s">
        <v>2925</v>
      </c>
      <c r="B3691" t="s">
        <v>7724</v>
      </c>
      <c r="C3691" t="s">
        <v>7725</v>
      </c>
      <c r="J3691">
        <f>LEN(Table13[[#This Row],[REFERENCE_DESCR1]])</f>
        <v>15</v>
      </c>
    </row>
    <row r="3692" spans="1:10" hidden="1">
      <c r="A3692" t="s">
        <v>2925</v>
      </c>
      <c r="B3692" t="s">
        <v>7726</v>
      </c>
      <c r="C3692" t="s">
        <v>7727</v>
      </c>
      <c r="J3692">
        <f>LEN(Table13[[#This Row],[REFERENCE_DESCR1]])</f>
        <v>11</v>
      </c>
    </row>
    <row r="3693" spans="1:10" hidden="1">
      <c r="A3693" t="s">
        <v>2925</v>
      </c>
      <c r="B3693" t="s">
        <v>7728</v>
      </c>
      <c r="C3693" t="s">
        <v>7729</v>
      </c>
      <c r="J3693">
        <f>LEN(Table13[[#This Row],[REFERENCE_DESCR1]])</f>
        <v>18</v>
      </c>
    </row>
    <row r="3694" spans="1:10" hidden="1">
      <c r="A3694" t="s">
        <v>2925</v>
      </c>
      <c r="B3694" t="s">
        <v>7730</v>
      </c>
      <c r="C3694" t="s">
        <v>7731</v>
      </c>
      <c r="J3694">
        <f>LEN(Table13[[#This Row],[REFERENCE_DESCR1]])</f>
        <v>8</v>
      </c>
    </row>
    <row r="3695" spans="1:10" hidden="1">
      <c r="A3695" t="s">
        <v>2925</v>
      </c>
      <c r="B3695" t="s">
        <v>7732</v>
      </c>
      <c r="C3695" t="s">
        <v>7733</v>
      </c>
      <c r="J3695">
        <f>LEN(Table13[[#This Row],[REFERENCE_DESCR1]])</f>
        <v>20</v>
      </c>
    </row>
    <row r="3696" spans="1:10" hidden="1">
      <c r="A3696" t="s">
        <v>2925</v>
      </c>
      <c r="B3696" t="s">
        <v>7734</v>
      </c>
      <c r="C3696" t="s">
        <v>7735</v>
      </c>
      <c r="J3696">
        <f>LEN(Table13[[#This Row],[REFERENCE_DESCR1]])</f>
        <v>5</v>
      </c>
    </row>
    <row r="3697" spans="1:10" hidden="1">
      <c r="A3697" t="s">
        <v>2925</v>
      </c>
      <c r="B3697" t="s">
        <v>7736</v>
      </c>
      <c r="C3697" t="s">
        <v>7737</v>
      </c>
      <c r="J3697">
        <f>LEN(Table13[[#This Row],[REFERENCE_DESCR1]])</f>
        <v>6</v>
      </c>
    </row>
    <row r="3698" spans="1:10" hidden="1">
      <c r="A3698" t="s">
        <v>2925</v>
      </c>
      <c r="B3698" t="s">
        <v>7738</v>
      </c>
      <c r="C3698" t="s">
        <v>7739</v>
      </c>
      <c r="J3698">
        <f>LEN(Table13[[#This Row],[REFERENCE_DESCR1]])</f>
        <v>18</v>
      </c>
    </row>
    <row r="3699" spans="1:10" hidden="1">
      <c r="A3699" t="s">
        <v>2925</v>
      </c>
      <c r="B3699" t="s">
        <v>7740</v>
      </c>
      <c r="C3699" t="s">
        <v>7741</v>
      </c>
      <c r="J3699">
        <f>LEN(Table13[[#This Row],[REFERENCE_DESCR1]])</f>
        <v>7</v>
      </c>
    </row>
    <row r="3700" spans="1:10" hidden="1">
      <c r="A3700" t="s">
        <v>2925</v>
      </c>
      <c r="B3700" t="s">
        <v>7742</v>
      </c>
      <c r="C3700" t="s">
        <v>7743</v>
      </c>
      <c r="J3700">
        <f>LEN(Table13[[#This Row],[REFERENCE_DESCR1]])</f>
        <v>14</v>
      </c>
    </row>
    <row r="3701" spans="1:10" hidden="1">
      <c r="A3701" t="s">
        <v>2925</v>
      </c>
      <c r="B3701" t="s">
        <v>7744</v>
      </c>
      <c r="C3701" t="s">
        <v>7745</v>
      </c>
      <c r="J3701">
        <f>LEN(Table13[[#This Row],[REFERENCE_DESCR1]])</f>
        <v>24</v>
      </c>
    </row>
    <row r="3702" spans="1:10" hidden="1">
      <c r="A3702" t="s">
        <v>2925</v>
      </c>
      <c r="B3702" t="s">
        <v>7746</v>
      </c>
      <c r="C3702" t="s">
        <v>7747</v>
      </c>
      <c r="J3702">
        <f>LEN(Table13[[#This Row],[REFERENCE_DESCR1]])</f>
        <v>24</v>
      </c>
    </row>
    <row r="3703" spans="1:10" hidden="1">
      <c r="A3703" t="s">
        <v>2925</v>
      </c>
      <c r="B3703" t="s">
        <v>7748</v>
      </c>
      <c r="C3703" t="s">
        <v>7749</v>
      </c>
      <c r="J3703">
        <f>LEN(Table13[[#This Row],[REFERENCE_DESCR1]])</f>
        <v>17</v>
      </c>
    </row>
    <row r="3704" spans="1:10" hidden="1">
      <c r="A3704" t="s">
        <v>2925</v>
      </c>
      <c r="B3704" t="s">
        <v>7750</v>
      </c>
      <c r="C3704" t="s">
        <v>7751</v>
      </c>
      <c r="J3704">
        <f>LEN(Table13[[#This Row],[REFERENCE_DESCR1]])</f>
        <v>8</v>
      </c>
    </row>
    <row r="3705" spans="1:10" hidden="1">
      <c r="A3705" t="s">
        <v>2925</v>
      </c>
      <c r="B3705" t="s">
        <v>1698</v>
      </c>
      <c r="C3705" t="s">
        <v>7752</v>
      </c>
      <c r="J3705">
        <f>LEN(Table13[[#This Row],[REFERENCE_DESCR1]])</f>
        <v>6</v>
      </c>
    </row>
    <row r="3706" spans="1:10" hidden="1">
      <c r="A3706" t="s">
        <v>2925</v>
      </c>
      <c r="B3706" t="s">
        <v>7753</v>
      </c>
      <c r="C3706" t="s">
        <v>7754</v>
      </c>
      <c r="J3706">
        <f>LEN(Table13[[#This Row],[REFERENCE_DESCR1]])</f>
        <v>11</v>
      </c>
    </row>
    <row r="3707" spans="1:10" hidden="1">
      <c r="A3707" t="s">
        <v>2925</v>
      </c>
      <c r="B3707" t="s">
        <v>7755</v>
      </c>
      <c r="C3707" t="s">
        <v>7756</v>
      </c>
      <c r="J3707">
        <f>LEN(Table13[[#This Row],[REFERENCE_DESCR1]])</f>
        <v>7</v>
      </c>
    </row>
    <row r="3708" spans="1:10" hidden="1">
      <c r="A3708" t="s">
        <v>2925</v>
      </c>
      <c r="B3708" t="s">
        <v>7757</v>
      </c>
      <c r="C3708" t="s">
        <v>7758</v>
      </c>
      <c r="J3708">
        <f>LEN(Table13[[#This Row],[REFERENCE_DESCR1]])</f>
        <v>13</v>
      </c>
    </row>
    <row r="3709" spans="1:10" hidden="1">
      <c r="A3709" t="s">
        <v>2925</v>
      </c>
      <c r="B3709" t="s">
        <v>7759</v>
      </c>
      <c r="C3709" t="s">
        <v>7760</v>
      </c>
      <c r="J3709">
        <f>LEN(Table13[[#This Row],[REFERENCE_DESCR1]])</f>
        <v>7</v>
      </c>
    </row>
    <row r="3710" spans="1:10" hidden="1">
      <c r="A3710" t="s">
        <v>2925</v>
      </c>
      <c r="B3710" t="s">
        <v>7761</v>
      </c>
      <c r="C3710" t="s">
        <v>7762</v>
      </c>
      <c r="J3710">
        <f>LEN(Table13[[#This Row],[REFERENCE_DESCR1]])</f>
        <v>12</v>
      </c>
    </row>
    <row r="3711" spans="1:10" hidden="1">
      <c r="A3711" t="s">
        <v>2925</v>
      </c>
      <c r="B3711" t="s">
        <v>7763</v>
      </c>
      <c r="C3711" t="s">
        <v>7764</v>
      </c>
      <c r="J3711">
        <f>LEN(Table13[[#This Row],[REFERENCE_DESCR1]])</f>
        <v>12</v>
      </c>
    </row>
    <row r="3712" spans="1:10" hidden="1">
      <c r="A3712" t="s">
        <v>2925</v>
      </c>
      <c r="B3712" t="s">
        <v>7765</v>
      </c>
      <c r="C3712" t="s">
        <v>7766</v>
      </c>
      <c r="J3712">
        <f>LEN(Table13[[#This Row],[REFERENCE_DESCR1]])</f>
        <v>24</v>
      </c>
    </row>
    <row r="3713" spans="1:10" hidden="1">
      <c r="A3713" t="s">
        <v>2925</v>
      </c>
      <c r="B3713" t="s">
        <v>7767</v>
      </c>
      <c r="C3713" t="s">
        <v>1651</v>
      </c>
      <c r="J3713">
        <f>LEN(Table13[[#This Row],[REFERENCE_DESCR1]])</f>
        <v>8</v>
      </c>
    </row>
    <row r="3714" spans="1:10" hidden="1">
      <c r="A3714" t="s">
        <v>2925</v>
      </c>
      <c r="B3714" t="s">
        <v>7768</v>
      </c>
      <c r="C3714" t="s">
        <v>7769</v>
      </c>
      <c r="J3714">
        <f>LEN(Table13[[#This Row],[REFERENCE_DESCR1]])</f>
        <v>14</v>
      </c>
    </row>
    <row r="3715" spans="1:10" hidden="1">
      <c r="A3715" t="s">
        <v>2925</v>
      </c>
      <c r="B3715" t="s">
        <v>7770</v>
      </c>
      <c r="C3715" t="s">
        <v>7771</v>
      </c>
      <c r="J3715">
        <f>LEN(Table13[[#This Row],[REFERENCE_DESCR1]])</f>
        <v>30</v>
      </c>
    </row>
    <row r="3716" spans="1:10" hidden="1">
      <c r="A3716" t="s">
        <v>2925</v>
      </c>
      <c r="B3716" t="s">
        <v>2167</v>
      </c>
      <c r="C3716" t="s">
        <v>7772</v>
      </c>
      <c r="J3716">
        <f>LEN(Table13[[#This Row],[REFERENCE_DESCR1]])</f>
        <v>9</v>
      </c>
    </row>
    <row r="3717" spans="1:10" hidden="1">
      <c r="A3717" t="s">
        <v>2925</v>
      </c>
      <c r="B3717" t="s">
        <v>7773</v>
      </c>
      <c r="C3717" t="s">
        <v>7774</v>
      </c>
      <c r="J3717">
        <f>LEN(Table13[[#This Row],[REFERENCE_DESCR1]])</f>
        <v>10</v>
      </c>
    </row>
    <row r="3718" spans="1:10" hidden="1">
      <c r="A3718" t="s">
        <v>2925</v>
      </c>
      <c r="B3718" t="s">
        <v>7775</v>
      </c>
      <c r="C3718" t="s">
        <v>7776</v>
      </c>
      <c r="J3718">
        <f>LEN(Table13[[#This Row],[REFERENCE_DESCR1]])</f>
        <v>22</v>
      </c>
    </row>
    <row r="3719" spans="1:10" hidden="1">
      <c r="A3719" t="s">
        <v>2925</v>
      </c>
      <c r="B3719" t="s">
        <v>7777</v>
      </c>
      <c r="C3719" t="s">
        <v>7778</v>
      </c>
      <c r="J3719">
        <f>LEN(Table13[[#This Row],[REFERENCE_DESCR1]])</f>
        <v>13</v>
      </c>
    </row>
    <row r="3720" spans="1:10" hidden="1">
      <c r="A3720" t="s">
        <v>2925</v>
      </c>
      <c r="B3720" t="s">
        <v>7779</v>
      </c>
      <c r="C3720" t="s">
        <v>7780</v>
      </c>
      <c r="J3720">
        <f>LEN(Table13[[#This Row],[REFERENCE_DESCR1]])</f>
        <v>7</v>
      </c>
    </row>
    <row r="3721" spans="1:10" hidden="1">
      <c r="A3721" t="s">
        <v>2925</v>
      </c>
      <c r="B3721" t="s">
        <v>7781</v>
      </c>
      <c r="C3721" t="s">
        <v>7782</v>
      </c>
      <c r="J3721">
        <f>LEN(Table13[[#This Row],[REFERENCE_DESCR1]])</f>
        <v>9</v>
      </c>
    </row>
    <row r="3722" spans="1:10" hidden="1">
      <c r="A3722" t="s">
        <v>2925</v>
      </c>
      <c r="B3722" t="s">
        <v>7783</v>
      </c>
      <c r="C3722" t="s">
        <v>7784</v>
      </c>
      <c r="J3722">
        <f>LEN(Table13[[#This Row],[REFERENCE_DESCR1]])</f>
        <v>7</v>
      </c>
    </row>
    <row r="3723" spans="1:10" hidden="1">
      <c r="A3723" t="s">
        <v>2925</v>
      </c>
      <c r="B3723" t="s">
        <v>7785</v>
      </c>
      <c r="C3723" t="s">
        <v>7786</v>
      </c>
      <c r="J3723">
        <f>LEN(Table13[[#This Row],[REFERENCE_DESCR1]])</f>
        <v>11</v>
      </c>
    </row>
    <row r="3724" spans="1:10" hidden="1">
      <c r="A3724" t="s">
        <v>2925</v>
      </c>
      <c r="B3724" t="s">
        <v>7787</v>
      </c>
      <c r="C3724" t="s">
        <v>7788</v>
      </c>
      <c r="J3724">
        <f>LEN(Table13[[#This Row],[REFERENCE_DESCR1]])</f>
        <v>8</v>
      </c>
    </row>
    <row r="3725" spans="1:10" hidden="1">
      <c r="A3725" t="s">
        <v>2925</v>
      </c>
      <c r="B3725" t="s">
        <v>7789</v>
      </c>
      <c r="C3725" t="s">
        <v>7790</v>
      </c>
      <c r="J3725">
        <f>LEN(Table13[[#This Row],[REFERENCE_DESCR1]])</f>
        <v>7</v>
      </c>
    </row>
    <row r="3726" spans="1:10" hidden="1">
      <c r="A3726" t="s">
        <v>2925</v>
      </c>
      <c r="B3726" t="s">
        <v>7791</v>
      </c>
      <c r="C3726" t="s">
        <v>7792</v>
      </c>
      <c r="J3726">
        <f>LEN(Table13[[#This Row],[REFERENCE_DESCR1]])</f>
        <v>6</v>
      </c>
    </row>
    <row r="3727" spans="1:10" hidden="1">
      <c r="A3727" t="s">
        <v>2925</v>
      </c>
      <c r="B3727" t="s">
        <v>7793</v>
      </c>
      <c r="C3727" t="s">
        <v>7794</v>
      </c>
      <c r="J3727">
        <f>LEN(Table13[[#This Row],[REFERENCE_DESCR1]])</f>
        <v>6</v>
      </c>
    </row>
    <row r="3728" spans="1:10" hidden="1">
      <c r="A3728" t="s">
        <v>2925</v>
      </c>
      <c r="B3728" t="s">
        <v>7795</v>
      </c>
      <c r="C3728" t="s">
        <v>7796</v>
      </c>
      <c r="J3728">
        <f>LEN(Table13[[#This Row],[REFERENCE_DESCR1]])</f>
        <v>9</v>
      </c>
    </row>
    <row r="3729" spans="1:10" hidden="1">
      <c r="A3729" t="s">
        <v>2925</v>
      </c>
      <c r="B3729" t="s">
        <v>7797</v>
      </c>
      <c r="C3729" t="s">
        <v>7798</v>
      </c>
      <c r="J3729">
        <f>LEN(Table13[[#This Row],[REFERENCE_DESCR1]])</f>
        <v>4</v>
      </c>
    </row>
    <row r="3730" spans="1:10" hidden="1">
      <c r="A3730" t="s">
        <v>2925</v>
      </c>
      <c r="B3730" t="s">
        <v>7799</v>
      </c>
      <c r="C3730" t="s">
        <v>7800</v>
      </c>
      <c r="J3730">
        <f>LEN(Table13[[#This Row],[REFERENCE_DESCR1]])</f>
        <v>20</v>
      </c>
    </row>
    <row r="3731" spans="1:10" hidden="1">
      <c r="A3731" t="s">
        <v>2925</v>
      </c>
      <c r="B3731" t="s">
        <v>2151</v>
      </c>
      <c r="C3731" t="s">
        <v>7801</v>
      </c>
      <c r="J3731">
        <f>LEN(Table13[[#This Row],[REFERENCE_DESCR1]])</f>
        <v>11</v>
      </c>
    </row>
    <row r="3732" spans="1:10" hidden="1">
      <c r="A3732" t="s">
        <v>2925</v>
      </c>
      <c r="B3732" t="s">
        <v>7802</v>
      </c>
      <c r="C3732" t="s">
        <v>7803</v>
      </c>
      <c r="J3732">
        <f>LEN(Table13[[#This Row],[REFERENCE_DESCR1]])</f>
        <v>8</v>
      </c>
    </row>
    <row r="3733" spans="1:10" hidden="1">
      <c r="A3733" t="s">
        <v>2925</v>
      </c>
      <c r="B3733" t="s">
        <v>7804</v>
      </c>
      <c r="C3733" t="s">
        <v>7805</v>
      </c>
      <c r="J3733">
        <f>LEN(Table13[[#This Row],[REFERENCE_DESCR1]])</f>
        <v>20</v>
      </c>
    </row>
    <row r="3734" spans="1:10" hidden="1">
      <c r="A3734" t="s">
        <v>2925</v>
      </c>
      <c r="B3734" t="s">
        <v>7806</v>
      </c>
      <c r="C3734" t="s">
        <v>7807</v>
      </c>
      <c r="J3734">
        <f>LEN(Table13[[#This Row],[REFERENCE_DESCR1]])</f>
        <v>34</v>
      </c>
    </row>
    <row r="3735" spans="1:10" hidden="1">
      <c r="A3735" t="s">
        <v>2925</v>
      </c>
      <c r="B3735" t="s">
        <v>7808</v>
      </c>
      <c r="C3735" t="s">
        <v>7809</v>
      </c>
      <c r="J3735">
        <f>LEN(Table13[[#This Row],[REFERENCE_DESCR1]])</f>
        <v>37</v>
      </c>
    </row>
    <row r="3736" spans="1:10" hidden="1">
      <c r="A3736" t="s">
        <v>2925</v>
      </c>
      <c r="B3736" t="s">
        <v>7810</v>
      </c>
      <c r="C3736" t="s">
        <v>7811</v>
      </c>
      <c r="J3736">
        <f>LEN(Table13[[#This Row],[REFERENCE_DESCR1]])</f>
        <v>10</v>
      </c>
    </row>
    <row r="3737" spans="1:10" hidden="1">
      <c r="A3737" t="s">
        <v>2925</v>
      </c>
      <c r="B3737" t="s">
        <v>7812</v>
      </c>
      <c r="C3737" t="s">
        <v>7813</v>
      </c>
      <c r="J3737">
        <f>LEN(Table13[[#This Row],[REFERENCE_DESCR1]])</f>
        <v>22</v>
      </c>
    </row>
    <row r="3738" spans="1:10" hidden="1">
      <c r="A3738" t="s">
        <v>2925</v>
      </c>
      <c r="B3738" t="s">
        <v>7814</v>
      </c>
      <c r="C3738" t="s">
        <v>7815</v>
      </c>
      <c r="J3738">
        <f>LEN(Table13[[#This Row],[REFERENCE_DESCR1]])</f>
        <v>6</v>
      </c>
    </row>
    <row r="3739" spans="1:10" hidden="1">
      <c r="A3739" t="s">
        <v>2925</v>
      </c>
      <c r="B3739" t="s">
        <v>7816</v>
      </c>
      <c r="C3739" t="s">
        <v>7817</v>
      </c>
      <c r="J3739">
        <f>LEN(Table13[[#This Row],[REFERENCE_DESCR1]])</f>
        <v>8</v>
      </c>
    </row>
    <row r="3740" spans="1:10" hidden="1">
      <c r="A3740" t="s">
        <v>2925</v>
      </c>
      <c r="B3740" t="s">
        <v>7818</v>
      </c>
      <c r="C3740" t="s">
        <v>7819</v>
      </c>
      <c r="J3740">
        <f>LEN(Table13[[#This Row],[REFERENCE_DESCR1]])</f>
        <v>7</v>
      </c>
    </row>
    <row r="3741" spans="1:10" hidden="1">
      <c r="A3741" t="s">
        <v>2925</v>
      </c>
      <c r="B3741" t="s">
        <v>7820</v>
      </c>
      <c r="C3741" t="s">
        <v>7821</v>
      </c>
      <c r="J3741">
        <f>LEN(Table13[[#This Row],[REFERENCE_DESCR1]])</f>
        <v>7</v>
      </c>
    </row>
    <row r="3742" spans="1:10" hidden="1">
      <c r="A3742" t="s">
        <v>2925</v>
      </c>
      <c r="B3742" t="s">
        <v>7822</v>
      </c>
      <c r="C3742" t="s">
        <v>7823</v>
      </c>
      <c r="J3742">
        <f>LEN(Table13[[#This Row],[REFERENCE_DESCR1]])</f>
        <v>25</v>
      </c>
    </row>
    <row r="3743" spans="1:10" hidden="1">
      <c r="A3743" t="s">
        <v>2925</v>
      </c>
      <c r="B3743" t="s">
        <v>7824</v>
      </c>
      <c r="C3743" t="s">
        <v>7825</v>
      </c>
      <c r="J3743">
        <f>LEN(Table13[[#This Row],[REFERENCE_DESCR1]])</f>
        <v>32</v>
      </c>
    </row>
    <row r="3744" spans="1:10" hidden="1">
      <c r="A3744" t="s">
        <v>2925</v>
      </c>
      <c r="B3744" t="s">
        <v>7826</v>
      </c>
      <c r="C3744" t="s">
        <v>7827</v>
      </c>
      <c r="J3744">
        <f>LEN(Table13[[#This Row],[REFERENCE_DESCR1]])</f>
        <v>40</v>
      </c>
    </row>
    <row r="3745" spans="1:10" hidden="1">
      <c r="A3745" t="s">
        <v>2925</v>
      </c>
      <c r="B3745" t="s">
        <v>7828</v>
      </c>
      <c r="C3745" t="s">
        <v>7829</v>
      </c>
      <c r="J3745">
        <f>LEN(Table13[[#This Row],[REFERENCE_DESCR1]])</f>
        <v>35</v>
      </c>
    </row>
    <row r="3746" spans="1:10" hidden="1">
      <c r="A3746" t="s">
        <v>2925</v>
      </c>
      <c r="B3746" t="s">
        <v>7830</v>
      </c>
      <c r="C3746" t="s">
        <v>7831</v>
      </c>
      <c r="J3746">
        <f>LEN(Table13[[#This Row],[REFERENCE_DESCR1]])</f>
        <v>33</v>
      </c>
    </row>
    <row r="3747" spans="1:10" hidden="1">
      <c r="A3747" t="s">
        <v>2925</v>
      </c>
      <c r="B3747" t="s">
        <v>7832</v>
      </c>
      <c r="C3747" t="s">
        <v>7833</v>
      </c>
      <c r="J3747">
        <f>LEN(Table13[[#This Row],[REFERENCE_DESCR1]])</f>
        <v>11</v>
      </c>
    </row>
    <row r="3748" spans="1:10" hidden="1">
      <c r="A3748" t="s">
        <v>2925</v>
      </c>
      <c r="B3748" t="s">
        <v>7834</v>
      </c>
      <c r="C3748" t="s">
        <v>7835</v>
      </c>
      <c r="J3748">
        <f>LEN(Table13[[#This Row],[REFERENCE_DESCR1]])</f>
        <v>12</v>
      </c>
    </row>
    <row r="3749" spans="1:10" hidden="1">
      <c r="A3749" t="s">
        <v>2925</v>
      </c>
      <c r="B3749" t="s">
        <v>7836</v>
      </c>
      <c r="C3749" t="s">
        <v>7837</v>
      </c>
      <c r="J3749">
        <f>LEN(Table13[[#This Row],[REFERENCE_DESCR1]])</f>
        <v>9</v>
      </c>
    </row>
    <row r="3750" spans="1:10" hidden="1">
      <c r="A3750" t="s">
        <v>2925</v>
      </c>
      <c r="B3750" t="s">
        <v>7838</v>
      </c>
      <c r="C3750" t="s">
        <v>7839</v>
      </c>
      <c r="J3750">
        <f>LEN(Table13[[#This Row],[REFERENCE_DESCR1]])</f>
        <v>14</v>
      </c>
    </row>
    <row r="3751" spans="1:10" hidden="1">
      <c r="A3751" t="s">
        <v>2925</v>
      </c>
      <c r="B3751" t="s">
        <v>7840</v>
      </c>
      <c r="C3751" t="s">
        <v>7841</v>
      </c>
      <c r="J3751">
        <f>LEN(Table13[[#This Row],[REFERENCE_DESCR1]])</f>
        <v>8</v>
      </c>
    </row>
    <row r="3752" spans="1:10" hidden="1">
      <c r="A3752" t="s">
        <v>2925</v>
      </c>
      <c r="B3752" t="s">
        <v>7842</v>
      </c>
      <c r="C3752" t="s">
        <v>7843</v>
      </c>
      <c r="J3752">
        <f>LEN(Table13[[#This Row],[REFERENCE_DESCR1]])</f>
        <v>8</v>
      </c>
    </row>
    <row r="3753" spans="1:10" hidden="1">
      <c r="A3753" t="s">
        <v>2925</v>
      </c>
      <c r="B3753" t="s">
        <v>7844</v>
      </c>
      <c r="C3753" t="s">
        <v>7845</v>
      </c>
      <c r="J3753">
        <f>LEN(Table13[[#This Row],[REFERENCE_DESCR1]])</f>
        <v>8</v>
      </c>
    </row>
    <row r="3754" spans="1:10" hidden="1">
      <c r="A3754" t="s">
        <v>2925</v>
      </c>
      <c r="B3754" t="s">
        <v>7846</v>
      </c>
      <c r="C3754" t="s">
        <v>7847</v>
      </c>
      <c r="J3754">
        <f>LEN(Table13[[#This Row],[REFERENCE_DESCR1]])</f>
        <v>9</v>
      </c>
    </row>
    <row r="3755" spans="1:10" hidden="1">
      <c r="A3755" t="s">
        <v>2925</v>
      </c>
      <c r="B3755" t="s">
        <v>7848</v>
      </c>
      <c r="C3755" t="s">
        <v>7849</v>
      </c>
      <c r="J3755">
        <f>LEN(Table13[[#This Row],[REFERENCE_DESCR1]])</f>
        <v>8</v>
      </c>
    </row>
    <row r="3756" spans="1:10" hidden="1">
      <c r="A3756" t="s">
        <v>2925</v>
      </c>
      <c r="B3756" t="s">
        <v>7850</v>
      </c>
      <c r="C3756" t="s">
        <v>7851</v>
      </c>
      <c r="J3756">
        <f>LEN(Table13[[#This Row],[REFERENCE_DESCR1]])</f>
        <v>8</v>
      </c>
    </row>
    <row r="3757" spans="1:10" hidden="1">
      <c r="A3757" t="s">
        <v>2925</v>
      </c>
      <c r="B3757" t="s">
        <v>7852</v>
      </c>
      <c r="C3757" t="s">
        <v>7853</v>
      </c>
      <c r="J3757">
        <f>LEN(Table13[[#This Row],[REFERENCE_DESCR1]])</f>
        <v>15</v>
      </c>
    </row>
    <row r="3758" spans="1:10" hidden="1">
      <c r="A3758" t="s">
        <v>2925</v>
      </c>
      <c r="B3758" t="s">
        <v>7854</v>
      </c>
      <c r="C3758" t="s">
        <v>7855</v>
      </c>
      <c r="J3758">
        <f>LEN(Table13[[#This Row],[REFERENCE_DESCR1]])</f>
        <v>10</v>
      </c>
    </row>
    <row r="3759" spans="1:10" hidden="1">
      <c r="A3759" t="s">
        <v>2925</v>
      </c>
      <c r="B3759" t="s">
        <v>7856</v>
      </c>
      <c r="C3759" t="s">
        <v>7857</v>
      </c>
      <c r="J3759">
        <f>LEN(Table13[[#This Row],[REFERENCE_DESCR1]])</f>
        <v>4</v>
      </c>
    </row>
    <row r="3760" spans="1:10" hidden="1">
      <c r="A3760" t="s">
        <v>2925</v>
      </c>
      <c r="B3760" t="s">
        <v>7858</v>
      </c>
      <c r="C3760" t="s">
        <v>1653</v>
      </c>
      <c r="J3760">
        <f>LEN(Table13[[#This Row],[REFERENCE_DESCR1]])</f>
        <v>9</v>
      </c>
    </row>
    <row r="3761" spans="1:10" hidden="1">
      <c r="A3761" t="s">
        <v>2925</v>
      </c>
      <c r="B3761" t="s">
        <v>7859</v>
      </c>
      <c r="C3761" t="s">
        <v>7860</v>
      </c>
      <c r="J3761">
        <f>LEN(Table13[[#This Row],[REFERENCE_DESCR1]])</f>
        <v>8</v>
      </c>
    </row>
    <row r="3762" spans="1:10" hidden="1">
      <c r="A3762" t="s">
        <v>2925</v>
      </c>
      <c r="B3762" t="s">
        <v>7861</v>
      </c>
      <c r="C3762" t="s">
        <v>7862</v>
      </c>
      <c r="J3762">
        <f>LEN(Table13[[#This Row],[REFERENCE_DESCR1]])</f>
        <v>10</v>
      </c>
    </row>
    <row r="3763" spans="1:10" hidden="1">
      <c r="A3763" t="s">
        <v>2925</v>
      </c>
      <c r="B3763" t="s">
        <v>7863</v>
      </c>
      <c r="C3763" t="s">
        <v>7864</v>
      </c>
      <c r="J3763">
        <f>LEN(Table13[[#This Row],[REFERENCE_DESCR1]])</f>
        <v>22</v>
      </c>
    </row>
    <row r="3764" spans="1:10" hidden="1">
      <c r="A3764" t="s">
        <v>2925</v>
      </c>
      <c r="B3764" t="s">
        <v>7865</v>
      </c>
      <c r="C3764" t="s">
        <v>7866</v>
      </c>
      <c r="J3764">
        <f>LEN(Table13[[#This Row],[REFERENCE_DESCR1]])</f>
        <v>15</v>
      </c>
    </row>
    <row r="3765" spans="1:10" hidden="1">
      <c r="A3765" t="s">
        <v>2925</v>
      </c>
      <c r="B3765" t="s">
        <v>7867</v>
      </c>
      <c r="C3765" t="s">
        <v>7868</v>
      </c>
      <c r="J3765">
        <f>LEN(Table13[[#This Row],[REFERENCE_DESCR1]])</f>
        <v>14</v>
      </c>
    </row>
    <row r="3766" spans="1:10" hidden="1">
      <c r="A3766" t="s">
        <v>2925</v>
      </c>
      <c r="B3766" t="s">
        <v>7869</v>
      </c>
      <c r="C3766" t="s">
        <v>7870</v>
      </c>
      <c r="J3766">
        <f>LEN(Table13[[#This Row],[REFERENCE_DESCR1]])</f>
        <v>12</v>
      </c>
    </row>
    <row r="3767" spans="1:10" hidden="1">
      <c r="A3767" t="s">
        <v>2925</v>
      </c>
      <c r="B3767" t="s">
        <v>7871</v>
      </c>
      <c r="C3767" t="s">
        <v>7872</v>
      </c>
      <c r="J3767">
        <f>LEN(Table13[[#This Row],[REFERENCE_DESCR1]])</f>
        <v>27</v>
      </c>
    </row>
    <row r="3768" spans="1:10" hidden="1">
      <c r="A3768" t="s">
        <v>2925</v>
      </c>
      <c r="B3768" t="s">
        <v>7873</v>
      </c>
      <c r="C3768" t="s">
        <v>7874</v>
      </c>
      <c r="J3768">
        <f>LEN(Table13[[#This Row],[REFERENCE_DESCR1]])</f>
        <v>10</v>
      </c>
    </row>
    <row r="3769" spans="1:10" hidden="1">
      <c r="A3769" t="s">
        <v>2925</v>
      </c>
      <c r="B3769" t="s">
        <v>7875</v>
      </c>
      <c r="C3769" t="s">
        <v>7876</v>
      </c>
      <c r="J3769">
        <f>LEN(Table13[[#This Row],[REFERENCE_DESCR1]])</f>
        <v>18</v>
      </c>
    </row>
    <row r="3770" spans="1:10" hidden="1">
      <c r="A3770" t="s">
        <v>2925</v>
      </c>
      <c r="B3770" t="s">
        <v>7877</v>
      </c>
      <c r="C3770" t="s">
        <v>7878</v>
      </c>
      <c r="J3770">
        <f>LEN(Table13[[#This Row],[REFERENCE_DESCR1]])</f>
        <v>7</v>
      </c>
    </row>
    <row r="3771" spans="1:10" hidden="1">
      <c r="A3771" t="s">
        <v>2925</v>
      </c>
      <c r="B3771" t="s">
        <v>7879</v>
      </c>
      <c r="C3771" t="s">
        <v>7880</v>
      </c>
      <c r="J3771">
        <f>LEN(Table13[[#This Row],[REFERENCE_DESCR1]])</f>
        <v>7</v>
      </c>
    </row>
    <row r="3772" spans="1:10" hidden="1">
      <c r="A3772" t="s">
        <v>2925</v>
      </c>
      <c r="B3772" t="s">
        <v>7881</v>
      </c>
      <c r="C3772" t="s">
        <v>7882</v>
      </c>
      <c r="J3772">
        <f>LEN(Table13[[#This Row],[REFERENCE_DESCR1]])</f>
        <v>19</v>
      </c>
    </row>
    <row r="3773" spans="1:10" hidden="1">
      <c r="A3773" t="s">
        <v>2925</v>
      </c>
      <c r="B3773" t="s">
        <v>7883</v>
      </c>
      <c r="C3773" t="s">
        <v>7884</v>
      </c>
      <c r="J3773">
        <f>LEN(Table13[[#This Row],[REFERENCE_DESCR1]])</f>
        <v>8</v>
      </c>
    </row>
    <row r="3774" spans="1:10" hidden="1">
      <c r="A3774" t="s">
        <v>2925</v>
      </c>
      <c r="B3774" t="s">
        <v>7885</v>
      </c>
      <c r="C3774" t="s">
        <v>7886</v>
      </c>
      <c r="J3774">
        <f>LEN(Table13[[#This Row],[REFERENCE_DESCR1]])</f>
        <v>9</v>
      </c>
    </row>
    <row r="3775" spans="1:10" hidden="1">
      <c r="A3775" t="s">
        <v>2925</v>
      </c>
      <c r="B3775" t="s">
        <v>7887</v>
      </c>
      <c r="C3775" t="s">
        <v>7888</v>
      </c>
      <c r="J3775">
        <f>LEN(Table13[[#This Row],[REFERENCE_DESCR1]])</f>
        <v>8</v>
      </c>
    </row>
    <row r="3776" spans="1:10" hidden="1">
      <c r="A3776" t="s">
        <v>2925</v>
      </c>
      <c r="B3776" t="s">
        <v>7889</v>
      </c>
      <c r="C3776" t="s">
        <v>7890</v>
      </c>
      <c r="J3776">
        <f>LEN(Table13[[#This Row],[REFERENCE_DESCR1]])</f>
        <v>20</v>
      </c>
    </row>
    <row r="3777" spans="1:10" hidden="1">
      <c r="A3777" t="s">
        <v>2925</v>
      </c>
      <c r="B3777" t="s">
        <v>7891</v>
      </c>
      <c r="C3777" t="s">
        <v>7892</v>
      </c>
      <c r="J3777">
        <f>LEN(Table13[[#This Row],[REFERENCE_DESCR1]])</f>
        <v>18</v>
      </c>
    </row>
    <row r="3778" spans="1:10" hidden="1">
      <c r="A3778" t="s">
        <v>2925</v>
      </c>
      <c r="B3778" t="s">
        <v>7893</v>
      </c>
      <c r="C3778" t="s">
        <v>7894</v>
      </c>
      <c r="J3778">
        <f>LEN(Table13[[#This Row],[REFERENCE_DESCR1]])</f>
        <v>13</v>
      </c>
    </row>
    <row r="3779" spans="1:10" hidden="1">
      <c r="A3779" t="s">
        <v>2925</v>
      </c>
      <c r="B3779" t="s">
        <v>7895</v>
      </c>
      <c r="C3779" t="s">
        <v>7896</v>
      </c>
      <c r="J3779">
        <f>LEN(Table13[[#This Row],[REFERENCE_DESCR1]])</f>
        <v>34</v>
      </c>
    </row>
    <row r="3780" spans="1:10" hidden="1">
      <c r="A3780" t="s">
        <v>2925</v>
      </c>
      <c r="B3780" t="s">
        <v>7897</v>
      </c>
      <c r="C3780" t="s">
        <v>7898</v>
      </c>
      <c r="J3780">
        <f>LEN(Table13[[#This Row],[REFERENCE_DESCR1]])</f>
        <v>26</v>
      </c>
    </row>
    <row r="3781" spans="1:10" hidden="1">
      <c r="A3781" t="s">
        <v>2925</v>
      </c>
      <c r="B3781" t="s">
        <v>7899</v>
      </c>
      <c r="C3781" t="s">
        <v>7900</v>
      </c>
      <c r="J3781">
        <f>LEN(Table13[[#This Row],[REFERENCE_DESCR1]])</f>
        <v>4</v>
      </c>
    </row>
    <row r="3782" spans="1:10" hidden="1">
      <c r="A3782" t="s">
        <v>2925</v>
      </c>
      <c r="B3782" t="s">
        <v>7901</v>
      </c>
      <c r="C3782" t="s">
        <v>7902</v>
      </c>
      <c r="J3782">
        <f>LEN(Table13[[#This Row],[REFERENCE_DESCR1]])</f>
        <v>14</v>
      </c>
    </row>
    <row r="3783" spans="1:10" hidden="1">
      <c r="A3783" t="s">
        <v>2925</v>
      </c>
      <c r="B3783" t="s">
        <v>7903</v>
      </c>
      <c r="C3783" t="s">
        <v>7904</v>
      </c>
      <c r="J3783">
        <f>LEN(Table13[[#This Row],[REFERENCE_DESCR1]])</f>
        <v>8</v>
      </c>
    </row>
    <row r="3784" spans="1:10" hidden="1">
      <c r="A3784" t="s">
        <v>2925</v>
      </c>
      <c r="B3784" t="s">
        <v>7905</v>
      </c>
      <c r="C3784" t="s">
        <v>7906</v>
      </c>
      <c r="J3784">
        <f>LEN(Table13[[#This Row],[REFERENCE_DESCR1]])</f>
        <v>4</v>
      </c>
    </row>
    <row r="3785" spans="1:10" hidden="1">
      <c r="A3785" t="s">
        <v>2925</v>
      </c>
      <c r="B3785" t="s">
        <v>7907</v>
      </c>
      <c r="C3785" t="s">
        <v>7908</v>
      </c>
      <c r="J3785">
        <f>LEN(Table13[[#This Row],[REFERENCE_DESCR1]])</f>
        <v>9</v>
      </c>
    </row>
    <row r="3786" spans="1:10" hidden="1">
      <c r="A3786" t="s">
        <v>2925</v>
      </c>
      <c r="B3786" t="s">
        <v>7909</v>
      </c>
      <c r="C3786" t="s">
        <v>7910</v>
      </c>
      <c r="J3786">
        <f>LEN(Table13[[#This Row],[REFERENCE_DESCR1]])</f>
        <v>12</v>
      </c>
    </row>
    <row r="3787" spans="1:10" hidden="1">
      <c r="A3787" t="s">
        <v>2925</v>
      </c>
      <c r="B3787" t="s">
        <v>7911</v>
      </c>
      <c r="C3787" t="s">
        <v>7912</v>
      </c>
      <c r="J3787">
        <f>LEN(Table13[[#This Row],[REFERENCE_DESCR1]])</f>
        <v>9</v>
      </c>
    </row>
    <row r="3788" spans="1:10" hidden="1">
      <c r="A3788" t="s">
        <v>2925</v>
      </c>
      <c r="B3788" t="s">
        <v>7913</v>
      </c>
      <c r="C3788" t="s">
        <v>7914</v>
      </c>
      <c r="J3788">
        <f>LEN(Table13[[#This Row],[REFERENCE_DESCR1]])</f>
        <v>10</v>
      </c>
    </row>
    <row r="3789" spans="1:10" hidden="1">
      <c r="A3789" t="s">
        <v>2925</v>
      </c>
      <c r="B3789" t="s">
        <v>7915</v>
      </c>
      <c r="C3789" t="s">
        <v>7916</v>
      </c>
      <c r="J3789">
        <f>LEN(Table13[[#This Row],[REFERENCE_DESCR1]])</f>
        <v>8</v>
      </c>
    </row>
    <row r="3790" spans="1:10" hidden="1">
      <c r="A3790" t="s">
        <v>2925</v>
      </c>
      <c r="B3790" t="s">
        <v>7917</v>
      </c>
      <c r="C3790" t="s">
        <v>7918</v>
      </c>
      <c r="J3790">
        <f>LEN(Table13[[#This Row],[REFERENCE_DESCR1]])</f>
        <v>8</v>
      </c>
    </row>
    <row r="3791" spans="1:10" hidden="1">
      <c r="A3791" t="s">
        <v>2925</v>
      </c>
      <c r="B3791" t="s">
        <v>7919</v>
      </c>
      <c r="C3791" t="s">
        <v>7920</v>
      </c>
      <c r="J3791">
        <f>LEN(Table13[[#This Row],[REFERENCE_DESCR1]])</f>
        <v>8</v>
      </c>
    </row>
    <row r="3792" spans="1:10" hidden="1">
      <c r="A3792" t="s">
        <v>2925</v>
      </c>
      <c r="B3792" t="s">
        <v>2439</v>
      </c>
      <c r="C3792" t="s">
        <v>7921</v>
      </c>
      <c r="J3792">
        <f>LEN(Table13[[#This Row],[REFERENCE_DESCR1]])</f>
        <v>12</v>
      </c>
    </row>
    <row r="3793" spans="1:10" hidden="1">
      <c r="A3793" t="s">
        <v>2925</v>
      </c>
      <c r="B3793" t="s">
        <v>7922</v>
      </c>
      <c r="C3793" t="s">
        <v>7923</v>
      </c>
      <c r="J3793">
        <f>LEN(Table13[[#This Row],[REFERENCE_DESCR1]])</f>
        <v>17</v>
      </c>
    </row>
    <row r="3794" spans="1:10" hidden="1">
      <c r="A3794" t="s">
        <v>2925</v>
      </c>
      <c r="B3794" t="s">
        <v>7924</v>
      </c>
      <c r="C3794" t="s">
        <v>7925</v>
      </c>
      <c r="J3794">
        <f>LEN(Table13[[#This Row],[REFERENCE_DESCR1]])</f>
        <v>12</v>
      </c>
    </row>
    <row r="3795" spans="1:10" hidden="1">
      <c r="A3795" t="s">
        <v>2925</v>
      </c>
      <c r="B3795" t="s">
        <v>7926</v>
      </c>
      <c r="C3795" t="s">
        <v>7927</v>
      </c>
      <c r="J3795">
        <f>LEN(Table13[[#This Row],[REFERENCE_DESCR1]])</f>
        <v>32</v>
      </c>
    </row>
    <row r="3796" spans="1:10" hidden="1">
      <c r="A3796" t="s">
        <v>2925</v>
      </c>
      <c r="B3796" t="s">
        <v>7928</v>
      </c>
      <c r="C3796" t="s">
        <v>7929</v>
      </c>
      <c r="J3796">
        <f>LEN(Table13[[#This Row],[REFERENCE_DESCR1]])</f>
        <v>18</v>
      </c>
    </row>
    <row r="3797" spans="1:10" hidden="1">
      <c r="A3797" t="s">
        <v>2925</v>
      </c>
      <c r="B3797" t="s">
        <v>7930</v>
      </c>
      <c r="C3797" t="s">
        <v>7931</v>
      </c>
      <c r="J3797">
        <f>LEN(Table13[[#This Row],[REFERENCE_DESCR1]])</f>
        <v>11</v>
      </c>
    </row>
    <row r="3798" spans="1:10" hidden="1">
      <c r="A3798" t="s">
        <v>2925</v>
      </c>
      <c r="B3798" t="s">
        <v>7932</v>
      </c>
      <c r="C3798" t="s">
        <v>7933</v>
      </c>
      <c r="J3798">
        <f>LEN(Table13[[#This Row],[REFERENCE_DESCR1]])</f>
        <v>11</v>
      </c>
    </row>
    <row r="3799" spans="1:10" hidden="1">
      <c r="A3799" t="s">
        <v>2925</v>
      </c>
      <c r="B3799" t="s">
        <v>7934</v>
      </c>
      <c r="C3799" t="s">
        <v>7935</v>
      </c>
      <c r="J3799">
        <f>LEN(Table13[[#This Row],[REFERENCE_DESCR1]])</f>
        <v>5</v>
      </c>
    </row>
    <row r="3800" spans="1:10" hidden="1">
      <c r="A3800" t="s">
        <v>2925</v>
      </c>
      <c r="B3800" t="s">
        <v>7936</v>
      </c>
      <c r="C3800" t="s">
        <v>7937</v>
      </c>
      <c r="J3800">
        <f>LEN(Table13[[#This Row],[REFERENCE_DESCR1]])</f>
        <v>10</v>
      </c>
    </row>
    <row r="3801" spans="1:10" hidden="1">
      <c r="A3801" t="s">
        <v>2925</v>
      </c>
      <c r="B3801" t="s">
        <v>7938</v>
      </c>
      <c r="C3801" t="s">
        <v>7939</v>
      </c>
      <c r="J3801">
        <f>LEN(Table13[[#This Row],[REFERENCE_DESCR1]])</f>
        <v>22</v>
      </c>
    </row>
    <row r="3802" spans="1:10" hidden="1">
      <c r="A3802" t="s">
        <v>2925</v>
      </c>
      <c r="B3802" t="s">
        <v>7940</v>
      </c>
      <c r="C3802" t="s">
        <v>7941</v>
      </c>
      <c r="J3802">
        <f>LEN(Table13[[#This Row],[REFERENCE_DESCR1]])</f>
        <v>11</v>
      </c>
    </row>
    <row r="3803" spans="1:10" hidden="1">
      <c r="A3803" t="s">
        <v>2925</v>
      </c>
      <c r="B3803" t="s">
        <v>7942</v>
      </c>
      <c r="C3803" t="s">
        <v>7943</v>
      </c>
      <c r="J3803">
        <f>LEN(Table13[[#This Row],[REFERENCE_DESCR1]])</f>
        <v>16</v>
      </c>
    </row>
    <row r="3804" spans="1:10" hidden="1">
      <c r="A3804" t="s">
        <v>2925</v>
      </c>
      <c r="B3804" t="s">
        <v>7944</v>
      </c>
      <c r="C3804" t="s">
        <v>7945</v>
      </c>
      <c r="J3804">
        <f>LEN(Table13[[#This Row],[REFERENCE_DESCR1]])</f>
        <v>16</v>
      </c>
    </row>
    <row r="3805" spans="1:10" hidden="1">
      <c r="A3805" t="s">
        <v>2925</v>
      </c>
      <c r="B3805" t="s">
        <v>7946</v>
      </c>
      <c r="C3805" t="s">
        <v>7947</v>
      </c>
      <c r="J3805">
        <f>LEN(Table13[[#This Row],[REFERENCE_DESCR1]])</f>
        <v>23</v>
      </c>
    </row>
    <row r="3806" spans="1:10" hidden="1">
      <c r="A3806" t="s">
        <v>2925</v>
      </c>
      <c r="B3806" t="s">
        <v>7948</v>
      </c>
      <c r="C3806" t="s">
        <v>7949</v>
      </c>
      <c r="J3806">
        <f>LEN(Table13[[#This Row],[REFERENCE_DESCR1]])</f>
        <v>23</v>
      </c>
    </row>
    <row r="3807" spans="1:10" hidden="1">
      <c r="A3807" t="s">
        <v>2925</v>
      </c>
      <c r="B3807" t="s">
        <v>7950</v>
      </c>
      <c r="C3807" t="s">
        <v>1655</v>
      </c>
      <c r="J3807">
        <f>LEN(Table13[[#This Row],[REFERENCE_DESCR1]])</f>
        <v>6</v>
      </c>
    </row>
    <row r="3808" spans="1:10" hidden="1">
      <c r="A3808" t="s">
        <v>2925</v>
      </c>
      <c r="B3808" t="s">
        <v>7951</v>
      </c>
      <c r="C3808" t="s">
        <v>7952</v>
      </c>
      <c r="J3808">
        <f>LEN(Table13[[#This Row],[REFERENCE_DESCR1]])</f>
        <v>29</v>
      </c>
    </row>
    <row r="3809" spans="1:10" hidden="1">
      <c r="A3809" t="s">
        <v>2925</v>
      </c>
      <c r="B3809" t="s">
        <v>7953</v>
      </c>
      <c r="C3809" t="s">
        <v>7954</v>
      </c>
      <c r="J3809">
        <f>LEN(Table13[[#This Row],[REFERENCE_DESCR1]])</f>
        <v>33</v>
      </c>
    </row>
    <row r="3810" spans="1:10" hidden="1">
      <c r="A3810" t="s">
        <v>2925</v>
      </c>
      <c r="B3810" t="s">
        <v>7955</v>
      </c>
      <c r="C3810" t="s">
        <v>7956</v>
      </c>
      <c r="J3810">
        <f>LEN(Table13[[#This Row],[REFERENCE_DESCR1]])</f>
        <v>36</v>
      </c>
    </row>
    <row r="3811" spans="1:10" hidden="1">
      <c r="A3811" t="s">
        <v>2925</v>
      </c>
      <c r="B3811" t="s">
        <v>7957</v>
      </c>
      <c r="C3811" t="s">
        <v>7958</v>
      </c>
      <c r="J3811">
        <f>LEN(Table13[[#This Row],[REFERENCE_DESCR1]])</f>
        <v>30</v>
      </c>
    </row>
    <row r="3812" spans="1:10" hidden="1">
      <c r="A3812" t="s">
        <v>2925</v>
      </c>
      <c r="B3812" t="s">
        <v>7959</v>
      </c>
      <c r="C3812" t="s">
        <v>7960</v>
      </c>
      <c r="J3812">
        <f>LEN(Table13[[#This Row],[REFERENCE_DESCR1]])</f>
        <v>34</v>
      </c>
    </row>
    <row r="3813" spans="1:10" hidden="1">
      <c r="A3813" t="s">
        <v>2925</v>
      </c>
      <c r="B3813" t="s">
        <v>7961</v>
      </c>
      <c r="C3813" t="s">
        <v>7962</v>
      </c>
      <c r="J3813">
        <f>LEN(Table13[[#This Row],[REFERENCE_DESCR1]])</f>
        <v>34</v>
      </c>
    </row>
    <row r="3814" spans="1:10" hidden="1">
      <c r="A3814" t="s">
        <v>2925</v>
      </c>
      <c r="B3814" t="s">
        <v>7963</v>
      </c>
      <c r="C3814" t="s">
        <v>7964</v>
      </c>
      <c r="J3814">
        <f>LEN(Table13[[#This Row],[REFERENCE_DESCR1]])</f>
        <v>32</v>
      </c>
    </row>
    <row r="3815" spans="1:10" hidden="1">
      <c r="A3815" t="s">
        <v>2925</v>
      </c>
      <c r="B3815" t="s">
        <v>7965</v>
      </c>
      <c r="C3815" t="s">
        <v>7966</v>
      </c>
      <c r="J3815">
        <f>LEN(Table13[[#This Row],[REFERENCE_DESCR1]])</f>
        <v>36</v>
      </c>
    </row>
    <row r="3816" spans="1:10" hidden="1">
      <c r="A3816" t="s">
        <v>2925</v>
      </c>
      <c r="B3816" t="s">
        <v>7967</v>
      </c>
      <c r="C3816" t="s">
        <v>7968</v>
      </c>
      <c r="J3816">
        <f>LEN(Table13[[#This Row],[REFERENCE_DESCR1]])</f>
        <v>36</v>
      </c>
    </row>
    <row r="3817" spans="1:10" hidden="1">
      <c r="A3817" t="s">
        <v>2925</v>
      </c>
      <c r="B3817" t="s">
        <v>7969</v>
      </c>
      <c r="C3817" t="s">
        <v>7970</v>
      </c>
      <c r="J3817">
        <f>LEN(Table13[[#This Row],[REFERENCE_DESCR1]])</f>
        <v>40</v>
      </c>
    </row>
    <row r="3818" spans="1:10" hidden="1">
      <c r="A3818" t="s">
        <v>2925</v>
      </c>
      <c r="B3818" t="s">
        <v>7971</v>
      </c>
      <c r="C3818" t="s">
        <v>7972</v>
      </c>
      <c r="J3818">
        <f>LEN(Table13[[#This Row],[REFERENCE_DESCR1]])</f>
        <v>36</v>
      </c>
    </row>
    <row r="3819" spans="1:10" hidden="1">
      <c r="A3819" t="s">
        <v>2925</v>
      </c>
      <c r="B3819" t="s">
        <v>7973</v>
      </c>
      <c r="C3819" t="s">
        <v>7974</v>
      </c>
      <c r="J3819">
        <f>LEN(Table13[[#This Row],[REFERENCE_DESCR1]])</f>
        <v>10</v>
      </c>
    </row>
    <row r="3820" spans="1:10" hidden="1">
      <c r="A3820" t="s">
        <v>2925</v>
      </c>
      <c r="B3820" t="s">
        <v>7975</v>
      </c>
      <c r="C3820" t="s">
        <v>7976</v>
      </c>
      <c r="J3820">
        <f>LEN(Table13[[#This Row],[REFERENCE_DESCR1]])</f>
        <v>20</v>
      </c>
    </row>
    <row r="3821" spans="1:10" hidden="1">
      <c r="A3821" t="s">
        <v>2925</v>
      </c>
      <c r="B3821" t="s">
        <v>7977</v>
      </c>
      <c r="C3821" t="s">
        <v>7978</v>
      </c>
      <c r="J3821">
        <f>LEN(Table13[[#This Row],[REFERENCE_DESCR1]])</f>
        <v>15</v>
      </c>
    </row>
    <row r="3822" spans="1:10" hidden="1">
      <c r="A3822" t="s">
        <v>2925</v>
      </c>
      <c r="B3822" t="s">
        <v>7979</v>
      </c>
      <c r="C3822" t="s">
        <v>7980</v>
      </c>
      <c r="J3822">
        <f>LEN(Table13[[#This Row],[REFERENCE_DESCR1]])</f>
        <v>8</v>
      </c>
    </row>
    <row r="3823" spans="1:10" hidden="1">
      <c r="A3823" t="s">
        <v>2925</v>
      </c>
      <c r="B3823" t="s">
        <v>7981</v>
      </c>
      <c r="C3823" t="s">
        <v>7982</v>
      </c>
      <c r="J3823">
        <f>LEN(Table13[[#This Row],[REFERENCE_DESCR1]])</f>
        <v>25</v>
      </c>
    </row>
    <row r="3824" spans="1:10" hidden="1">
      <c r="A3824" t="s">
        <v>2925</v>
      </c>
      <c r="B3824" t="s">
        <v>7983</v>
      </c>
      <c r="C3824" t="s">
        <v>7984</v>
      </c>
      <c r="J3824">
        <f>LEN(Table13[[#This Row],[REFERENCE_DESCR1]])</f>
        <v>21</v>
      </c>
    </row>
    <row r="3825" spans="1:10" hidden="1">
      <c r="A3825" t="s">
        <v>2925</v>
      </c>
      <c r="B3825" t="s">
        <v>7985</v>
      </c>
      <c r="C3825" t="s">
        <v>7986</v>
      </c>
      <c r="J3825">
        <f>LEN(Table13[[#This Row],[REFERENCE_DESCR1]])</f>
        <v>9</v>
      </c>
    </row>
    <row r="3826" spans="1:10" hidden="1">
      <c r="A3826" t="s">
        <v>2925</v>
      </c>
      <c r="B3826" t="s">
        <v>7987</v>
      </c>
      <c r="C3826" t="s">
        <v>7988</v>
      </c>
      <c r="J3826">
        <f>LEN(Table13[[#This Row],[REFERENCE_DESCR1]])</f>
        <v>6</v>
      </c>
    </row>
    <row r="3827" spans="1:10" hidden="1">
      <c r="A3827" t="s">
        <v>2925</v>
      </c>
      <c r="B3827" t="s">
        <v>7989</v>
      </c>
      <c r="C3827" t="s">
        <v>7990</v>
      </c>
      <c r="J3827">
        <f>LEN(Table13[[#This Row],[REFERENCE_DESCR1]])</f>
        <v>18</v>
      </c>
    </row>
    <row r="3828" spans="1:10" hidden="1">
      <c r="A3828" t="s">
        <v>2925</v>
      </c>
      <c r="B3828" t="s">
        <v>7991</v>
      </c>
      <c r="C3828" t="s">
        <v>7992</v>
      </c>
      <c r="J3828">
        <f>LEN(Table13[[#This Row],[REFERENCE_DESCR1]])</f>
        <v>10</v>
      </c>
    </row>
    <row r="3829" spans="1:10" hidden="1">
      <c r="A3829" t="s">
        <v>2925</v>
      </c>
      <c r="B3829" t="s">
        <v>7993</v>
      </c>
      <c r="C3829" t="s">
        <v>7994</v>
      </c>
      <c r="J3829">
        <f>LEN(Table13[[#This Row],[REFERENCE_DESCR1]])</f>
        <v>14</v>
      </c>
    </row>
    <row r="3830" spans="1:10" hidden="1">
      <c r="A3830" t="s">
        <v>2925</v>
      </c>
      <c r="B3830" t="s">
        <v>7995</v>
      </c>
      <c r="C3830" t="s">
        <v>7996</v>
      </c>
      <c r="J3830">
        <f>LEN(Table13[[#This Row],[REFERENCE_DESCR1]])</f>
        <v>9</v>
      </c>
    </row>
    <row r="3831" spans="1:10" hidden="1">
      <c r="A3831" t="s">
        <v>2925</v>
      </c>
      <c r="B3831" t="s">
        <v>7997</v>
      </c>
      <c r="C3831" t="s">
        <v>7998</v>
      </c>
      <c r="J3831">
        <f>LEN(Table13[[#This Row],[REFERENCE_DESCR1]])</f>
        <v>14</v>
      </c>
    </row>
    <row r="3832" spans="1:10" hidden="1">
      <c r="A3832" t="s">
        <v>2925</v>
      </c>
      <c r="B3832" t="s">
        <v>7999</v>
      </c>
      <c r="C3832" t="s">
        <v>8000</v>
      </c>
      <c r="J3832">
        <f>LEN(Table13[[#This Row],[REFERENCE_DESCR1]])</f>
        <v>7</v>
      </c>
    </row>
    <row r="3833" spans="1:10" hidden="1">
      <c r="A3833" t="s">
        <v>2925</v>
      </c>
      <c r="B3833" t="s">
        <v>8001</v>
      </c>
      <c r="C3833" t="s">
        <v>8002</v>
      </c>
      <c r="J3833">
        <f>LEN(Table13[[#This Row],[REFERENCE_DESCR1]])</f>
        <v>21</v>
      </c>
    </row>
    <row r="3834" spans="1:10" hidden="1">
      <c r="A3834" t="s">
        <v>2925</v>
      </c>
      <c r="B3834" t="s">
        <v>8003</v>
      </c>
      <c r="C3834" t="s">
        <v>8004</v>
      </c>
      <c r="J3834">
        <f>LEN(Table13[[#This Row],[REFERENCE_DESCR1]])</f>
        <v>7</v>
      </c>
    </row>
    <row r="3835" spans="1:10" hidden="1">
      <c r="A3835" t="s">
        <v>2925</v>
      </c>
      <c r="B3835" t="s">
        <v>8005</v>
      </c>
      <c r="C3835" t="s">
        <v>8006</v>
      </c>
      <c r="J3835">
        <f>LEN(Table13[[#This Row],[REFERENCE_DESCR1]])</f>
        <v>8</v>
      </c>
    </row>
    <row r="3836" spans="1:10" hidden="1">
      <c r="A3836" t="s">
        <v>2925</v>
      </c>
      <c r="B3836" t="s">
        <v>8007</v>
      </c>
      <c r="C3836" t="s">
        <v>8008</v>
      </c>
      <c r="J3836">
        <f>LEN(Table13[[#This Row],[REFERENCE_DESCR1]])</f>
        <v>16</v>
      </c>
    </row>
    <row r="3837" spans="1:10" hidden="1">
      <c r="A3837" t="s">
        <v>2925</v>
      </c>
      <c r="B3837" t="s">
        <v>8009</v>
      </c>
      <c r="C3837" t="s">
        <v>8010</v>
      </c>
      <c r="J3837">
        <f>LEN(Table13[[#This Row],[REFERENCE_DESCR1]])</f>
        <v>12</v>
      </c>
    </row>
    <row r="3838" spans="1:10" hidden="1">
      <c r="A3838" t="s">
        <v>2925</v>
      </c>
      <c r="B3838" t="s">
        <v>8011</v>
      </c>
      <c r="C3838" t="s">
        <v>8012</v>
      </c>
      <c r="J3838">
        <f>LEN(Table13[[#This Row],[REFERENCE_DESCR1]])</f>
        <v>22</v>
      </c>
    </row>
    <row r="3839" spans="1:10" hidden="1">
      <c r="A3839" t="s">
        <v>2925</v>
      </c>
      <c r="B3839" t="s">
        <v>8013</v>
      </c>
      <c r="C3839" t="s">
        <v>8014</v>
      </c>
      <c r="J3839">
        <f>LEN(Table13[[#This Row],[REFERENCE_DESCR1]])</f>
        <v>13</v>
      </c>
    </row>
    <row r="3840" spans="1:10" hidden="1">
      <c r="A3840" t="s">
        <v>2925</v>
      </c>
      <c r="B3840" t="s">
        <v>8015</v>
      </c>
      <c r="C3840" t="s">
        <v>8016</v>
      </c>
      <c r="J3840">
        <f>LEN(Table13[[#This Row],[REFERENCE_DESCR1]])</f>
        <v>8</v>
      </c>
    </row>
    <row r="3841" spans="1:10" hidden="1">
      <c r="A3841" t="s">
        <v>2925</v>
      </c>
      <c r="B3841" t="s">
        <v>8017</v>
      </c>
      <c r="C3841" t="s">
        <v>8018</v>
      </c>
      <c r="J3841">
        <f>LEN(Table13[[#This Row],[REFERENCE_DESCR1]])</f>
        <v>29</v>
      </c>
    </row>
    <row r="3842" spans="1:10" hidden="1">
      <c r="A3842" t="s">
        <v>2925</v>
      </c>
      <c r="B3842" t="s">
        <v>1704</v>
      </c>
      <c r="C3842" t="s">
        <v>8019</v>
      </c>
      <c r="J3842">
        <f>LEN(Table13[[#This Row],[REFERENCE_DESCR1]])</f>
        <v>16</v>
      </c>
    </row>
    <row r="3843" spans="1:10" hidden="1">
      <c r="A3843" t="s">
        <v>2925</v>
      </c>
      <c r="B3843" t="s">
        <v>8020</v>
      </c>
      <c r="C3843" t="s">
        <v>8021</v>
      </c>
      <c r="J3843">
        <f>LEN(Table13[[#This Row],[REFERENCE_DESCR1]])</f>
        <v>29</v>
      </c>
    </row>
    <row r="3844" spans="1:10" hidden="1">
      <c r="A3844" t="s">
        <v>2925</v>
      </c>
      <c r="B3844" t="s">
        <v>8022</v>
      </c>
      <c r="C3844" t="s">
        <v>8023</v>
      </c>
      <c r="J3844">
        <f>LEN(Table13[[#This Row],[REFERENCE_DESCR1]])</f>
        <v>29</v>
      </c>
    </row>
    <row r="3845" spans="1:10" hidden="1">
      <c r="A3845" t="s">
        <v>2925</v>
      </c>
      <c r="B3845" t="s">
        <v>8024</v>
      </c>
      <c r="C3845" t="s">
        <v>8025</v>
      </c>
      <c r="J3845">
        <f>LEN(Table13[[#This Row],[REFERENCE_DESCR1]])</f>
        <v>28</v>
      </c>
    </row>
    <row r="3846" spans="1:10" hidden="1">
      <c r="A3846" t="s">
        <v>2925</v>
      </c>
      <c r="B3846" t="s">
        <v>8026</v>
      </c>
      <c r="C3846" t="s">
        <v>8027</v>
      </c>
      <c r="J3846">
        <f>LEN(Table13[[#This Row],[REFERENCE_DESCR1]])</f>
        <v>28</v>
      </c>
    </row>
    <row r="3847" spans="1:10" hidden="1">
      <c r="A3847" t="s">
        <v>2925</v>
      </c>
      <c r="B3847" t="s">
        <v>8028</v>
      </c>
      <c r="C3847" t="s">
        <v>8029</v>
      </c>
      <c r="J3847">
        <f>LEN(Table13[[#This Row],[REFERENCE_DESCR1]])</f>
        <v>26</v>
      </c>
    </row>
    <row r="3848" spans="1:10" hidden="1">
      <c r="A3848" t="s">
        <v>2925</v>
      </c>
      <c r="B3848" t="s">
        <v>8030</v>
      </c>
      <c r="C3848" t="s">
        <v>8031</v>
      </c>
      <c r="J3848">
        <f>LEN(Table13[[#This Row],[REFERENCE_DESCR1]])</f>
        <v>27</v>
      </c>
    </row>
    <row r="3849" spans="1:10" hidden="1">
      <c r="A3849" t="s">
        <v>2925</v>
      </c>
      <c r="B3849" t="s">
        <v>8032</v>
      </c>
      <c r="C3849" t="s">
        <v>8033</v>
      </c>
      <c r="J3849">
        <f>LEN(Table13[[#This Row],[REFERENCE_DESCR1]])</f>
        <v>23</v>
      </c>
    </row>
    <row r="3850" spans="1:10" hidden="1">
      <c r="A3850" t="s">
        <v>2925</v>
      </c>
      <c r="B3850" t="s">
        <v>8034</v>
      </c>
      <c r="C3850" t="s">
        <v>8035</v>
      </c>
      <c r="J3850">
        <f>LEN(Table13[[#This Row],[REFERENCE_DESCR1]])</f>
        <v>28</v>
      </c>
    </row>
    <row r="3851" spans="1:10" hidden="1">
      <c r="A3851" t="s">
        <v>2925</v>
      </c>
      <c r="B3851" t="s">
        <v>8036</v>
      </c>
      <c r="C3851" t="s">
        <v>8037</v>
      </c>
      <c r="J3851">
        <f>LEN(Table13[[#This Row],[REFERENCE_DESCR1]])</f>
        <v>27</v>
      </c>
    </row>
    <row r="3852" spans="1:10" hidden="1">
      <c r="A3852" t="s">
        <v>2925</v>
      </c>
      <c r="B3852" t="s">
        <v>8038</v>
      </c>
      <c r="C3852" t="s">
        <v>8039</v>
      </c>
      <c r="J3852">
        <f>LEN(Table13[[#This Row],[REFERENCE_DESCR1]])</f>
        <v>16</v>
      </c>
    </row>
    <row r="3853" spans="1:10" hidden="1">
      <c r="A3853" t="s">
        <v>2925</v>
      </c>
      <c r="B3853" t="s">
        <v>8040</v>
      </c>
      <c r="C3853" t="s">
        <v>8041</v>
      </c>
      <c r="J3853">
        <f>LEN(Table13[[#This Row],[REFERENCE_DESCR1]])</f>
        <v>5</v>
      </c>
    </row>
    <row r="3854" spans="1:10" hidden="1">
      <c r="A3854" t="s">
        <v>2925</v>
      </c>
      <c r="B3854" t="s">
        <v>8042</v>
      </c>
      <c r="C3854" t="s">
        <v>8043</v>
      </c>
      <c r="J3854">
        <f>LEN(Table13[[#This Row],[REFERENCE_DESCR1]])</f>
        <v>21</v>
      </c>
    </row>
    <row r="3855" spans="1:10" hidden="1">
      <c r="A3855" t="s">
        <v>2925</v>
      </c>
      <c r="B3855" t="s">
        <v>8044</v>
      </c>
      <c r="C3855" t="s">
        <v>8045</v>
      </c>
      <c r="J3855">
        <f>LEN(Table13[[#This Row],[REFERENCE_DESCR1]])</f>
        <v>28</v>
      </c>
    </row>
    <row r="3856" spans="1:10" hidden="1">
      <c r="A3856" t="s">
        <v>2925</v>
      </c>
      <c r="B3856" t="s">
        <v>8046</v>
      </c>
      <c r="C3856" t="s">
        <v>8047</v>
      </c>
      <c r="J3856">
        <f>LEN(Table13[[#This Row],[REFERENCE_DESCR1]])</f>
        <v>28</v>
      </c>
    </row>
    <row r="3857" spans="1:10" hidden="1">
      <c r="A3857" t="s">
        <v>2925</v>
      </c>
      <c r="B3857" t="s">
        <v>8048</v>
      </c>
      <c r="C3857" t="s">
        <v>8049</v>
      </c>
      <c r="J3857">
        <f>LEN(Table13[[#This Row],[REFERENCE_DESCR1]])</f>
        <v>17</v>
      </c>
    </row>
    <row r="3858" spans="1:10" hidden="1">
      <c r="A3858" t="s">
        <v>2925</v>
      </c>
      <c r="B3858" t="s">
        <v>8050</v>
      </c>
      <c r="C3858" t="s">
        <v>8051</v>
      </c>
      <c r="J3858">
        <f>LEN(Table13[[#This Row],[REFERENCE_DESCR1]])</f>
        <v>18</v>
      </c>
    </row>
    <row r="3859" spans="1:10" hidden="1">
      <c r="A3859" t="s">
        <v>2925</v>
      </c>
      <c r="B3859" t="s">
        <v>8052</v>
      </c>
      <c r="C3859" t="s">
        <v>8053</v>
      </c>
      <c r="J3859">
        <f>LEN(Table13[[#This Row],[REFERENCE_DESCR1]])</f>
        <v>9</v>
      </c>
    </row>
    <row r="3860" spans="1:10" hidden="1">
      <c r="A3860" t="s">
        <v>2925</v>
      </c>
      <c r="B3860" t="s">
        <v>8054</v>
      </c>
      <c r="C3860" t="s">
        <v>1654</v>
      </c>
      <c r="J3860">
        <f>LEN(Table13[[#This Row],[REFERENCE_DESCR1]])</f>
        <v>9</v>
      </c>
    </row>
    <row r="3861" spans="1:10" hidden="1">
      <c r="A3861" t="s">
        <v>2925</v>
      </c>
      <c r="B3861" t="s">
        <v>8055</v>
      </c>
      <c r="C3861" t="s">
        <v>8056</v>
      </c>
      <c r="J3861">
        <f>LEN(Table13[[#This Row],[REFERENCE_DESCR1]])</f>
        <v>10</v>
      </c>
    </row>
    <row r="3862" spans="1:10" hidden="1">
      <c r="A3862" t="s">
        <v>2925</v>
      </c>
      <c r="B3862" t="s">
        <v>8057</v>
      </c>
      <c r="C3862" t="s">
        <v>8058</v>
      </c>
      <c r="J3862">
        <f>LEN(Table13[[#This Row],[REFERENCE_DESCR1]])</f>
        <v>16</v>
      </c>
    </row>
    <row r="3863" spans="1:10" hidden="1">
      <c r="A3863" t="s">
        <v>2925</v>
      </c>
      <c r="B3863" t="s">
        <v>8059</v>
      </c>
      <c r="C3863" t="s">
        <v>8060</v>
      </c>
      <c r="J3863">
        <f>LEN(Table13[[#This Row],[REFERENCE_DESCR1]])</f>
        <v>14</v>
      </c>
    </row>
    <row r="3864" spans="1:10" hidden="1">
      <c r="A3864" t="s">
        <v>2925</v>
      </c>
      <c r="B3864" t="s">
        <v>8061</v>
      </c>
      <c r="C3864" t="s">
        <v>8062</v>
      </c>
      <c r="J3864">
        <f>LEN(Table13[[#This Row],[REFERENCE_DESCR1]])</f>
        <v>10</v>
      </c>
    </row>
    <row r="3865" spans="1:10" hidden="1">
      <c r="A3865" t="s">
        <v>2925</v>
      </c>
      <c r="B3865" t="s">
        <v>8063</v>
      </c>
      <c r="C3865" t="s">
        <v>8064</v>
      </c>
      <c r="J3865">
        <f>LEN(Table13[[#This Row],[REFERENCE_DESCR1]])</f>
        <v>13</v>
      </c>
    </row>
    <row r="3866" spans="1:10" hidden="1">
      <c r="A3866" t="s">
        <v>2925</v>
      </c>
      <c r="B3866" t="s">
        <v>8065</v>
      </c>
      <c r="C3866" t="s">
        <v>8066</v>
      </c>
      <c r="J3866">
        <f>LEN(Table13[[#This Row],[REFERENCE_DESCR1]])</f>
        <v>11</v>
      </c>
    </row>
    <row r="3867" spans="1:10" hidden="1">
      <c r="A3867" t="s">
        <v>2925</v>
      </c>
      <c r="B3867" t="s">
        <v>8067</v>
      </c>
      <c r="C3867" t="s">
        <v>8068</v>
      </c>
      <c r="J3867">
        <f>LEN(Table13[[#This Row],[REFERENCE_DESCR1]])</f>
        <v>36</v>
      </c>
    </row>
    <row r="3868" spans="1:10" hidden="1">
      <c r="A3868" t="s">
        <v>2925</v>
      </c>
      <c r="B3868" t="s">
        <v>8069</v>
      </c>
      <c r="C3868" t="s">
        <v>8070</v>
      </c>
      <c r="J3868">
        <f>LEN(Table13[[#This Row],[REFERENCE_DESCR1]])</f>
        <v>35</v>
      </c>
    </row>
    <row r="3869" spans="1:10" hidden="1">
      <c r="A3869" t="s">
        <v>2925</v>
      </c>
      <c r="B3869" t="s">
        <v>8071</v>
      </c>
      <c r="C3869" t="s">
        <v>8072</v>
      </c>
      <c r="J3869">
        <f>LEN(Table13[[#This Row],[REFERENCE_DESCR1]])</f>
        <v>39</v>
      </c>
    </row>
    <row r="3870" spans="1:10" hidden="1">
      <c r="A3870" t="s">
        <v>2925</v>
      </c>
      <c r="B3870" t="s">
        <v>8073</v>
      </c>
      <c r="C3870" t="s">
        <v>8074</v>
      </c>
      <c r="J3870">
        <f>LEN(Table13[[#This Row],[REFERENCE_DESCR1]])</f>
        <v>29</v>
      </c>
    </row>
    <row r="3871" spans="1:10" hidden="1">
      <c r="A3871" t="s">
        <v>2925</v>
      </c>
      <c r="B3871" t="s">
        <v>8075</v>
      </c>
      <c r="C3871" t="s">
        <v>8076</v>
      </c>
      <c r="J3871">
        <f>LEN(Table13[[#This Row],[REFERENCE_DESCR1]])</f>
        <v>14</v>
      </c>
    </row>
    <row r="3872" spans="1:10" hidden="1">
      <c r="A3872" t="s">
        <v>2925</v>
      </c>
      <c r="B3872" t="s">
        <v>2223</v>
      </c>
      <c r="C3872" t="s">
        <v>8077</v>
      </c>
      <c r="J3872">
        <f>LEN(Table13[[#This Row],[REFERENCE_DESCR1]])</f>
        <v>11</v>
      </c>
    </row>
    <row r="3873" spans="1:10" hidden="1">
      <c r="A3873" t="s">
        <v>2925</v>
      </c>
      <c r="B3873" t="s">
        <v>2225</v>
      </c>
      <c r="C3873" t="s">
        <v>8078</v>
      </c>
      <c r="J3873">
        <f>LEN(Table13[[#This Row],[REFERENCE_DESCR1]])</f>
        <v>11</v>
      </c>
    </row>
    <row r="3874" spans="1:10" hidden="1">
      <c r="A3874" t="s">
        <v>2925</v>
      </c>
      <c r="B3874" t="s">
        <v>8079</v>
      </c>
      <c r="C3874" t="s">
        <v>8080</v>
      </c>
      <c r="J3874">
        <f>LEN(Table13[[#This Row],[REFERENCE_DESCR1]])</f>
        <v>11</v>
      </c>
    </row>
    <row r="3875" spans="1:10" hidden="1">
      <c r="A3875" t="s">
        <v>2925</v>
      </c>
      <c r="B3875" t="s">
        <v>8081</v>
      </c>
      <c r="C3875" t="s">
        <v>8082</v>
      </c>
      <c r="J3875">
        <f>LEN(Table13[[#This Row],[REFERENCE_DESCR1]])</f>
        <v>12</v>
      </c>
    </row>
    <row r="3876" spans="1:10" hidden="1">
      <c r="A3876" t="s">
        <v>2925</v>
      </c>
      <c r="B3876" t="s">
        <v>8083</v>
      </c>
      <c r="C3876" t="s">
        <v>8084</v>
      </c>
      <c r="J3876">
        <f>LEN(Table13[[#This Row],[REFERENCE_DESCR1]])</f>
        <v>8</v>
      </c>
    </row>
    <row r="3877" spans="1:10" hidden="1">
      <c r="A3877" t="s">
        <v>2925</v>
      </c>
      <c r="B3877" t="s">
        <v>8085</v>
      </c>
      <c r="C3877" t="s">
        <v>8086</v>
      </c>
      <c r="J3877">
        <f>LEN(Table13[[#This Row],[REFERENCE_DESCR1]])</f>
        <v>11</v>
      </c>
    </row>
    <row r="3878" spans="1:10" hidden="1">
      <c r="A3878" t="s">
        <v>2925</v>
      </c>
      <c r="B3878" t="s">
        <v>8087</v>
      </c>
      <c r="C3878" t="s">
        <v>8088</v>
      </c>
      <c r="J3878">
        <f>LEN(Table13[[#This Row],[REFERENCE_DESCR1]])</f>
        <v>10</v>
      </c>
    </row>
    <row r="3879" spans="1:10" hidden="1">
      <c r="A3879" t="s">
        <v>2925</v>
      </c>
      <c r="B3879" t="s">
        <v>8089</v>
      </c>
      <c r="C3879" t="s">
        <v>8090</v>
      </c>
      <c r="J3879">
        <f>LEN(Table13[[#This Row],[REFERENCE_DESCR1]])</f>
        <v>11</v>
      </c>
    </row>
    <row r="3880" spans="1:10" hidden="1">
      <c r="A3880" t="s">
        <v>2925</v>
      </c>
      <c r="B3880" t="s">
        <v>2233</v>
      </c>
      <c r="C3880" t="s">
        <v>8091</v>
      </c>
      <c r="J3880">
        <f>LEN(Table13[[#This Row],[REFERENCE_DESCR1]])</f>
        <v>17</v>
      </c>
    </row>
    <row r="3881" spans="1:10" hidden="1">
      <c r="A3881" t="s">
        <v>2925</v>
      </c>
      <c r="B3881" t="s">
        <v>8092</v>
      </c>
      <c r="C3881" t="s">
        <v>8093</v>
      </c>
      <c r="J3881">
        <f>LEN(Table13[[#This Row],[REFERENCE_DESCR1]])</f>
        <v>7</v>
      </c>
    </row>
    <row r="3882" spans="1:10" hidden="1">
      <c r="A3882" t="s">
        <v>2925</v>
      </c>
      <c r="B3882" t="s">
        <v>8094</v>
      </c>
      <c r="C3882" t="s">
        <v>8095</v>
      </c>
      <c r="J3882">
        <f>LEN(Table13[[#This Row],[REFERENCE_DESCR1]])</f>
        <v>8</v>
      </c>
    </row>
    <row r="3883" spans="1:10" hidden="1">
      <c r="A3883" t="s">
        <v>2925</v>
      </c>
      <c r="B3883" t="s">
        <v>8096</v>
      </c>
      <c r="C3883" t="s">
        <v>8097</v>
      </c>
      <c r="J3883">
        <f>LEN(Table13[[#This Row],[REFERENCE_DESCR1]])</f>
        <v>9</v>
      </c>
    </row>
    <row r="3884" spans="1:10" hidden="1">
      <c r="A3884" t="s">
        <v>2925</v>
      </c>
      <c r="B3884" t="s">
        <v>8098</v>
      </c>
      <c r="C3884" t="s">
        <v>8099</v>
      </c>
      <c r="J3884">
        <f>LEN(Table13[[#This Row],[REFERENCE_DESCR1]])</f>
        <v>13</v>
      </c>
    </row>
    <row r="3885" spans="1:10" hidden="1">
      <c r="A3885" t="s">
        <v>2925</v>
      </c>
      <c r="B3885" t="s">
        <v>8100</v>
      </c>
      <c r="C3885" t="s">
        <v>8101</v>
      </c>
      <c r="J3885">
        <f>LEN(Table13[[#This Row],[REFERENCE_DESCR1]])</f>
        <v>40</v>
      </c>
    </row>
    <row r="3886" spans="1:10" hidden="1">
      <c r="A3886" t="s">
        <v>2925</v>
      </c>
      <c r="B3886" t="s">
        <v>8102</v>
      </c>
      <c r="C3886" t="s">
        <v>8103</v>
      </c>
      <c r="J3886">
        <f>LEN(Table13[[#This Row],[REFERENCE_DESCR1]])</f>
        <v>12</v>
      </c>
    </row>
    <row r="3887" spans="1:10" hidden="1">
      <c r="A3887" t="s">
        <v>2925</v>
      </c>
      <c r="B3887" t="s">
        <v>8104</v>
      </c>
      <c r="C3887" t="s">
        <v>8105</v>
      </c>
      <c r="J3887">
        <f>LEN(Table13[[#This Row],[REFERENCE_DESCR1]])</f>
        <v>9</v>
      </c>
    </row>
    <row r="3888" spans="1:10" hidden="1">
      <c r="A3888" t="s">
        <v>2925</v>
      </c>
      <c r="B3888" t="s">
        <v>8106</v>
      </c>
      <c r="C3888" t="s">
        <v>8107</v>
      </c>
      <c r="J3888">
        <f>LEN(Table13[[#This Row],[REFERENCE_DESCR1]])</f>
        <v>15</v>
      </c>
    </row>
    <row r="3889" spans="1:10" hidden="1">
      <c r="A3889" t="s">
        <v>2925</v>
      </c>
      <c r="B3889" t="s">
        <v>8108</v>
      </c>
      <c r="C3889" t="s">
        <v>8109</v>
      </c>
      <c r="J3889">
        <f>LEN(Table13[[#This Row],[REFERENCE_DESCR1]])</f>
        <v>11</v>
      </c>
    </row>
    <row r="3890" spans="1:10" hidden="1">
      <c r="A3890" t="s">
        <v>2925</v>
      </c>
      <c r="B3890" t="s">
        <v>8110</v>
      </c>
      <c r="C3890" t="s">
        <v>8111</v>
      </c>
      <c r="J3890">
        <f>LEN(Table13[[#This Row],[REFERENCE_DESCR1]])</f>
        <v>12</v>
      </c>
    </row>
    <row r="3891" spans="1:10" hidden="1">
      <c r="A3891" t="s">
        <v>2925</v>
      </c>
      <c r="B3891" t="s">
        <v>8112</v>
      </c>
      <c r="C3891" t="s">
        <v>8113</v>
      </c>
      <c r="J3891">
        <f>LEN(Table13[[#This Row],[REFERENCE_DESCR1]])</f>
        <v>14</v>
      </c>
    </row>
    <row r="3892" spans="1:10" hidden="1">
      <c r="A3892" t="s">
        <v>2925</v>
      </c>
      <c r="B3892" t="s">
        <v>8114</v>
      </c>
      <c r="C3892" t="s">
        <v>8115</v>
      </c>
      <c r="J3892">
        <f>LEN(Table13[[#This Row],[REFERENCE_DESCR1]])</f>
        <v>11</v>
      </c>
    </row>
    <row r="3893" spans="1:10" hidden="1">
      <c r="A3893" t="s">
        <v>2925</v>
      </c>
      <c r="B3893" t="s">
        <v>8116</v>
      </c>
      <c r="C3893" t="s">
        <v>8117</v>
      </c>
      <c r="J3893">
        <f>LEN(Table13[[#This Row],[REFERENCE_DESCR1]])</f>
        <v>11</v>
      </c>
    </row>
    <row r="3894" spans="1:10" hidden="1">
      <c r="A3894" t="s">
        <v>2925</v>
      </c>
      <c r="B3894" t="s">
        <v>8118</v>
      </c>
      <c r="C3894" t="s">
        <v>8119</v>
      </c>
      <c r="J3894">
        <f>LEN(Table13[[#This Row],[REFERENCE_DESCR1]])</f>
        <v>13</v>
      </c>
    </row>
    <row r="3895" spans="1:10" hidden="1">
      <c r="A3895" t="s">
        <v>2925</v>
      </c>
      <c r="B3895" t="s">
        <v>8120</v>
      </c>
      <c r="C3895" t="s">
        <v>8121</v>
      </c>
      <c r="J3895">
        <f>LEN(Table13[[#This Row],[REFERENCE_DESCR1]])</f>
        <v>15</v>
      </c>
    </row>
    <row r="3896" spans="1:10" hidden="1">
      <c r="A3896" t="s">
        <v>2925</v>
      </c>
      <c r="B3896" t="s">
        <v>2240</v>
      </c>
      <c r="C3896" t="s">
        <v>8122</v>
      </c>
      <c r="J3896">
        <f>LEN(Table13[[#This Row],[REFERENCE_DESCR1]])</f>
        <v>11</v>
      </c>
    </row>
    <row r="3897" spans="1:10" hidden="1">
      <c r="A3897" t="s">
        <v>2925</v>
      </c>
      <c r="B3897" t="s">
        <v>8123</v>
      </c>
      <c r="C3897" t="s">
        <v>8124</v>
      </c>
      <c r="J3897">
        <f>LEN(Table13[[#This Row],[REFERENCE_DESCR1]])</f>
        <v>10</v>
      </c>
    </row>
    <row r="3898" spans="1:10" hidden="1">
      <c r="A3898" t="s">
        <v>2925</v>
      </c>
      <c r="B3898" t="s">
        <v>8125</v>
      </c>
      <c r="C3898" t="s">
        <v>8126</v>
      </c>
      <c r="J3898">
        <f>LEN(Table13[[#This Row],[REFERENCE_DESCR1]])</f>
        <v>12</v>
      </c>
    </row>
    <row r="3899" spans="1:10" hidden="1">
      <c r="A3899" t="s">
        <v>2925</v>
      </c>
      <c r="B3899" t="s">
        <v>8127</v>
      </c>
      <c r="C3899" t="s">
        <v>8128</v>
      </c>
      <c r="J3899">
        <f>LEN(Table13[[#This Row],[REFERENCE_DESCR1]])</f>
        <v>10</v>
      </c>
    </row>
    <row r="3900" spans="1:10" hidden="1">
      <c r="A3900" t="s">
        <v>2925</v>
      </c>
      <c r="B3900" t="s">
        <v>8129</v>
      </c>
      <c r="C3900" t="s">
        <v>8130</v>
      </c>
      <c r="J3900">
        <f>LEN(Table13[[#This Row],[REFERENCE_DESCR1]])</f>
        <v>22</v>
      </c>
    </row>
    <row r="3901" spans="1:10" hidden="1">
      <c r="A3901" t="s">
        <v>2925</v>
      </c>
      <c r="B3901" t="s">
        <v>8131</v>
      </c>
      <c r="C3901" t="s">
        <v>8132</v>
      </c>
      <c r="J3901">
        <f>LEN(Table13[[#This Row],[REFERENCE_DESCR1]])</f>
        <v>11</v>
      </c>
    </row>
    <row r="3902" spans="1:10" hidden="1">
      <c r="A3902" t="s">
        <v>2925</v>
      </c>
      <c r="B3902" t="s">
        <v>8133</v>
      </c>
      <c r="C3902" t="s">
        <v>8134</v>
      </c>
      <c r="J3902">
        <f>LEN(Table13[[#This Row],[REFERENCE_DESCR1]])</f>
        <v>12</v>
      </c>
    </row>
    <row r="3903" spans="1:10" hidden="1">
      <c r="A3903" t="s">
        <v>2925</v>
      </c>
      <c r="B3903" t="s">
        <v>8135</v>
      </c>
      <c r="C3903" t="s">
        <v>8136</v>
      </c>
      <c r="J3903">
        <f>LEN(Table13[[#This Row],[REFERENCE_DESCR1]])</f>
        <v>10</v>
      </c>
    </row>
    <row r="3904" spans="1:10" hidden="1">
      <c r="A3904" t="s">
        <v>2925</v>
      </c>
      <c r="B3904" t="s">
        <v>8137</v>
      </c>
      <c r="C3904" t="s">
        <v>8138</v>
      </c>
      <c r="J3904">
        <f>LEN(Table13[[#This Row],[REFERENCE_DESCR1]])</f>
        <v>10</v>
      </c>
    </row>
    <row r="3905" spans="1:10" hidden="1">
      <c r="A3905" t="s">
        <v>2925</v>
      </c>
      <c r="B3905" t="s">
        <v>8139</v>
      </c>
      <c r="C3905" t="s">
        <v>8140</v>
      </c>
      <c r="J3905">
        <f>LEN(Table13[[#This Row],[REFERENCE_DESCR1]])</f>
        <v>21</v>
      </c>
    </row>
    <row r="3906" spans="1:10" hidden="1">
      <c r="A3906" t="s">
        <v>2925</v>
      </c>
      <c r="B3906" t="s">
        <v>8141</v>
      </c>
      <c r="C3906" t="s">
        <v>8142</v>
      </c>
      <c r="J3906">
        <f>LEN(Table13[[#This Row],[REFERENCE_DESCR1]])</f>
        <v>17</v>
      </c>
    </row>
    <row r="3907" spans="1:10" hidden="1">
      <c r="A3907" t="s">
        <v>2925</v>
      </c>
      <c r="B3907" t="s">
        <v>2601</v>
      </c>
      <c r="C3907" t="s">
        <v>8143</v>
      </c>
      <c r="J3907">
        <f>LEN(Table13[[#This Row],[REFERENCE_DESCR1]])</f>
        <v>8</v>
      </c>
    </row>
    <row r="3908" spans="1:10" hidden="1">
      <c r="A3908" t="s">
        <v>2925</v>
      </c>
      <c r="B3908" t="s">
        <v>8144</v>
      </c>
      <c r="C3908" t="s">
        <v>8145</v>
      </c>
      <c r="J3908">
        <f>LEN(Table13[[#This Row],[REFERENCE_DESCR1]])</f>
        <v>18</v>
      </c>
    </row>
    <row r="3909" spans="1:10" hidden="1">
      <c r="A3909" t="s">
        <v>2925</v>
      </c>
      <c r="B3909" t="s">
        <v>8146</v>
      </c>
      <c r="C3909" t="s">
        <v>8147</v>
      </c>
      <c r="J3909">
        <f>LEN(Table13[[#This Row],[REFERENCE_DESCR1]])</f>
        <v>9</v>
      </c>
    </row>
    <row r="3910" spans="1:10" hidden="1">
      <c r="A3910" t="s">
        <v>2925</v>
      </c>
      <c r="B3910" t="s">
        <v>8148</v>
      </c>
      <c r="C3910" t="s">
        <v>8149</v>
      </c>
      <c r="J3910">
        <f>LEN(Table13[[#This Row],[REFERENCE_DESCR1]])</f>
        <v>13</v>
      </c>
    </row>
    <row r="3911" spans="1:10" hidden="1">
      <c r="A3911" t="s">
        <v>2925</v>
      </c>
      <c r="B3911" t="s">
        <v>8150</v>
      </c>
      <c r="C3911" t="s">
        <v>8151</v>
      </c>
      <c r="J3911">
        <f>LEN(Table13[[#This Row],[REFERENCE_DESCR1]])</f>
        <v>10</v>
      </c>
    </row>
    <row r="3912" spans="1:10" hidden="1">
      <c r="A3912" t="s">
        <v>2925</v>
      </c>
      <c r="B3912" t="s">
        <v>8152</v>
      </c>
      <c r="C3912" t="s">
        <v>8153</v>
      </c>
      <c r="J3912">
        <f>LEN(Table13[[#This Row],[REFERENCE_DESCR1]])</f>
        <v>22</v>
      </c>
    </row>
    <row r="3913" spans="1:10" hidden="1">
      <c r="A3913" t="s">
        <v>2925</v>
      </c>
      <c r="B3913" t="s">
        <v>8154</v>
      </c>
      <c r="C3913" t="s">
        <v>8155</v>
      </c>
      <c r="J3913">
        <f>LEN(Table13[[#This Row],[REFERENCE_DESCR1]])</f>
        <v>28</v>
      </c>
    </row>
    <row r="3914" spans="1:10" hidden="1">
      <c r="A3914" t="s">
        <v>2925</v>
      </c>
      <c r="B3914" t="s">
        <v>8156</v>
      </c>
      <c r="C3914" t="s">
        <v>8157</v>
      </c>
      <c r="J3914">
        <f>LEN(Table13[[#This Row],[REFERENCE_DESCR1]])</f>
        <v>8</v>
      </c>
    </row>
    <row r="3915" spans="1:10" hidden="1">
      <c r="A3915" t="s">
        <v>2925</v>
      </c>
      <c r="B3915" t="s">
        <v>8158</v>
      </c>
      <c r="C3915" t="s">
        <v>8159</v>
      </c>
      <c r="J3915">
        <f>LEN(Table13[[#This Row],[REFERENCE_DESCR1]])</f>
        <v>20</v>
      </c>
    </row>
    <row r="3916" spans="1:10" hidden="1">
      <c r="A3916" t="s">
        <v>2925</v>
      </c>
      <c r="B3916" t="s">
        <v>8160</v>
      </c>
      <c r="C3916" t="s">
        <v>8161</v>
      </c>
      <c r="J3916">
        <f>LEN(Table13[[#This Row],[REFERENCE_DESCR1]])</f>
        <v>13</v>
      </c>
    </row>
    <row r="3917" spans="1:10" hidden="1">
      <c r="A3917" t="s">
        <v>2925</v>
      </c>
      <c r="B3917" t="s">
        <v>8162</v>
      </c>
      <c r="C3917" t="s">
        <v>8163</v>
      </c>
      <c r="J3917">
        <f>LEN(Table13[[#This Row],[REFERENCE_DESCR1]])</f>
        <v>11</v>
      </c>
    </row>
    <row r="3918" spans="1:10" hidden="1">
      <c r="A3918" t="s">
        <v>2925</v>
      </c>
      <c r="B3918" t="s">
        <v>8164</v>
      </c>
      <c r="C3918" t="s">
        <v>8165</v>
      </c>
      <c r="J3918">
        <f>LEN(Table13[[#This Row],[REFERENCE_DESCR1]])</f>
        <v>23</v>
      </c>
    </row>
    <row r="3919" spans="1:10" hidden="1">
      <c r="A3919" t="s">
        <v>2925</v>
      </c>
      <c r="B3919" t="s">
        <v>8166</v>
      </c>
      <c r="C3919" t="s">
        <v>8167</v>
      </c>
      <c r="J3919">
        <f>LEN(Table13[[#This Row],[REFERENCE_DESCR1]])</f>
        <v>8</v>
      </c>
    </row>
    <row r="3920" spans="1:10" hidden="1">
      <c r="A3920" t="s">
        <v>2925</v>
      </c>
      <c r="B3920" t="s">
        <v>8168</v>
      </c>
      <c r="C3920" t="s">
        <v>8169</v>
      </c>
      <c r="J3920">
        <f>LEN(Table13[[#This Row],[REFERENCE_DESCR1]])</f>
        <v>20</v>
      </c>
    </row>
    <row r="3921" spans="1:10" hidden="1">
      <c r="A3921" t="s">
        <v>2925</v>
      </c>
      <c r="B3921" t="s">
        <v>8170</v>
      </c>
      <c r="C3921" t="s">
        <v>8171</v>
      </c>
      <c r="J3921">
        <f>LEN(Table13[[#This Row],[REFERENCE_DESCR1]])</f>
        <v>10</v>
      </c>
    </row>
    <row r="3922" spans="1:10" hidden="1">
      <c r="A3922" t="s">
        <v>2925</v>
      </c>
      <c r="B3922" t="s">
        <v>8172</v>
      </c>
      <c r="C3922" t="s">
        <v>8173</v>
      </c>
      <c r="J3922">
        <f>LEN(Table13[[#This Row],[REFERENCE_DESCR1]])</f>
        <v>9</v>
      </c>
    </row>
    <row r="3923" spans="1:10" hidden="1">
      <c r="A3923" t="s">
        <v>2925</v>
      </c>
      <c r="B3923" t="s">
        <v>8174</v>
      </c>
      <c r="C3923" t="s">
        <v>8175</v>
      </c>
      <c r="J3923">
        <f>LEN(Table13[[#This Row],[REFERENCE_DESCR1]])</f>
        <v>21</v>
      </c>
    </row>
    <row r="3924" spans="1:10" hidden="1">
      <c r="A3924" t="s">
        <v>2925</v>
      </c>
      <c r="B3924" t="s">
        <v>8176</v>
      </c>
      <c r="C3924" t="s">
        <v>8177</v>
      </c>
      <c r="J3924">
        <f>LEN(Table13[[#This Row],[REFERENCE_DESCR1]])</f>
        <v>11</v>
      </c>
    </row>
    <row r="3925" spans="1:10" hidden="1">
      <c r="A3925" t="s">
        <v>2925</v>
      </c>
      <c r="B3925" t="s">
        <v>8178</v>
      </c>
      <c r="C3925" t="s">
        <v>8179</v>
      </c>
      <c r="J3925">
        <f>LEN(Table13[[#This Row],[REFERENCE_DESCR1]])</f>
        <v>23</v>
      </c>
    </row>
    <row r="3926" spans="1:10" hidden="1">
      <c r="A3926" t="s">
        <v>2925</v>
      </c>
      <c r="B3926" t="s">
        <v>8180</v>
      </c>
      <c r="C3926" t="s">
        <v>8181</v>
      </c>
      <c r="J3926">
        <f>LEN(Table13[[#This Row],[REFERENCE_DESCR1]])</f>
        <v>28</v>
      </c>
    </row>
    <row r="3927" spans="1:10" hidden="1">
      <c r="A3927" t="s">
        <v>2925</v>
      </c>
      <c r="B3927" t="s">
        <v>8182</v>
      </c>
      <c r="C3927" t="s">
        <v>8183</v>
      </c>
      <c r="J3927">
        <f>LEN(Table13[[#This Row],[REFERENCE_DESCR1]])</f>
        <v>28</v>
      </c>
    </row>
    <row r="3928" spans="1:10" hidden="1">
      <c r="A3928" t="s">
        <v>2925</v>
      </c>
      <c r="B3928" t="s">
        <v>8184</v>
      </c>
      <c r="C3928" t="s">
        <v>8185</v>
      </c>
      <c r="J3928">
        <f>LEN(Table13[[#This Row],[REFERENCE_DESCR1]])</f>
        <v>11</v>
      </c>
    </row>
    <row r="3929" spans="1:10" hidden="1">
      <c r="A3929" t="s">
        <v>2925</v>
      </c>
      <c r="B3929" t="s">
        <v>8186</v>
      </c>
      <c r="C3929" t="s">
        <v>8187</v>
      </c>
      <c r="J3929">
        <f>LEN(Table13[[#This Row],[REFERENCE_DESCR1]])</f>
        <v>7</v>
      </c>
    </row>
    <row r="3930" spans="1:10" hidden="1">
      <c r="A3930" t="s">
        <v>2925</v>
      </c>
      <c r="B3930" t="s">
        <v>8188</v>
      </c>
      <c r="C3930" t="s">
        <v>8189</v>
      </c>
      <c r="J3930">
        <f>LEN(Table13[[#This Row],[REFERENCE_DESCR1]])</f>
        <v>15</v>
      </c>
    </row>
    <row r="3931" spans="1:10" hidden="1">
      <c r="A3931" t="s">
        <v>2925</v>
      </c>
      <c r="B3931" t="s">
        <v>8190</v>
      </c>
      <c r="C3931" t="s">
        <v>8191</v>
      </c>
      <c r="J3931">
        <f>LEN(Table13[[#This Row],[REFERENCE_DESCR1]])</f>
        <v>16</v>
      </c>
    </row>
    <row r="3932" spans="1:10" hidden="1">
      <c r="A3932" t="s">
        <v>2925</v>
      </c>
      <c r="B3932" t="s">
        <v>8192</v>
      </c>
      <c r="C3932" t="s">
        <v>8193</v>
      </c>
      <c r="J3932">
        <f>LEN(Table13[[#This Row],[REFERENCE_DESCR1]])</f>
        <v>6</v>
      </c>
    </row>
    <row r="3933" spans="1:10" hidden="1">
      <c r="A3933" t="s">
        <v>2925</v>
      </c>
      <c r="B3933" t="s">
        <v>8194</v>
      </c>
      <c r="C3933" t="s">
        <v>8195</v>
      </c>
      <c r="J3933">
        <f>LEN(Table13[[#This Row],[REFERENCE_DESCR1]])</f>
        <v>12</v>
      </c>
    </row>
    <row r="3934" spans="1:10" hidden="1">
      <c r="A3934" t="s">
        <v>2925</v>
      </c>
      <c r="B3934" t="s">
        <v>8196</v>
      </c>
      <c r="C3934" t="s">
        <v>8197</v>
      </c>
      <c r="J3934">
        <f>LEN(Table13[[#This Row],[REFERENCE_DESCR1]])</f>
        <v>15</v>
      </c>
    </row>
    <row r="3935" spans="1:10" hidden="1">
      <c r="A3935" t="s">
        <v>2925</v>
      </c>
      <c r="B3935" t="s">
        <v>8198</v>
      </c>
      <c r="C3935" t="s">
        <v>8199</v>
      </c>
      <c r="J3935">
        <f>LEN(Table13[[#This Row],[REFERENCE_DESCR1]])</f>
        <v>12</v>
      </c>
    </row>
    <row r="3936" spans="1:10" hidden="1">
      <c r="A3936" t="s">
        <v>2925</v>
      </c>
      <c r="B3936" t="s">
        <v>8200</v>
      </c>
      <c r="C3936" t="s">
        <v>8201</v>
      </c>
      <c r="J3936">
        <f>LEN(Table13[[#This Row],[REFERENCE_DESCR1]])</f>
        <v>24</v>
      </c>
    </row>
    <row r="3937" spans="1:10" hidden="1">
      <c r="A3937" t="s">
        <v>2925</v>
      </c>
      <c r="B3937" t="s">
        <v>8202</v>
      </c>
      <c r="C3937" t="s">
        <v>8203</v>
      </c>
      <c r="J3937">
        <f>LEN(Table13[[#This Row],[REFERENCE_DESCR1]])</f>
        <v>29</v>
      </c>
    </row>
    <row r="3938" spans="1:10" hidden="1">
      <c r="A3938" t="s">
        <v>2925</v>
      </c>
      <c r="B3938" t="s">
        <v>8204</v>
      </c>
      <c r="C3938" t="s">
        <v>8205</v>
      </c>
      <c r="J3938">
        <f>LEN(Table13[[#This Row],[REFERENCE_DESCR1]])</f>
        <v>26</v>
      </c>
    </row>
    <row r="3939" spans="1:10" hidden="1">
      <c r="A3939" t="s">
        <v>2925</v>
      </c>
      <c r="B3939" t="s">
        <v>8206</v>
      </c>
      <c r="C3939" t="s">
        <v>8207</v>
      </c>
      <c r="J3939">
        <f>LEN(Table13[[#This Row],[REFERENCE_DESCR1]])</f>
        <v>24</v>
      </c>
    </row>
    <row r="3940" spans="1:10" hidden="1">
      <c r="A3940" t="s">
        <v>2925</v>
      </c>
      <c r="B3940" t="s">
        <v>8208</v>
      </c>
      <c r="C3940" t="s">
        <v>8209</v>
      </c>
      <c r="J3940">
        <f>LEN(Table13[[#This Row],[REFERENCE_DESCR1]])</f>
        <v>25</v>
      </c>
    </row>
    <row r="3941" spans="1:10" hidden="1">
      <c r="A3941" t="s">
        <v>2925</v>
      </c>
      <c r="B3941" t="s">
        <v>8210</v>
      </c>
      <c r="C3941" t="s">
        <v>8211</v>
      </c>
      <c r="J3941">
        <f>LEN(Table13[[#This Row],[REFERENCE_DESCR1]])</f>
        <v>24</v>
      </c>
    </row>
    <row r="3942" spans="1:10" hidden="1">
      <c r="A3942" t="s">
        <v>2925</v>
      </c>
      <c r="B3942" t="s">
        <v>8212</v>
      </c>
      <c r="C3942" t="s">
        <v>8213</v>
      </c>
      <c r="J3942">
        <f>LEN(Table13[[#This Row],[REFERENCE_DESCR1]])</f>
        <v>25</v>
      </c>
    </row>
    <row r="3943" spans="1:10" hidden="1">
      <c r="A3943" t="s">
        <v>2925</v>
      </c>
      <c r="B3943" t="s">
        <v>8214</v>
      </c>
      <c r="C3943" t="s">
        <v>8215</v>
      </c>
      <c r="J3943">
        <f>LEN(Table13[[#This Row],[REFERENCE_DESCR1]])</f>
        <v>15</v>
      </c>
    </row>
    <row r="3944" spans="1:10" hidden="1">
      <c r="A3944" t="s">
        <v>2925</v>
      </c>
      <c r="B3944" t="s">
        <v>8216</v>
      </c>
      <c r="C3944" t="s">
        <v>8217</v>
      </c>
      <c r="J3944">
        <f>LEN(Table13[[#This Row],[REFERENCE_DESCR1]])</f>
        <v>11</v>
      </c>
    </row>
    <row r="3945" spans="1:10" hidden="1">
      <c r="A3945" t="s">
        <v>2925</v>
      </c>
      <c r="B3945" t="s">
        <v>8218</v>
      </c>
      <c r="C3945" t="s">
        <v>8219</v>
      </c>
      <c r="J3945">
        <f>LEN(Table13[[#This Row],[REFERENCE_DESCR1]])</f>
        <v>23</v>
      </c>
    </row>
    <row r="3946" spans="1:10" hidden="1">
      <c r="A3946" t="s">
        <v>2925</v>
      </c>
      <c r="B3946" t="s">
        <v>8220</v>
      </c>
      <c r="C3946" t="s">
        <v>8221</v>
      </c>
      <c r="J3946">
        <f>LEN(Table13[[#This Row],[REFERENCE_DESCR1]])</f>
        <v>13</v>
      </c>
    </row>
    <row r="3947" spans="1:10" hidden="1">
      <c r="A3947" t="s">
        <v>2925</v>
      </c>
      <c r="B3947" t="s">
        <v>8222</v>
      </c>
      <c r="C3947" t="s">
        <v>8223</v>
      </c>
      <c r="J3947">
        <f>LEN(Table13[[#This Row],[REFERENCE_DESCR1]])</f>
        <v>13</v>
      </c>
    </row>
    <row r="3948" spans="1:10" hidden="1">
      <c r="A3948" t="s">
        <v>2925</v>
      </c>
      <c r="B3948" t="s">
        <v>8224</v>
      </c>
      <c r="C3948" t="s">
        <v>8225</v>
      </c>
      <c r="J3948">
        <f>LEN(Table13[[#This Row],[REFERENCE_DESCR1]])</f>
        <v>17</v>
      </c>
    </row>
    <row r="3949" spans="1:10" hidden="1">
      <c r="A3949" t="s">
        <v>2925</v>
      </c>
      <c r="B3949" t="s">
        <v>8226</v>
      </c>
      <c r="C3949" t="s">
        <v>8227</v>
      </c>
      <c r="J3949">
        <f>LEN(Table13[[#This Row],[REFERENCE_DESCR1]])</f>
        <v>22</v>
      </c>
    </row>
    <row r="3950" spans="1:10" hidden="1">
      <c r="A3950" t="s">
        <v>2925</v>
      </c>
      <c r="B3950" t="s">
        <v>8228</v>
      </c>
      <c r="C3950" t="s">
        <v>8229</v>
      </c>
      <c r="J3950">
        <f>LEN(Table13[[#This Row],[REFERENCE_DESCR1]])</f>
        <v>8</v>
      </c>
    </row>
    <row r="3951" spans="1:10" hidden="1">
      <c r="A3951" t="s">
        <v>2925</v>
      </c>
      <c r="B3951" t="s">
        <v>8230</v>
      </c>
      <c r="C3951" t="s">
        <v>8231</v>
      </c>
      <c r="J3951">
        <f>LEN(Table13[[#This Row],[REFERENCE_DESCR1]])</f>
        <v>15</v>
      </c>
    </row>
    <row r="3952" spans="1:10" hidden="1">
      <c r="A3952" t="s">
        <v>2925</v>
      </c>
      <c r="B3952" t="s">
        <v>8232</v>
      </c>
      <c r="C3952" t="s">
        <v>8233</v>
      </c>
      <c r="J3952">
        <f>LEN(Table13[[#This Row],[REFERENCE_DESCR1]])</f>
        <v>26</v>
      </c>
    </row>
    <row r="3953" spans="1:10" hidden="1">
      <c r="A3953" t="s">
        <v>2925</v>
      </c>
      <c r="B3953" t="s">
        <v>8234</v>
      </c>
      <c r="C3953" t="s">
        <v>8235</v>
      </c>
      <c r="J3953">
        <f>LEN(Table13[[#This Row],[REFERENCE_DESCR1]])</f>
        <v>28</v>
      </c>
    </row>
    <row r="3954" spans="1:10" hidden="1">
      <c r="A3954" t="s">
        <v>2925</v>
      </c>
      <c r="B3954" t="s">
        <v>8236</v>
      </c>
      <c r="C3954" t="s">
        <v>8237</v>
      </c>
      <c r="J3954">
        <f>LEN(Table13[[#This Row],[REFERENCE_DESCR1]])</f>
        <v>24</v>
      </c>
    </row>
    <row r="3955" spans="1:10" hidden="1">
      <c r="A3955" t="s">
        <v>2925</v>
      </c>
      <c r="B3955" t="s">
        <v>8238</v>
      </c>
      <c r="C3955" t="s">
        <v>8239</v>
      </c>
      <c r="J3955">
        <f>LEN(Table13[[#This Row],[REFERENCE_DESCR1]])</f>
        <v>27</v>
      </c>
    </row>
    <row r="3956" spans="1:10" hidden="1">
      <c r="A3956" t="s">
        <v>2925</v>
      </c>
      <c r="B3956" t="s">
        <v>8240</v>
      </c>
      <c r="C3956" t="s">
        <v>8241</v>
      </c>
      <c r="J3956">
        <f>LEN(Table13[[#This Row],[REFERENCE_DESCR1]])</f>
        <v>24</v>
      </c>
    </row>
    <row r="3957" spans="1:10" hidden="1">
      <c r="A3957" t="s">
        <v>2925</v>
      </c>
      <c r="B3957" t="s">
        <v>8242</v>
      </c>
      <c r="C3957" t="s">
        <v>8243</v>
      </c>
      <c r="J3957">
        <f>LEN(Table13[[#This Row],[REFERENCE_DESCR1]])</f>
        <v>16</v>
      </c>
    </row>
    <row r="3958" spans="1:10" hidden="1">
      <c r="A3958" t="s">
        <v>2925</v>
      </c>
      <c r="B3958" t="s">
        <v>8244</v>
      </c>
      <c r="C3958" t="s">
        <v>8245</v>
      </c>
      <c r="J3958">
        <f>LEN(Table13[[#This Row],[REFERENCE_DESCR1]])</f>
        <v>13</v>
      </c>
    </row>
    <row r="3959" spans="1:10" hidden="1">
      <c r="A3959" t="s">
        <v>2925</v>
      </c>
      <c r="B3959" t="s">
        <v>8246</v>
      </c>
      <c r="C3959" t="s">
        <v>8247</v>
      </c>
      <c r="J3959">
        <f>LEN(Table13[[#This Row],[REFERENCE_DESCR1]])</f>
        <v>25</v>
      </c>
    </row>
    <row r="3960" spans="1:10" hidden="1">
      <c r="A3960" t="s">
        <v>2925</v>
      </c>
      <c r="B3960" t="s">
        <v>8248</v>
      </c>
      <c r="C3960" t="s">
        <v>8249</v>
      </c>
      <c r="J3960">
        <f>LEN(Table13[[#This Row],[REFERENCE_DESCR1]])</f>
        <v>8</v>
      </c>
    </row>
    <row r="3961" spans="1:10" hidden="1">
      <c r="A3961" t="s">
        <v>2925</v>
      </c>
      <c r="B3961" t="s">
        <v>2251</v>
      </c>
      <c r="C3961" t="s">
        <v>8250</v>
      </c>
      <c r="J3961">
        <f>LEN(Table13[[#This Row],[REFERENCE_DESCR1]])</f>
        <v>16</v>
      </c>
    </row>
    <row r="3962" spans="1:10" hidden="1">
      <c r="A3962" t="s">
        <v>2925</v>
      </c>
      <c r="B3962" t="s">
        <v>8251</v>
      </c>
      <c r="C3962" t="s">
        <v>8252</v>
      </c>
      <c r="J3962">
        <f>LEN(Table13[[#This Row],[REFERENCE_DESCR1]])</f>
        <v>7</v>
      </c>
    </row>
    <row r="3963" spans="1:10" hidden="1">
      <c r="A3963" t="s">
        <v>2925</v>
      </c>
      <c r="B3963" t="s">
        <v>8253</v>
      </c>
      <c r="C3963" t="s">
        <v>8254</v>
      </c>
      <c r="J3963">
        <f>LEN(Table13[[#This Row],[REFERENCE_DESCR1]])</f>
        <v>9</v>
      </c>
    </row>
    <row r="3964" spans="1:10" hidden="1">
      <c r="A3964" t="s">
        <v>2925</v>
      </c>
      <c r="B3964" t="s">
        <v>8255</v>
      </c>
      <c r="C3964" t="s">
        <v>8256</v>
      </c>
      <c r="J3964">
        <f>LEN(Table13[[#This Row],[REFERENCE_DESCR1]])</f>
        <v>12</v>
      </c>
    </row>
    <row r="3965" spans="1:10" hidden="1">
      <c r="A3965" t="s">
        <v>2925</v>
      </c>
      <c r="B3965" t="s">
        <v>8257</v>
      </c>
      <c r="C3965" t="s">
        <v>8258</v>
      </c>
      <c r="J3965">
        <f>LEN(Table13[[#This Row],[REFERENCE_DESCR1]])</f>
        <v>13</v>
      </c>
    </row>
    <row r="3966" spans="1:10" hidden="1">
      <c r="A3966" t="s">
        <v>2925</v>
      </c>
      <c r="B3966" t="s">
        <v>8259</v>
      </c>
      <c r="C3966" t="s">
        <v>8260</v>
      </c>
      <c r="J3966">
        <f>LEN(Table13[[#This Row],[REFERENCE_DESCR1]])</f>
        <v>8</v>
      </c>
    </row>
    <row r="3967" spans="1:10" hidden="1">
      <c r="A3967" t="s">
        <v>2925</v>
      </c>
      <c r="B3967" t="s">
        <v>8261</v>
      </c>
      <c r="C3967" t="s">
        <v>8262</v>
      </c>
      <c r="J3967">
        <f>LEN(Table13[[#This Row],[REFERENCE_DESCR1]])</f>
        <v>22</v>
      </c>
    </row>
    <row r="3968" spans="1:10" hidden="1">
      <c r="A3968" t="s">
        <v>2925</v>
      </c>
      <c r="B3968" t="s">
        <v>8263</v>
      </c>
      <c r="C3968" t="s">
        <v>8264</v>
      </c>
      <c r="J3968">
        <f>LEN(Table13[[#This Row],[REFERENCE_DESCR1]])</f>
        <v>23</v>
      </c>
    </row>
    <row r="3969" spans="1:10" hidden="1">
      <c r="A3969" t="s">
        <v>2925</v>
      </c>
      <c r="B3969" t="s">
        <v>8265</v>
      </c>
      <c r="C3969" t="s">
        <v>8266</v>
      </c>
      <c r="J3969">
        <f>LEN(Table13[[#This Row],[REFERENCE_DESCR1]])</f>
        <v>27</v>
      </c>
    </row>
    <row r="3970" spans="1:10" hidden="1">
      <c r="A3970" t="s">
        <v>2925</v>
      </c>
      <c r="B3970" t="s">
        <v>8267</v>
      </c>
      <c r="C3970" t="s">
        <v>8268</v>
      </c>
      <c r="J3970">
        <f>LEN(Table13[[#This Row],[REFERENCE_DESCR1]])</f>
        <v>25</v>
      </c>
    </row>
    <row r="3971" spans="1:10" hidden="1">
      <c r="A3971" t="s">
        <v>2925</v>
      </c>
      <c r="B3971" t="s">
        <v>8269</v>
      </c>
      <c r="C3971" t="s">
        <v>8270</v>
      </c>
      <c r="J3971">
        <f>LEN(Table13[[#This Row],[REFERENCE_DESCR1]])</f>
        <v>11</v>
      </c>
    </row>
    <row r="3972" spans="1:10" hidden="1">
      <c r="A3972" t="s">
        <v>2925</v>
      </c>
      <c r="B3972" t="s">
        <v>8271</v>
      </c>
      <c r="C3972" t="s">
        <v>8272</v>
      </c>
      <c r="J3972">
        <f>LEN(Table13[[#This Row],[REFERENCE_DESCR1]])</f>
        <v>40</v>
      </c>
    </row>
    <row r="3973" spans="1:10" hidden="1">
      <c r="A3973" t="s">
        <v>2925</v>
      </c>
      <c r="B3973" t="s">
        <v>8273</v>
      </c>
      <c r="C3973" t="s">
        <v>8274</v>
      </c>
      <c r="J3973">
        <f>LEN(Table13[[#This Row],[REFERENCE_DESCR1]])</f>
        <v>18</v>
      </c>
    </row>
    <row r="3974" spans="1:10" hidden="1">
      <c r="A3974" t="s">
        <v>2925</v>
      </c>
      <c r="B3974" t="s">
        <v>8275</v>
      </c>
      <c r="C3974" t="s">
        <v>8276</v>
      </c>
      <c r="J3974">
        <f>LEN(Table13[[#This Row],[REFERENCE_DESCR1]])</f>
        <v>11</v>
      </c>
    </row>
    <row r="3975" spans="1:10" hidden="1">
      <c r="A3975" t="s">
        <v>2925</v>
      </c>
      <c r="B3975" t="s">
        <v>8277</v>
      </c>
      <c r="C3975" t="s">
        <v>8278</v>
      </c>
      <c r="J3975">
        <f>LEN(Table13[[#This Row],[REFERENCE_DESCR1]])</f>
        <v>12</v>
      </c>
    </row>
    <row r="3976" spans="1:10" hidden="1">
      <c r="A3976" t="s">
        <v>2925</v>
      </c>
      <c r="B3976" t="s">
        <v>8279</v>
      </c>
      <c r="C3976" t="s">
        <v>8280</v>
      </c>
      <c r="J3976">
        <f>LEN(Table13[[#This Row],[REFERENCE_DESCR1]])</f>
        <v>17</v>
      </c>
    </row>
    <row r="3977" spans="1:10" hidden="1">
      <c r="A3977" t="s">
        <v>2925</v>
      </c>
      <c r="B3977" t="s">
        <v>8281</v>
      </c>
      <c r="C3977" t="s">
        <v>8282</v>
      </c>
      <c r="J3977">
        <f>LEN(Table13[[#This Row],[REFERENCE_DESCR1]])</f>
        <v>31</v>
      </c>
    </row>
    <row r="3978" spans="1:10" hidden="1">
      <c r="A3978" t="s">
        <v>2925</v>
      </c>
      <c r="B3978" t="s">
        <v>8283</v>
      </c>
      <c r="C3978" t="s">
        <v>8284</v>
      </c>
      <c r="J3978">
        <f>LEN(Table13[[#This Row],[REFERENCE_DESCR1]])</f>
        <v>37</v>
      </c>
    </row>
    <row r="3979" spans="1:10" hidden="1">
      <c r="A3979" t="s">
        <v>2925</v>
      </c>
      <c r="B3979" t="s">
        <v>8285</v>
      </c>
      <c r="C3979" t="s">
        <v>8286</v>
      </c>
      <c r="J3979">
        <f>LEN(Table13[[#This Row],[REFERENCE_DESCR1]])</f>
        <v>11</v>
      </c>
    </row>
    <row r="3980" spans="1:10" hidden="1">
      <c r="A3980" t="s">
        <v>2925</v>
      </c>
      <c r="B3980" t="s">
        <v>8287</v>
      </c>
      <c r="C3980" t="s">
        <v>8288</v>
      </c>
      <c r="J3980">
        <f>LEN(Table13[[#This Row],[REFERENCE_DESCR1]])</f>
        <v>12</v>
      </c>
    </row>
    <row r="3981" spans="1:10" hidden="1">
      <c r="A3981" t="s">
        <v>2925</v>
      </c>
      <c r="B3981" t="s">
        <v>8289</v>
      </c>
      <c r="C3981" t="s">
        <v>8290</v>
      </c>
      <c r="J3981">
        <f>LEN(Table13[[#This Row],[REFERENCE_DESCR1]])</f>
        <v>11</v>
      </c>
    </row>
    <row r="3982" spans="1:10" hidden="1">
      <c r="A3982" t="s">
        <v>2925</v>
      </c>
      <c r="B3982" t="s">
        <v>8291</v>
      </c>
      <c r="C3982" t="s">
        <v>8292</v>
      </c>
      <c r="J3982">
        <f>LEN(Table13[[#This Row],[REFERENCE_DESCR1]])</f>
        <v>18</v>
      </c>
    </row>
    <row r="3983" spans="1:10" hidden="1">
      <c r="A3983" t="s">
        <v>2925</v>
      </c>
      <c r="B3983" t="s">
        <v>8293</v>
      </c>
      <c r="C3983" t="s">
        <v>8294</v>
      </c>
      <c r="J3983">
        <f>LEN(Table13[[#This Row],[REFERENCE_DESCR1]])</f>
        <v>18</v>
      </c>
    </row>
    <row r="3984" spans="1:10" hidden="1">
      <c r="A3984" t="s">
        <v>2925</v>
      </c>
      <c r="B3984" t="s">
        <v>8295</v>
      </c>
      <c r="C3984" t="s">
        <v>8296</v>
      </c>
      <c r="J3984">
        <f>LEN(Table13[[#This Row],[REFERENCE_DESCR1]])</f>
        <v>7</v>
      </c>
    </row>
    <row r="3985" spans="1:10" hidden="1">
      <c r="A3985" t="s">
        <v>2925</v>
      </c>
      <c r="B3985" t="s">
        <v>8297</v>
      </c>
      <c r="C3985" t="s">
        <v>8298</v>
      </c>
      <c r="J3985">
        <f>LEN(Table13[[#This Row],[REFERENCE_DESCR1]])</f>
        <v>11</v>
      </c>
    </row>
    <row r="3986" spans="1:10" hidden="1">
      <c r="A3986" t="s">
        <v>2925</v>
      </c>
      <c r="B3986" t="s">
        <v>8299</v>
      </c>
      <c r="C3986" t="s">
        <v>8300</v>
      </c>
      <c r="J3986">
        <f>LEN(Table13[[#This Row],[REFERENCE_DESCR1]])</f>
        <v>7</v>
      </c>
    </row>
    <row r="3987" spans="1:10" hidden="1">
      <c r="A3987" t="s">
        <v>2925</v>
      </c>
      <c r="B3987" t="s">
        <v>8301</v>
      </c>
      <c r="C3987" t="s">
        <v>8302</v>
      </c>
      <c r="J3987">
        <f>LEN(Table13[[#This Row],[REFERENCE_DESCR1]])</f>
        <v>7</v>
      </c>
    </row>
    <row r="3988" spans="1:10" hidden="1">
      <c r="A3988" t="s">
        <v>2925</v>
      </c>
      <c r="B3988" t="s">
        <v>8303</v>
      </c>
      <c r="C3988" t="s">
        <v>8304</v>
      </c>
      <c r="J3988">
        <f>LEN(Table13[[#This Row],[REFERENCE_DESCR1]])</f>
        <v>8</v>
      </c>
    </row>
    <row r="3989" spans="1:10" hidden="1">
      <c r="A3989" t="s">
        <v>2925</v>
      </c>
      <c r="B3989" t="s">
        <v>2026</v>
      </c>
      <c r="C3989" t="s">
        <v>8305</v>
      </c>
      <c r="J3989">
        <f>LEN(Table13[[#This Row],[REFERENCE_DESCR1]])</f>
        <v>6</v>
      </c>
    </row>
    <row r="3990" spans="1:10" hidden="1">
      <c r="A3990" t="s">
        <v>2925</v>
      </c>
      <c r="B3990" t="s">
        <v>8306</v>
      </c>
      <c r="C3990" t="s">
        <v>8307</v>
      </c>
      <c r="J3990">
        <f>LEN(Table13[[#This Row],[REFERENCE_DESCR1]])</f>
        <v>11</v>
      </c>
    </row>
    <row r="3991" spans="1:10" hidden="1">
      <c r="A3991" t="s">
        <v>2925</v>
      </c>
      <c r="B3991" t="s">
        <v>8308</v>
      </c>
      <c r="C3991" t="s">
        <v>8309</v>
      </c>
      <c r="J3991">
        <f>LEN(Table13[[#This Row],[REFERENCE_DESCR1]])</f>
        <v>6</v>
      </c>
    </row>
    <row r="3992" spans="1:10" hidden="1">
      <c r="A3992" t="s">
        <v>2925</v>
      </c>
      <c r="B3992" t="s">
        <v>8310</v>
      </c>
      <c r="C3992" t="s">
        <v>8311</v>
      </c>
      <c r="J3992">
        <f>LEN(Table13[[#This Row],[REFERENCE_DESCR1]])</f>
        <v>7</v>
      </c>
    </row>
    <row r="3993" spans="1:10" hidden="1">
      <c r="A3993" t="s">
        <v>2925</v>
      </c>
      <c r="B3993" t="s">
        <v>8312</v>
      </c>
      <c r="C3993" t="s">
        <v>8313</v>
      </c>
      <c r="J3993">
        <f>LEN(Table13[[#This Row],[REFERENCE_DESCR1]])</f>
        <v>14</v>
      </c>
    </row>
    <row r="3994" spans="1:10" hidden="1">
      <c r="A3994" t="s">
        <v>2925</v>
      </c>
      <c r="B3994" t="s">
        <v>8314</v>
      </c>
      <c r="C3994" t="s">
        <v>8315</v>
      </c>
      <c r="J3994">
        <f>LEN(Table13[[#This Row],[REFERENCE_DESCR1]])</f>
        <v>9</v>
      </c>
    </row>
    <row r="3995" spans="1:10" hidden="1">
      <c r="A3995" t="s">
        <v>2925</v>
      </c>
      <c r="B3995" t="s">
        <v>8316</v>
      </c>
      <c r="C3995" t="s">
        <v>8317</v>
      </c>
      <c r="J3995">
        <f>LEN(Table13[[#This Row],[REFERENCE_DESCR1]])</f>
        <v>10</v>
      </c>
    </row>
    <row r="3996" spans="1:10" hidden="1">
      <c r="A3996" t="s">
        <v>2925</v>
      </c>
      <c r="B3996" t="s">
        <v>8318</v>
      </c>
      <c r="C3996" t="s">
        <v>8319</v>
      </c>
      <c r="J3996">
        <f>LEN(Table13[[#This Row],[REFERENCE_DESCR1]])</f>
        <v>6</v>
      </c>
    </row>
    <row r="3997" spans="1:10" hidden="1">
      <c r="A3997" t="s">
        <v>2925</v>
      </c>
      <c r="B3997" t="s">
        <v>8320</v>
      </c>
      <c r="C3997" t="s">
        <v>8321</v>
      </c>
      <c r="J3997">
        <f>LEN(Table13[[#This Row],[REFERENCE_DESCR1]])</f>
        <v>11</v>
      </c>
    </row>
    <row r="3998" spans="1:10" hidden="1">
      <c r="A3998" t="s">
        <v>2925</v>
      </c>
      <c r="B3998" t="s">
        <v>8322</v>
      </c>
      <c r="C3998" t="s">
        <v>8323</v>
      </c>
      <c r="J3998">
        <f>LEN(Table13[[#This Row],[REFERENCE_DESCR1]])</f>
        <v>8</v>
      </c>
    </row>
    <row r="3999" spans="1:10" hidden="1">
      <c r="A3999" t="s">
        <v>2925</v>
      </c>
      <c r="B3999" t="s">
        <v>8324</v>
      </c>
      <c r="C3999" t="s">
        <v>8325</v>
      </c>
      <c r="J3999">
        <f>LEN(Table13[[#This Row],[REFERENCE_DESCR1]])</f>
        <v>9</v>
      </c>
    </row>
    <row r="4000" spans="1:10" hidden="1">
      <c r="A4000" t="s">
        <v>2925</v>
      </c>
      <c r="B4000" t="s">
        <v>8326</v>
      </c>
      <c r="C4000" t="s">
        <v>8327</v>
      </c>
      <c r="J4000">
        <f>LEN(Table13[[#This Row],[REFERENCE_DESCR1]])</f>
        <v>10</v>
      </c>
    </row>
    <row r="4001" spans="1:10" hidden="1">
      <c r="A4001" t="s">
        <v>2925</v>
      </c>
      <c r="B4001" t="s">
        <v>8328</v>
      </c>
      <c r="C4001" t="s">
        <v>8329</v>
      </c>
      <c r="J4001">
        <f>LEN(Table13[[#This Row],[REFERENCE_DESCR1]])</f>
        <v>9</v>
      </c>
    </row>
    <row r="4002" spans="1:10" hidden="1">
      <c r="A4002" t="s">
        <v>2925</v>
      </c>
      <c r="B4002" t="s">
        <v>8330</v>
      </c>
      <c r="C4002" t="s">
        <v>8331</v>
      </c>
      <c r="J4002">
        <f>LEN(Table13[[#This Row],[REFERENCE_DESCR1]])</f>
        <v>7</v>
      </c>
    </row>
    <row r="4003" spans="1:10" hidden="1">
      <c r="A4003" t="s">
        <v>2925</v>
      </c>
      <c r="B4003" t="s">
        <v>8332</v>
      </c>
      <c r="C4003" t="s">
        <v>8333</v>
      </c>
      <c r="J4003">
        <f>LEN(Table13[[#This Row],[REFERENCE_DESCR1]])</f>
        <v>18</v>
      </c>
    </row>
    <row r="4004" spans="1:10" hidden="1">
      <c r="A4004" t="s">
        <v>2925</v>
      </c>
      <c r="B4004" t="s">
        <v>8334</v>
      </c>
      <c r="C4004" t="s">
        <v>8335</v>
      </c>
      <c r="J4004">
        <f>LEN(Table13[[#This Row],[REFERENCE_DESCR1]])</f>
        <v>9</v>
      </c>
    </row>
    <row r="4005" spans="1:10" hidden="1">
      <c r="A4005" t="s">
        <v>2925</v>
      </c>
      <c r="B4005" t="s">
        <v>8336</v>
      </c>
      <c r="C4005" t="s">
        <v>8337</v>
      </c>
      <c r="J4005">
        <f>LEN(Table13[[#This Row],[REFERENCE_DESCR1]])</f>
        <v>13</v>
      </c>
    </row>
    <row r="4006" spans="1:10" hidden="1">
      <c r="A4006" t="s">
        <v>2925</v>
      </c>
      <c r="B4006" t="s">
        <v>8338</v>
      </c>
      <c r="C4006" t="s">
        <v>8339</v>
      </c>
      <c r="J4006">
        <f>LEN(Table13[[#This Row],[REFERENCE_DESCR1]])</f>
        <v>8</v>
      </c>
    </row>
    <row r="4007" spans="1:10" hidden="1">
      <c r="A4007" t="s">
        <v>2925</v>
      </c>
      <c r="B4007" t="s">
        <v>8340</v>
      </c>
      <c r="C4007" t="s">
        <v>8341</v>
      </c>
      <c r="J4007">
        <f>LEN(Table13[[#This Row],[REFERENCE_DESCR1]])</f>
        <v>9</v>
      </c>
    </row>
    <row r="4008" spans="1:10" hidden="1">
      <c r="A4008" t="s">
        <v>2925</v>
      </c>
      <c r="B4008" t="s">
        <v>8342</v>
      </c>
      <c r="C4008" t="s">
        <v>8343</v>
      </c>
      <c r="J4008">
        <f>LEN(Table13[[#This Row],[REFERENCE_DESCR1]])</f>
        <v>20</v>
      </c>
    </row>
    <row r="4009" spans="1:10" hidden="1">
      <c r="A4009" t="s">
        <v>2925</v>
      </c>
      <c r="B4009" t="s">
        <v>8344</v>
      </c>
      <c r="C4009" t="s">
        <v>8345</v>
      </c>
      <c r="J4009">
        <f>LEN(Table13[[#This Row],[REFERENCE_DESCR1]])</f>
        <v>8</v>
      </c>
    </row>
    <row r="4010" spans="1:10" hidden="1">
      <c r="A4010" t="s">
        <v>2925</v>
      </c>
      <c r="B4010" t="s">
        <v>8346</v>
      </c>
      <c r="C4010" t="s">
        <v>8347</v>
      </c>
      <c r="J4010">
        <f>LEN(Table13[[#This Row],[REFERENCE_DESCR1]])</f>
        <v>16</v>
      </c>
    </row>
    <row r="4011" spans="1:10" hidden="1">
      <c r="A4011" t="s">
        <v>2925</v>
      </c>
      <c r="B4011" t="s">
        <v>8348</v>
      </c>
      <c r="C4011" t="s">
        <v>8349</v>
      </c>
      <c r="J4011">
        <f>LEN(Table13[[#This Row],[REFERENCE_DESCR1]])</f>
        <v>12</v>
      </c>
    </row>
    <row r="4012" spans="1:10" hidden="1">
      <c r="A4012" t="s">
        <v>2925</v>
      </c>
      <c r="B4012" t="s">
        <v>8350</v>
      </c>
      <c r="C4012" t="s">
        <v>8351</v>
      </c>
      <c r="J4012">
        <f>LEN(Table13[[#This Row],[REFERENCE_DESCR1]])</f>
        <v>8</v>
      </c>
    </row>
    <row r="4013" spans="1:10" hidden="1">
      <c r="A4013" t="s">
        <v>2925</v>
      </c>
      <c r="B4013" t="s">
        <v>8352</v>
      </c>
      <c r="C4013" t="s">
        <v>8353</v>
      </c>
      <c r="J4013">
        <f>LEN(Table13[[#This Row],[REFERENCE_DESCR1]])</f>
        <v>7</v>
      </c>
    </row>
    <row r="4014" spans="1:10" hidden="1">
      <c r="A4014" t="s">
        <v>2925</v>
      </c>
      <c r="B4014" t="s">
        <v>8354</v>
      </c>
      <c r="C4014" t="s">
        <v>8355</v>
      </c>
      <c r="J4014">
        <f>LEN(Table13[[#This Row],[REFERENCE_DESCR1]])</f>
        <v>11</v>
      </c>
    </row>
    <row r="4015" spans="1:10" hidden="1">
      <c r="A4015" t="s">
        <v>2925</v>
      </c>
      <c r="B4015" t="s">
        <v>8356</v>
      </c>
      <c r="C4015" t="s">
        <v>8357</v>
      </c>
      <c r="J4015">
        <f>LEN(Table13[[#This Row],[REFERENCE_DESCR1]])</f>
        <v>12</v>
      </c>
    </row>
    <row r="4016" spans="1:10" hidden="1">
      <c r="A4016" t="s">
        <v>2925</v>
      </c>
      <c r="B4016" t="s">
        <v>8358</v>
      </c>
      <c r="C4016" t="s">
        <v>8359</v>
      </c>
      <c r="J4016">
        <f>LEN(Table13[[#This Row],[REFERENCE_DESCR1]])</f>
        <v>20</v>
      </c>
    </row>
    <row r="4017" spans="1:10" hidden="1">
      <c r="A4017" t="s">
        <v>2925</v>
      </c>
      <c r="B4017" t="s">
        <v>8360</v>
      </c>
      <c r="C4017" t="s">
        <v>8361</v>
      </c>
      <c r="J4017">
        <f>LEN(Table13[[#This Row],[REFERENCE_DESCR1]])</f>
        <v>7</v>
      </c>
    </row>
    <row r="4018" spans="1:10" hidden="1">
      <c r="A4018" t="s">
        <v>2925</v>
      </c>
      <c r="B4018" t="s">
        <v>8362</v>
      </c>
      <c r="C4018" t="s">
        <v>8363</v>
      </c>
      <c r="J4018">
        <f>LEN(Table13[[#This Row],[REFERENCE_DESCR1]])</f>
        <v>19</v>
      </c>
    </row>
    <row r="4019" spans="1:10" hidden="1">
      <c r="A4019" t="s">
        <v>2925</v>
      </c>
      <c r="B4019" t="s">
        <v>8364</v>
      </c>
      <c r="C4019" t="s">
        <v>8365</v>
      </c>
      <c r="J4019">
        <f>LEN(Table13[[#This Row],[REFERENCE_DESCR1]])</f>
        <v>6</v>
      </c>
    </row>
    <row r="4020" spans="1:10" hidden="1">
      <c r="A4020" t="s">
        <v>2925</v>
      </c>
      <c r="B4020" t="s">
        <v>8366</v>
      </c>
      <c r="C4020" t="s">
        <v>8367</v>
      </c>
      <c r="J4020">
        <f>LEN(Table13[[#This Row],[REFERENCE_DESCR1]])</f>
        <v>11</v>
      </c>
    </row>
    <row r="4021" spans="1:10" hidden="1">
      <c r="A4021" t="s">
        <v>2925</v>
      </c>
      <c r="B4021" t="s">
        <v>8368</v>
      </c>
      <c r="C4021" t="s">
        <v>8369</v>
      </c>
      <c r="J4021">
        <f>LEN(Table13[[#This Row],[REFERENCE_DESCR1]])</f>
        <v>7</v>
      </c>
    </row>
    <row r="4022" spans="1:10" hidden="1">
      <c r="A4022" t="s">
        <v>2925</v>
      </c>
      <c r="B4022" t="s">
        <v>8370</v>
      </c>
      <c r="C4022" t="s">
        <v>8371</v>
      </c>
      <c r="J4022">
        <f>LEN(Table13[[#This Row],[REFERENCE_DESCR1]])</f>
        <v>5</v>
      </c>
    </row>
    <row r="4023" spans="1:10" hidden="1">
      <c r="A4023" t="s">
        <v>2925</v>
      </c>
      <c r="B4023" t="s">
        <v>8372</v>
      </c>
      <c r="C4023" t="s">
        <v>8373</v>
      </c>
      <c r="J4023">
        <f>LEN(Table13[[#This Row],[REFERENCE_DESCR1]])</f>
        <v>11</v>
      </c>
    </row>
    <row r="4024" spans="1:10" hidden="1">
      <c r="A4024" t="s">
        <v>2925</v>
      </c>
      <c r="B4024" t="s">
        <v>8374</v>
      </c>
      <c r="C4024" t="s">
        <v>8375</v>
      </c>
      <c r="J4024">
        <f>LEN(Table13[[#This Row],[REFERENCE_DESCR1]])</f>
        <v>12</v>
      </c>
    </row>
    <row r="4025" spans="1:10" hidden="1">
      <c r="A4025" t="s">
        <v>2925</v>
      </c>
      <c r="B4025" t="s">
        <v>8376</v>
      </c>
      <c r="C4025" t="s">
        <v>8377</v>
      </c>
      <c r="J4025">
        <f>LEN(Table13[[#This Row],[REFERENCE_DESCR1]])</f>
        <v>10</v>
      </c>
    </row>
    <row r="4026" spans="1:10" hidden="1">
      <c r="A4026" t="s">
        <v>2925</v>
      </c>
      <c r="B4026" t="s">
        <v>8378</v>
      </c>
      <c r="C4026" t="s">
        <v>8379</v>
      </c>
      <c r="J4026">
        <f>LEN(Table13[[#This Row],[REFERENCE_DESCR1]])</f>
        <v>10</v>
      </c>
    </row>
    <row r="4027" spans="1:10" hidden="1">
      <c r="A4027" t="s">
        <v>2925</v>
      </c>
      <c r="B4027" t="s">
        <v>8380</v>
      </c>
      <c r="C4027" t="s">
        <v>8381</v>
      </c>
      <c r="J4027">
        <f>LEN(Table13[[#This Row],[REFERENCE_DESCR1]])</f>
        <v>22</v>
      </c>
    </row>
    <row r="4028" spans="1:10" hidden="1">
      <c r="A4028" t="s">
        <v>2925</v>
      </c>
      <c r="B4028" t="s">
        <v>8382</v>
      </c>
      <c r="C4028" t="s">
        <v>8383</v>
      </c>
      <c r="J4028">
        <f>LEN(Table13[[#This Row],[REFERENCE_DESCR1]])</f>
        <v>7</v>
      </c>
    </row>
    <row r="4029" spans="1:10" hidden="1">
      <c r="A4029" t="s">
        <v>2925</v>
      </c>
      <c r="B4029" t="s">
        <v>8384</v>
      </c>
      <c r="C4029" t="s">
        <v>8385</v>
      </c>
      <c r="J4029">
        <f>LEN(Table13[[#This Row],[REFERENCE_DESCR1]])</f>
        <v>9</v>
      </c>
    </row>
    <row r="4030" spans="1:10" hidden="1">
      <c r="A4030" t="s">
        <v>2925</v>
      </c>
      <c r="B4030" t="s">
        <v>8386</v>
      </c>
      <c r="C4030" t="s">
        <v>8387</v>
      </c>
      <c r="J4030">
        <f>LEN(Table13[[#This Row],[REFERENCE_DESCR1]])</f>
        <v>11</v>
      </c>
    </row>
    <row r="4031" spans="1:10" hidden="1">
      <c r="A4031" t="s">
        <v>2925</v>
      </c>
      <c r="B4031" t="s">
        <v>8388</v>
      </c>
      <c r="C4031" t="s">
        <v>8389</v>
      </c>
      <c r="J4031">
        <f>LEN(Table13[[#This Row],[REFERENCE_DESCR1]])</f>
        <v>11</v>
      </c>
    </row>
    <row r="4032" spans="1:10" hidden="1">
      <c r="A4032" t="s">
        <v>2925</v>
      </c>
      <c r="B4032" t="s">
        <v>8390</v>
      </c>
      <c r="C4032" t="s">
        <v>8391</v>
      </c>
      <c r="J4032">
        <f>LEN(Table13[[#This Row],[REFERENCE_DESCR1]])</f>
        <v>6</v>
      </c>
    </row>
    <row r="4033" spans="1:10" hidden="1">
      <c r="A4033" t="s">
        <v>2925</v>
      </c>
      <c r="B4033" t="s">
        <v>8392</v>
      </c>
      <c r="C4033" t="s">
        <v>8393</v>
      </c>
      <c r="J4033">
        <f>LEN(Table13[[#This Row],[REFERENCE_DESCR1]])</f>
        <v>5</v>
      </c>
    </row>
    <row r="4034" spans="1:10" hidden="1">
      <c r="A4034" t="s">
        <v>2925</v>
      </c>
      <c r="B4034" t="s">
        <v>8394</v>
      </c>
      <c r="C4034" t="s">
        <v>8395</v>
      </c>
      <c r="J4034">
        <f>LEN(Table13[[#This Row],[REFERENCE_DESCR1]])</f>
        <v>11</v>
      </c>
    </row>
    <row r="4035" spans="1:10" hidden="1">
      <c r="A4035" t="s">
        <v>2925</v>
      </c>
      <c r="B4035" t="s">
        <v>8396</v>
      </c>
      <c r="C4035" t="s">
        <v>8397</v>
      </c>
      <c r="J4035">
        <f>LEN(Table13[[#This Row],[REFERENCE_DESCR1]])</f>
        <v>11</v>
      </c>
    </row>
    <row r="4036" spans="1:10" hidden="1">
      <c r="A4036" t="s">
        <v>2925</v>
      </c>
      <c r="B4036" t="s">
        <v>8398</v>
      </c>
      <c r="C4036" t="s">
        <v>8399</v>
      </c>
      <c r="J4036">
        <f>LEN(Table13[[#This Row],[REFERENCE_DESCR1]])</f>
        <v>16</v>
      </c>
    </row>
    <row r="4037" spans="1:10" hidden="1">
      <c r="A4037" t="s">
        <v>2925</v>
      </c>
      <c r="B4037" t="s">
        <v>8400</v>
      </c>
      <c r="C4037" t="s">
        <v>8401</v>
      </c>
      <c r="J4037">
        <f>LEN(Table13[[#This Row],[REFERENCE_DESCR1]])</f>
        <v>14</v>
      </c>
    </row>
    <row r="4038" spans="1:10" hidden="1">
      <c r="A4038" t="s">
        <v>2925</v>
      </c>
      <c r="B4038" t="s">
        <v>8402</v>
      </c>
      <c r="C4038" t="s">
        <v>8403</v>
      </c>
      <c r="J4038">
        <f>LEN(Table13[[#This Row],[REFERENCE_DESCR1]])</f>
        <v>8</v>
      </c>
    </row>
    <row r="4039" spans="1:10" hidden="1">
      <c r="A4039" t="s">
        <v>2925</v>
      </c>
      <c r="B4039" t="s">
        <v>8404</v>
      </c>
      <c r="C4039" t="s">
        <v>8405</v>
      </c>
      <c r="J4039">
        <f>LEN(Table13[[#This Row],[REFERENCE_DESCR1]])</f>
        <v>9</v>
      </c>
    </row>
    <row r="4040" spans="1:10" hidden="1">
      <c r="A4040" t="s">
        <v>2925</v>
      </c>
      <c r="B4040" t="s">
        <v>8406</v>
      </c>
      <c r="C4040" t="s">
        <v>8407</v>
      </c>
      <c r="J4040">
        <f>LEN(Table13[[#This Row],[REFERENCE_DESCR1]])</f>
        <v>9</v>
      </c>
    </row>
    <row r="4041" spans="1:10" hidden="1">
      <c r="A4041" t="s">
        <v>2925</v>
      </c>
      <c r="B4041" t="s">
        <v>8408</v>
      </c>
      <c r="C4041" t="s">
        <v>8409</v>
      </c>
      <c r="J4041">
        <f>LEN(Table13[[#This Row],[REFERENCE_DESCR1]])</f>
        <v>9</v>
      </c>
    </row>
    <row r="4042" spans="1:10" hidden="1">
      <c r="A4042" t="s">
        <v>2925</v>
      </c>
      <c r="B4042" t="s">
        <v>8410</v>
      </c>
      <c r="C4042" t="s">
        <v>8411</v>
      </c>
      <c r="J4042">
        <f>LEN(Table13[[#This Row],[REFERENCE_DESCR1]])</f>
        <v>10</v>
      </c>
    </row>
    <row r="4043" spans="1:10" hidden="1">
      <c r="A4043" t="s">
        <v>2925</v>
      </c>
      <c r="B4043" t="s">
        <v>8412</v>
      </c>
      <c r="C4043" t="s">
        <v>8413</v>
      </c>
      <c r="J4043">
        <f>LEN(Table13[[#This Row],[REFERENCE_DESCR1]])</f>
        <v>22</v>
      </c>
    </row>
    <row r="4044" spans="1:10" hidden="1">
      <c r="A4044" t="s">
        <v>2925</v>
      </c>
      <c r="B4044" t="s">
        <v>8414</v>
      </c>
      <c r="C4044" t="s">
        <v>8415</v>
      </c>
      <c r="J4044">
        <f>LEN(Table13[[#This Row],[REFERENCE_DESCR1]])</f>
        <v>13</v>
      </c>
    </row>
    <row r="4045" spans="1:10" hidden="1">
      <c r="A4045" t="s">
        <v>2925</v>
      </c>
      <c r="B4045" t="s">
        <v>8416</v>
      </c>
      <c r="C4045" t="s">
        <v>8417</v>
      </c>
      <c r="J4045">
        <f>LEN(Table13[[#This Row],[REFERENCE_DESCR1]])</f>
        <v>13</v>
      </c>
    </row>
    <row r="4046" spans="1:10" hidden="1">
      <c r="A4046" t="s">
        <v>2925</v>
      </c>
      <c r="B4046" t="s">
        <v>8418</v>
      </c>
      <c r="C4046" t="s">
        <v>8419</v>
      </c>
      <c r="J4046">
        <f>LEN(Table13[[#This Row],[REFERENCE_DESCR1]])</f>
        <v>30</v>
      </c>
    </row>
    <row r="4047" spans="1:10" hidden="1">
      <c r="A4047" t="s">
        <v>2925</v>
      </c>
      <c r="B4047" t="s">
        <v>8420</v>
      </c>
      <c r="C4047" t="s">
        <v>8421</v>
      </c>
      <c r="J4047">
        <f>LEN(Table13[[#This Row],[REFERENCE_DESCR1]])</f>
        <v>26</v>
      </c>
    </row>
    <row r="4048" spans="1:10" hidden="1">
      <c r="A4048" t="s">
        <v>2925</v>
      </c>
      <c r="B4048" t="s">
        <v>8422</v>
      </c>
      <c r="C4048" t="s">
        <v>8423</v>
      </c>
      <c r="J4048">
        <f>LEN(Table13[[#This Row],[REFERENCE_DESCR1]])</f>
        <v>21</v>
      </c>
    </row>
    <row r="4049" spans="1:10" hidden="1">
      <c r="A4049" t="s">
        <v>2925</v>
      </c>
      <c r="B4049" t="s">
        <v>8424</v>
      </c>
      <c r="C4049" t="s">
        <v>8425</v>
      </c>
      <c r="J4049">
        <f>LEN(Table13[[#This Row],[REFERENCE_DESCR1]])</f>
        <v>26</v>
      </c>
    </row>
    <row r="4050" spans="1:10" hidden="1">
      <c r="A4050" t="s">
        <v>2925</v>
      </c>
      <c r="B4050" t="s">
        <v>8426</v>
      </c>
      <c r="C4050" t="s">
        <v>8427</v>
      </c>
      <c r="J4050">
        <f>LEN(Table13[[#This Row],[REFERENCE_DESCR1]])</f>
        <v>26</v>
      </c>
    </row>
    <row r="4051" spans="1:10" hidden="1">
      <c r="A4051" t="s">
        <v>2925</v>
      </c>
      <c r="B4051" t="s">
        <v>8428</v>
      </c>
      <c r="C4051" t="s">
        <v>8429</v>
      </c>
      <c r="J4051">
        <f>LEN(Table13[[#This Row],[REFERENCE_DESCR1]])</f>
        <v>25</v>
      </c>
    </row>
    <row r="4052" spans="1:10" hidden="1">
      <c r="A4052" t="s">
        <v>2925</v>
      </c>
      <c r="B4052" t="s">
        <v>8430</v>
      </c>
      <c r="C4052" t="s">
        <v>8431</v>
      </c>
      <c r="J4052">
        <f>LEN(Table13[[#This Row],[REFERENCE_DESCR1]])</f>
        <v>23</v>
      </c>
    </row>
    <row r="4053" spans="1:10" hidden="1">
      <c r="A4053" t="s">
        <v>2925</v>
      </c>
      <c r="B4053" t="s">
        <v>8432</v>
      </c>
      <c r="C4053" t="s">
        <v>8433</v>
      </c>
      <c r="J4053">
        <f>LEN(Table13[[#This Row],[REFERENCE_DESCR1]])</f>
        <v>26</v>
      </c>
    </row>
    <row r="4054" spans="1:10" hidden="1">
      <c r="A4054" t="s">
        <v>2925</v>
      </c>
      <c r="B4054" t="s">
        <v>8434</v>
      </c>
      <c r="C4054" t="s">
        <v>8435</v>
      </c>
      <c r="J4054">
        <f>LEN(Table13[[#This Row],[REFERENCE_DESCR1]])</f>
        <v>22</v>
      </c>
    </row>
    <row r="4055" spans="1:10" hidden="1">
      <c r="A4055" t="s">
        <v>2925</v>
      </c>
      <c r="B4055" t="s">
        <v>8436</v>
      </c>
      <c r="C4055" t="s">
        <v>8437</v>
      </c>
      <c r="J4055">
        <f>LEN(Table13[[#This Row],[REFERENCE_DESCR1]])</f>
        <v>24</v>
      </c>
    </row>
    <row r="4056" spans="1:10" hidden="1">
      <c r="A4056" t="s">
        <v>2925</v>
      </c>
      <c r="B4056" t="s">
        <v>8438</v>
      </c>
      <c r="C4056" t="s">
        <v>8439</v>
      </c>
      <c r="J4056">
        <f>LEN(Table13[[#This Row],[REFERENCE_DESCR1]])</f>
        <v>10</v>
      </c>
    </row>
    <row r="4057" spans="1:10" hidden="1">
      <c r="A4057" t="s">
        <v>2925</v>
      </c>
      <c r="B4057" t="s">
        <v>8440</v>
      </c>
      <c r="C4057" t="s">
        <v>8441</v>
      </c>
      <c r="J4057">
        <f>LEN(Table13[[#This Row],[REFERENCE_DESCR1]])</f>
        <v>8</v>
      </c>
    </row>
    <row r="4058" spans="1:10" hidden="1">
      <c r="A4058" t="s">
        <v>2925</v>
      </c>
      <c r="B4058" t="s">
        <v>8442</v>
      </c>
      <c r="C4058" t="s">
        <v>8443</v>
      </c>
      <c r="J4058">
        <f>LEN(Table13[[#This Row],[REFERENCE_DESCR1]])</f>
        <v>8</v>
      </c>
    </row>
    <row r="4059" spans="1:10" hidden="1">
      <c r="A4059" t="s">
        <v>2925</v>
      </c>
      <c r="B4059" t="s">
        <v>8444</v>
      </c>
      <c r="C4059" t="s">
        <v>8445</v>
      </c>
      <c r="J4059">
        <f>LEN(Table13[[#This Row],[REFERENCE_DESCR1]])</f>
        <v>12</v>
      </c>
    </row>
    <row r="4060" spans="1:10" hidden="1">
      <c r="A4060" t="s">
        <v>2925</v>
      </c>
      <c r="B4060" t="s">
        <v>8446</v>
      </c>
      <c r="C4060" t="s">
        <v>8447</v>
      </c>
      <c r="J4060">
        <f>LEN(Table13[[#This Row],[REFERENCE_DESCR1]])</f>
        <v>9</v>
      </c>
    </row>
    <row r="4061" spans="1:10" hidden="1">
      <c r="A4061" t="s">
        <v>2925</v>
      </c>
      <c r="B4061" t="s">
        <v>8448</v>
      </c>
      <c r="C4061" t="s">
        <v>8449</v>
      </c>
      <c r="J4061">
        <f>LEN(Table13[[#This Row],[REFERENCE_DESCR1]])</f>
        <v>7</v>
      </c>
    </row>
    <row r="4062" spans="1:10" hidden="1">
      <c r="A4062" t="s">
        <v>2925</v>
      </c>
      <c r="B4062" t="s">
        <v>8450</v>
      </c>
      <c r="C4062" t="s">
        <v>8451</v>
      </c>
      <c r="J4062">
        <f>LEN(Table13[[#This Row],[REFERENCE_DESCR1]])</f>
        <v>8</v>
      </c>
    </row>
    <row r="4063" spans="1:10" hidden="1">
      <c r="A4063" t="s">
        <v>2925</v>
      </c>
      <c r="B4063" t="s">
        <v>8452</v>
      </c>
      <c r="C4063" t="s">
        <v>8453</v>
      </c>
      <c r="J4063">
        <f>LEN(Table13[[#This Row],[REFERENCE_DESCR1]])</f>
        <v>11</v>
      </c>
    </row>
    <row r="4064" spans="1:10" hidden="1">
      <c r="A4064" t="s">
        <v>2925</v>
      </c>
      <c r="B4064" t="s">
        <v>8454</v>
      </c>
      <c r="C4064" t="s">
        <v>8455</v>
      </c>
      <c r="J4064">
        <f>LEN(Table13[[#This Row],[REFERENCE_DESCR1]])</f>
        <v>8</v>
      </c>
    </row>
    <row r="4065" spans="1:10" hidden="1">
      <c r="A4065" t="s">
        <v>2925</v>
      </c>
      <c r="B4065" t="s">
        <v>8456</v>
      </c>
      <c r="C4065" t="s">
        <v>8457</v>
      </c>
      <c r="J4065">
        <f>LEN(Table13[[#This Row],[REFERENCE_DESCR1]])</f>
        <v>9</v>
      </c>
    </row>
    <row r="4066" spans="1:10" hidden="1">
      <c r="A4066" t="s">
        <v>2925</v>
      </c>
      <c r="B4066" t="s">
        <v>8458</v>
      </c>
      <c r="C4066" t="s">
        <v>8459</v>
      </c>
      <c r="J4066">
        <f>LEN(Table13[[#This Row],[REFERENCE_DESCR1]])</f>
        <v>11</v>
      </c>
    </row>
    <row r="4067" spans="1:10" hidden="1">
      <c r="A4067" t="s">
        <v>2925</v>
      </c>
      <c r="B4067" t="s">
        <v>8460</v>
      </c>
      <c r="C4067" t="s">
        <v>8461</v>
      </c>
      <c r="J4067">
        <f>LEN(Table13[[#This Row],[REFERENCE_DESCR1]])</f>
        <v>7</v>
      </c>
    </row>
    <row r="4068" spans="1:10" hidden="1">
      <c r="A4068" t="s">
        <v>2925</v>
      </c>
      <c r="B4068" t="s">
        <v>8462</v>
      </c>
      <c r="C4068" t="s">
        <v>8463</v>
      </c>
      <c r="J4068">
        <f>LEN(Table13[[#This Row],[REFERENCE_DESCR1]])</f>
        <v>8</v>
      </c>
    </row>
    <row r="4069" spans="1:10" hidden="1">
      <c r="A4069" t="s">
        <v>2925</v>
      </c>
      <c r="B4069" t="s">
        <v>8464</v>
      </c>
      <c r="C4069" t="s">
        <v>8465</v>
      </c>
      <c r="J4069">
        <f>LEN(Table13[[#This Row],[REFERENCE_DESCR1]])</f>
        <v>15</v>
      </c>
    </row>
    <row r="4070" spans="1:10" hidden="1">
      <c r="A4070" t="s">
        <v>2925</v>
      </c>
      <c r="B4070" t="s">
        <v>8466</v>
      </c>
      <c r="C4070" t="s">
        <v>8467</v>
      </c>
      <c r="J4070">
        <f>LEN(Table13[[#This Row],[REFERENCE_DESCR1]])</f>
        <v>23</v>
      </c>
    </row>
    <row r="4071" spans="1:10" hidden="1">
      <c r="A4071" t="s">
        <v>2925</v>
      </c>
      <c r="B4071" t="s">
        <v>8468</v>
      </c>
      <c r="C4071" t="s">
        <v>8469</v>
      </c>
      <c r="J4071">
        <f>LEN(Table13[[#This Row],[REFERENCE_DESCR1]])</f>
        <v>34</v>
      </c>
    </row>
    <row r="4072" spans="1:10" hidden="1">
      <c r="A4072" t="s">
        <v>2925</v>
      </c>
      <c r="B4072" t="s">
        <v>8470</v>
      </c>
      <c r="C4072" t="s">
        <v>8471</v>
      </c>
      <c r="J4072">
        <f>LEN(Table13[[#This Row],[REFERENCE_DESCR1]])</f>
        <v>24</v>
      </c>
    </row>
    <row r="4073" spans="1:10" hidden="1">
      <c r="A4073" t="s">
        <v>2925</v>
      </c>
      <c r="B4073" t="s">
        <v>8472</v>
      </c>
      <c r="C4073" t="s">
        <v>8473</v>
      </c>
      <c r="J4073">
        <f>LEN(Table13[[#This Row],[REFERENCE_DESCR1]])</f>
        <v>25</v>
      </c>
    </row>
    <row r="4074" spans="1:10" hidden="1">
      <c r="A4074" t="s">
        <v>2925</v>
      </c>
      <c r="B4074" t="s">
        <v>8474</v>
      </c>
      <c r="C4074" t="s">
        <v>8475</v>
      </c>
      <c r="J4074">
        <f>LEN(Table13[[#This Row],[REFERENCE_DESCR1]])</f>
        <v>34</v>
      </c>
    </row>
    <row r="4075" spans="1:10" hidden="1">
      <c r="A4075" t="s">
        <v>2925</v>
      </c>
      <c r="B4075" t="s">
        <v>8476</v>
      </c>
      <c r="C4075" t="s">
        <v>8477</v>
      </c>
      <c r="J4075">
        <f>LEN(Table13[[#This Row],[REFERENCE_DESCR1]])</f>
        <v>14</v>
      </c>
    </row>
    <row r="4076" spans="1:10" hidden="1">
      <c r="A4076" t="s">
        <v>2925</v>
      </c>
      <c r="B4076" t="s">
        <v>8478</v>
      </c>
      <c r="C4076" t="s">
        <v>8479</v>
      </c>
      <c r="J4076">
        <f>LEN(Table13[[#This Row],[REFERENCE_DESCR1]])</f>
        <v>10</v>
      </c>
    </row>
    <row r="4077" spans="1:10" hidden="1">
      <c r="A4077" t="s">
        <v>2925</v>
      </c>
      <c r="B4077" t="s">
        <v>8480</v>
      </c>
      <c r="C4077" t="s">
        <v>8481</v>
      </c>
      <c r="J4077">
        <f>LEN(Table13[[#This Row],[REFERENCE_DESCR1]])</f>
        <v>7</v>
      </c>
    </row>
    <row r="4078" spans="1:10" hidden="1">
      <c r="A4078" t="s">
        <v>2925</v>
      </c>
      <c r="B4078" t="s">
        <v>8482</v>
      </c>
      <c r="C4078" t="s">
        <v>8483</v>
      </c>
      <c r="J4078">
        <f>LEN(Table13[[#This Row],[REFERENCE_DESCR1]])</f>
        <v>14</v>
      </c>
    </row>
    <row r="4079" spans="1:10" hidden="1">
      <c r="A4079" t="s">
        <v>2925</v>
      </c>
      <c r="B4079" t="s">
        <v>8484</v>
      </c>
      <c r="C4079" t="s">
        <v>8485</v>
      </c>
      <c r="J4079">
        <f>LEN(Table13[[#This Row],[REFERENCE_DESCR1]])</f>
        <v>5</v>
      </c>
    </row>
    <row r="4080" spans="1:10" hidden="1">
      <c r="A4080" t="s">
        <v>2925</v>
      </c>
      <c r="B4080" t="s">
        <v>8486</v>
      </c>
      <c r="C4080" t="s">
        <v>8487</v>
      </c>
      <c r="J4080">
        <f>LEN(Table13[[#This Row],[REFERENCE_DESCR1]])</f>
        <v>8</v>
      </c>
    </row>
    <row r="4081" spans="1:10" hidden="1">
      <c r="A4081" t="s">
        <v>2925</v>
      </c>
      <c r="B4081" t="s">
        <v>8488</v>
      </c>
      <c r="C4081" t="s">
        <v>8489</v>
      </c>
      <c r="J4081">
        <f>LEN(Table13[[#This Row],[REFERENCE_DESCR1]])</f>
        <v>10</v>
      </c>
    </row>
    <row r="4082" spans="1:10" hidden="1">
      <c r="A4082" t="s">
        <v>2925</v>
      </c>
      <c r="B4082" t="s">
        <v>8490</v>
      </c>
      <c r="C4082" t="s">
        <v>8491</v>
      </c>
      <c r="J4082">
        <f>LEN(Table13[[#This Row],[REFERENCE_DESCR1]])</f>
        <v>20</v>
      </c>
    </row>
    <row r="4083" spans="1:10" hidden="1">
      <c r="A4083" t="s">
        <v>2925</v>
      </c>
      <c r="B4083" t="s">
        <v>8492</v>
      </c>
      <c r="C4083" t="s">
        <v>8493</v>
      </c>
      <c r="J4083">
        <f>LEN(Table13[[#This Row],[REFERENCE_DESCR1]])</f>
        <v>13</v>
      </c>
    </row>
    <row r="4084" spans="1:10" hidden="1">
      <c r="A4084" t="s">
        <v>2925</v>
      </c>
      <c r="B4084" t="s">
        <v>8494</v>
      </c>
      <c r="C4084" t="s">
        <v>8495</v>
      </c>
      <c r="J4084">
        <f>LEN(Table13[[#This Row],[REFERENCE_DESCR1]])</f>
        <v>14</v>
      </c>
    </row>
    <row r="4085" spans="1:10" hidden="1">
      <c r="A4085" t="s">
        <v>2925</v>
      </c>
      <c r="B4085" t="s">
        <v>8496</v>
      </c>
      <c r="C4085" t="s">
        <v>8497</v>
      </c>
      <c r="J4085">
        <f>LEN(Table13[[#This Row],[REFERENCE_DESCR1]])</f>
        <v>12</v>
      </c>
    </row>
    <row r="4086" spans="1:10" hidden="1">
      <c r="A4086" t="s">
        <v>2925</v>
      </c>
      <c r="B4086" t="s">
        <v>8498</v>
      </c>
      <c r="C4086" t="s">
        <v>8499</v>
      </c>
      <c r="J4086">
        <f>LEN(Table13[[#This Row],[REFERENCE_DESCR1]])</f>
        <v>11</v>
      </c>
    </row>
    <row r="4087" spans="1:10" hidden="1">
      <c r="A4087" t="s">
        <v>2925</v>
      </c>
      <c r="B4087" t="s">
        <v>8500</v>
      </c>
      <c r="C4087" t="s">
        <v>8501</v>
      </c>
      <c r="J4087">
        <f>LEN(Table13[[#This Row],[REFERENCE_DESCR1]])</f>
        <v>9</v>
      </c>
    </row>
    <row r="4088" spans="1:10" hidden="1">
      <c r="A4088" t="s">
        <v>2925</v>
      </c>
      <c r="B4088" t="s">
        <v>8502</v>
      </c>
      <c r="C4088" t="s">
        <v>8503</v>
      </c>
      <c r="J4088">
        <f>LEN(Table13[[#This Row],[REFERENCE_DESCR1]])</f>
        <v>6</v>
      </c>
    </row>
    <row r="4089" spans="1:10" hidden="1">
      <c r="A4089" t="s">
        <v>2925</v>
      </c>
      <c r="B4089" t="s">
        <v>8504</v>
      </c>
      <c r="C4089" t="s">
        <v>8505</v>
      </c>
      <c r="J4089">
        <f>LEN(Table13[[#This Row],[REFERENCE_DESCR1]])</f>
        <v>15</v>
      </c>
    </row>
    <row r="4090" spans="1:10" hidden="1">
      <c r="A4090" t="s">
        <v>2925</v>
      </c>
      <c r="B4090" t="s">
        <v>8506</v>
      </c>
      <c r="C4090" t="s">
        <v>8507</v>
      </c>
      <c r="J4090">
        <f>LEN(Table13[[#This Row],[REFERENCE_DESCR1]])</f>
        <v>27</v>
      </c>
    </row>
    <row r="4091" spans="1:10" hidden="1">
      <c r="A4091" t="s">
        <v>2925</v>
      </c>
      <c r="B4091" t="s">
        <v>8508</v>
      </c>
      <c r="C4091" t="s">
        <v>8509</v>
      </c>
      <c r="J4091">
        <f>LEN(Table13[[#This Row],[REFERENCE_DESCR1]])</f>
        <v>26</v>
      </c>
    </row>
    <row r="4092" spans="1:10" hidden="1">
      <c r="A4092" t="s">
        <v>2925</v>
      </c>
      <c r="B4092" t="s">
        <v>8510</v>
      </c>
      <c r="C4092" t="s">
        <v>8511</v>
      </c>
      <c r="J4092">
        <f>LEN(Table13[[#This Row],[REFERENCE_DESCR1]])</f>
        <v>20</v>
      </c>
    </row>
    <row r="4093" spans="1:10" hidden="1">
      <c r="A4093" t="s">
        <v>2925</v>
      </c>
      <c r="B4093" t="s">
        <v>2270</v>
      </c>
      <c r="C4093" t="s">
        <v>8512</v>
      </c>
      <c r="J4093">
        <f>LEN(Table13[[#This Row],[REFERENCE_DESCR1]])</f>
        <v>12</v>
      </c>
    </row>
    <row r="4094" spans="1:10" hidden="1">
      <c r="A4094" t="s">
        <v>2925</v>
      </c>
      <c r="B4094" t="s">
        <v>2139</v>
      </c>
      <c r="C4094" t="s">
        <v>8513</v>
      </c>
      <c r="J4094">
        <f>LEN(Table13[[#This Row],[REFERENCE_DESCR1]])</f>
        <v>8</v>
      </c>
    </row>
    <row r="4095" spans="1:10" hidden="1">
      <c r="A4095" t="s">
        <v>2925</v>
      </c>
      <c r="B4095" t="s">
        <v>8514</v>
      </c>
      <c r="C4095" t="s">
        <v>8515</v>
      </c>
      <c r="J4095">
        <f>LEN(Table13[[#This Row],[REFERENCE_DESCR1]])</f>
        <v>9</v>
      </c>
    </row>
    <row r="4096" spans="1:10" hidden="1">
      <c r="A4096" t="s">
        <v>2925</v>
      </c>
      <c r="B4096" t="s">
        <v>8516</v>
      </c>
      <c r="C4096" t="s">
        <v>8517</v>
      </c>
      <c r="J4096">
        <f>LEN(Table13[[#This Row],[REFERENCE_DESCR1]])</f>
        <v>9</v>
      </c>
    </row>
    <row r="4097" spans="1:10" hidden="1">
      <c r="A4097" t="s">
        <v>2925</v>
      </c>
      <c r="B4097" t="s">
        <v>8518</v>
      </c>
      <c r="C4097" t="s">
        <v>8519</v>
      </c>
      <c r="J4097">
        <f>LEN(Table13[[#This Row],[REFERENCE_DESCR1]])</f>
        <v>7</v>
      </c>
    </row>
    <row r="4098" spans="1:10" hidden="1">
      <c r="A4098" t="s">
        <v>2925</v>
      </c>
      <c r="B4098" t="s">
        <v>8520</v>
      </c>
      <c r="C4098" t="s">
        <v>8521</v>
      </c>
      <c r="J4098">
        <f>LEN(Table13[[#This Row],[REFERENCE_DESCR1]])</f>
        <v>10</v>
      </c>
    </row>
    <row r="4099" spans="1:10" hidden="1">
      <c r="A4099" t="s">
        <v>2925</v>
      </c>
      <c r="B4099" t="s">
        <v>8522</v>
      </c>
      <c r="C4099" t="s">
        <v>8523</v>
      </c>
      <c r="J4099">
        <f>LEN(Table13[[#This Row],[REFERENCE_DESCR1]])</f>
        <v>12</v>
      </c>
    </row>
    <row r="4100" spans="1:10" hidden="1">
      <c r="A4100" t="s">
        <v>2925</v>
      </c>
      <c r="B4100" t="s">
        <v>8524</v>
      </c>
      <c r="C4100" t="s">
        <v>8525</v>
      </c>
      <c r="J4100">
        <f>LEN(Table13[[#This Row],[REFERENCE_DESCR1]])</f>
        <v>11</v>
      </c>
    </row>
    <row r="4101" spans="1:10" hidden="1">
      <c r="A4101" t="s">
        <v>2925</v>
      </c>
      <c r="B4101" t="s">
        <v>8526</v>
      </c>
      <c r="C4101" t="s">
        <v>8527</v>
      </c>
      <c r="J4101">
        <f>LEN(Table13[[#This Row],[REFERENCE_DESCR1]])</f>
        <v>13</v>
      </c>
    </row>
    <row r="4102" spans="1:10" hidden="1">
      <c r="A4102" t="s">
        <v>2925</v>
      </c>
      <c r="B4102" t="s">
        <v>8528</v>
      </c>
      <c r="C4102" t="s">
        <v>8529</v>
      </c>
      <c r="J4102">
        <f>LEN(Table13[[#This Row],[REFERENCE_DESCR1]])</f>
        <v>5</v>
      </c>
    </row>
    <row r="4103" spans="1:10" hidden="1">
      <c r="A4103" t="s">
        <v>2925</v>
      </c>
      <c r="B4103" t="s">
        <v>8530</v>
      </c>
      <c r="C4103" t="s">
        <v>8531</v>
      </c>
      <c r="J4103">
        <f>LEN(Table13[[#This Row],[REFERENCE_DESCR1]])</f>
        <v>5</v>
      </c>
    </row>
    <row r="4104" spans="1:10" hidden="1">
      <c r="A4104" t="s">
        <v>2925</v>
      </c>
      <c r="B4104" t="s">
        <v>8532</v>
      </c>
      <c r="C4104" t="s">
        <v>8533</v>
      </c>
      <c r="J4104">
        <f>LEN(Table13[[#This Row],[REFERENCE_DESCR1]])</f>
        <v>7</v>
      </c>
    </row>
    <row r="4105" spans="1:10" hidden="1">
      <c r="A4105" t="s">
        <v>2925</v>
      </c>
      <c r="B4105" t="s">
        <v>8534</v>
      </c>
      <c r="C4105" t="s">
        <v>8535</v>
      </c>
      <c r="J4105">
        <f>LEN(Table13[[#This Row],[REFERENCE_DESCR1]])</f>
        <v>8</v>
      </c>
    </row>
    <row r="4106" spans="1:10" hidden="1">
      <c r="A4106" t="s">
        <v>2925</v>
      </c>
      <c r="B4106" t="s">
        <v>8536</v>
      </c>
      <c r="C4106" t="s">
        <v>8537</v>
      </c>
      <c r="J4106">
        <f>LEN(Table13[[#This Row],[REFERENCE_DESCR1]])</f>
        <v>8</v>
      </c>
    </row>
    <row r="4107" spans="1:10" hidden="1">
      <c r="A4107" t="s">
        <v>2925</v>
      </c>
      <c r="B4107" t="s">
        <v>8538</v>
      </c>
      <c r="C4107" t="s">
        <v>8539</v>
      </c>
      <c r="J4107">
        <f>LEN(Table13[[#This Row],[REFERENCE_DESCR1]])</f>
        <v>8</v>
      </c>
    </row>
    <row r="4108" spans="1:10" hidden="1">
      <c r="A4108" t="s">
        <v>2925</v>
      </c>
      <c r="B4108" t="s">
        <v>8540</v>
      </c>
      <c r="C4108" t="s">
        <v>8541</v>
      </c>
      <c r="J4108">
        <f>LEN(Table13[[#This Row],[REFERENCE_DESCR1]])</f>
        <v>14</v>
      </c>
    </row>
    <row r="4109" spans="1:10" hidden="1">
      <c r="A4109" t="s">
        <v>2925</v>
      </c>
      <c r="B4109" t="s">
        <v>8542</v>
      </c>
      <c r="C4109" t="s">
        <v>8543</v>
      </c>
      <c r="J4109">
        <f>LEN(Table13[[#This Row],[REFERENCE_DESCR1]])</f>
        <v>7</v>
      </c>
    </row>
    <row r="4110" spans="1:10" hidden="1">
      <c r="A4110" t="s">
        <v>2925</v>
      </c>
      <c r="B4110" t="s">
        <v>8544</v>
      </c>
      <c r="C4110" t="s">
        <v>8545</v>
      </c>
      <c r="J4110">
        <f>LEN(Table13[[#This Row],[REFERENCE_DESCR1]])</f>
        <v>5</v>
      </c>
    </row>
    <row r="4111" spans="1:10" hidden="1">
      <c r="A4111" t="s">
        <v>2925</v>
      </c>
      <c r="B4111" t="s">
        <v>8546</v>
      </c>
      <c r="C4111" t="s">
        <v>8547</v>
      </c>
      <c r="J4111">
        <f>LEN(Table13[[#This Row],[REFERENCE_DESCR1]])</f>
        <v>8</v>
      </c>
    </row>
    <row r="4112" spans="1:10" hidden="1">
      <c r="A4112" t="s">
        <v>2925</v>
      </c>
      <c r="B4112" t="s">
        <v>8548</v>
      </c>
      <c r="C4112" t="s">
        <v>8549</v>
      </c>
      <c r="J4112">
        <f>LEN(Table13[[#This Row],[REFERENCE_DESCR1]])</f>
        <v>10</v>
      </c>
    </row>
    <row r="4113" spans="1:10" hidden="1">
      <c r="A4113" t="s">
        <v>2925</v>
      </c>
      <c r="B4113" t="s">
        <v>8550</v>
      </c>
      <c r="C4113" t="s">
        <v>8551</v>
      </c>
      <c r="J4113">
        <f>LEN(Table13[[#This Row],[REFERENCE_DESCR1]])</f>
        <v>13</v>
      </c>
    </row>
    <row r="4114" spans="1:10" hidden="1">
      <c r="A4114" t="s">
        <v>2925</v>
      </c>
      <c r="B4114" t="s">
        <v>8552</v>
      </c>
      <c r="C4114" t="s">
        <v>8553</v>
      </c>
      <c r="J4114">
        <f>LEN(Table13[[#This Row],[REFERENCE_DESCR1]])</f>
        <v>9</v>
      </c>
    </row>
    <row r="4115" spans="1:10" hidden="1">
      <c r="A4115" t="s">
        <v>2925</v>
      </c>
      <c r="B4115" t="s">
        <v>8554</v>
      </c>
      <c r="C4115" t="s">
        <v>8555</v>
      </c>
      <c r="J4115">
        <f>LEN(Table13[[#This Row],[REFERENCE_DESCR1]])</f>
        <v>8</v>
      </c>
    </row>
    <row r="4116" spans="1:10" hidden="1">
      <c r="A4116" t="s">
        <v>2925</v>
      </c>
      <c r="B4116" t="s">
        <v>8556</v>
      </c>
      <c r="C4116" t="s">
        <v>8557</v>
      </c>
      <c r="J4116">
        <f>LEN(Table13[[#This Row],[REFERENCE_DESCR1]])</f>
        <v>7</v>
      </c>
    </row>
    <row r="4117" spans="1:10" hidden="1">
      <c r="A4117" t="s">
        <v>2925</v>
      </c>
      <c r="B4117" t="s">
        <v>8558</v>
      </c>
      <c r="C4117" t="s">
        <v>8559</v>
      </c>
      <c r="J4117">
        <f>LEN(Table13[[#This Row],[REFERENCE_DESCR1]])</f>
        <v>7</v>
      </c>
    </row>
    <row r="4118" spans="1:10" hidden="1">
      <c r="A4118" t="s">
        <v>2925</v>
      </c>
      <c r="B4118" t="s">
        <v>8560</v>
      </c>
      <c r="C4118" t="s">
        <v>8561</v>
      </c>
      <c r="J4118">
        <f>LEN(Table13[[#This Row],[REFERENCE_DESCR1]])</f>
        <v>10</v>
      </c>
    </row>
    <row r="4119" spans="1:10" hidden="1">
      <c r="A4119" t="s">
        <v>2925</v>
      </c>
      <c r="B4119" t="s">
        <v>8562</v>
      </c>
      <c r="C4119" t="s">
        <v>8563</v>
      </c>
      <c r="J4119">
        <f>LEN(Table13[[#This Row],[REFERENCE_DESCR1]])</f>
        <v>14</v>
      </c>
    </row>
    <row r="4120" spans="1:10" hidden="1">
      <c r="A4120" t="s">
        <v>2925</v>
      </c>
      <c r="B4120" t="s">
        <v>8564</v>
      </c>
      <c r="C4120" t="s">
        <v>8565</v>
      </c>
      <c r="J4120">
        <f>LEN(Table13[[#This Row],[REFERENCE_DESCR1]])</f>
        <v>8</v>
      </c>
    </row>
    <row r="4121" spans="1:10" hidden="1">
      <c r="A4121" t="s">
        <v>2925</v>
      </c>
      <c r="B4121" t="s">
        <v>8566</v>
      </c>
      <c r="C4121" t="s">
        <v>8567</v>
      </c>
      <c r="J4121">
        <f>LEN(Table13[[#This Row],[REFERENCE_DESCR1]])</f>
        <v>20</v>
      </c>
    </row>
    <row r="4122" spans="1:10" hidden="1">
      <c r="A4122" t="s">
        <v>2925</v>
      </c>
      <c r="B4122" t="s">
        <v>8568</v>
      </c>
      <c r="C4122" t="s">
        <v>8569</v>
      </c>
      <c r="J4122">
        <f>LEN(Table13[[#This Row],[REFERENCE_DESCR1]])</f>
        <v>9</v>
      </c>
    </row>
    <row r="4123" spans="1:10" hidden="1">
      <c r="A4123" t="s">
        <v>2925</v>
      </c>
      <c r="B4123" t="s">
        <v>8570</v>
      </c>
      <c r="C4123" t="s">
        <v>8571</v>
      </c>
      <c r="J4123">
        <f>LEN(Table13[[#This Row],[REFERENCE_DESCR1]])</f>
        <v>9</v>
      </c>
    </row>
    <row r="4124" spans="1:10" hidden="1">
      <c r="A4124" t="s">
        <v>2925</v>
      </c>
      <c r="B4124" t="s">
        <v>8572</v>
      </c>
      <c r="C4124" t="s">
        <v>8573</v>
      </c>
      <c r="J4124">
        <f>LEN(Table13[[#This Row],[REFERENCE_DESCR1]])</f>
        <v>5</v>
      </c>
    </row>
    <row r="4125" spans="1:10" hidden="1">
      <c r="A4125" t="s">
        <v>2925</v>
      </c>
      <c r="B4125" t="s">
        <v>8574</v>
      </c>
      <c r="C4125" t="s">
        <v>8575</v>
      </c>
      <c r="J4125">
        <f>LEN(Table13[[#This Row],[REFERENCE_DESCR1]])</f>
        <v>10</v>
      </c>
    </row>
    <row r="4126" spans="1:10" hidden="1">
      <c r="A4126" t="s">
        <v>2925</v>
      </c>
      <c r="B4126" t="s">
        <v>8576</v>
      </c>
      <c r="C4126" t="s">
        <v>8577</v>
      </c>
      <c r="J4126">
        <f>LEN(Table13[[#This Row],[REFERENCE_DESCR1]])</f>
        <v>22</v>
      </c>
    </row>
    <row r="4127" spans="1:10" hidden="1">
      <c r="A4127" t="s">
        <v>2925</v>
      </c>
      <c r="B4127" t="s">
        <v>8578</v>
      </c>
      <c r="C4127" t="s">
        <v>8579</v>
      </c>
      <c r="J4127">
        <f>LEN(Table13[[#This Row],[REFERENCE_DESCR1]])</f>
        <v>9</v>
      </c>
    </row>
    <row r="4128" spans="1:10" hidden="1">
      <c r="A4128" t="s">
        <v>2925</v>
      </c>
      <c r="B4128" t="s">
        <v>8580</v>
      </c>
      <c r="C4128" t="s">
        <v>8581</v>
      </c>
      <c r="J4128">
        <f>LEN(Table13[[#This Row],[REFERENCE_DESCR1]])</f>
        <v>14</v>
      </c>
    </row>
    <row r="4129" spans="1:10" hidden="1">
      <c r="A4129" t="s">
        <v>2925</v>
      </c>
      <c r="B4129" t="s">
        <v>8582</v>
      </c>
      <c r="C4129" t="s">
        <v>8583</v>
      </c>
      <c r="J4129">
        <f>LEN(Table13[[#This Row],[REFERENCE_DESCR1]])</f>
        <v>11</v>
      </c>
    </row>
    <row r="4130" spans="1:10" hidden="1">
      <c r="A4130" t="s">
        <v>2925</v>
      </c>
      <c r="B4130" t="s">
        <v>8584</v>
      </c>
      <c r="C4130" t="s">
        <v>8585</v>
      </c>
      <c r="J4130">
        <f>LEN(Table13[[#This Row],[REFERENCE_DESCR1]])</f>
        <v>11</v>
      </c>
    </row>
    <row r="4131" spans="1:10" hidden="1">
      <c r="A4131" t="s">
        <v>2925</v>
      </c>
      <c r="B4131" t="s">
        <v>8586</v>
      </c>
      <c r="C4131" t="s">
        <v>8587</v>
      </c>
      <c r="J4131">
        <f>LEN(Table13[[#This Row],[REFERENCE_DESCR1]])</f>
        <v>8</v>
      </c>
    </row>
    <row r="4132" spans="1:10" hidden="1">
      <c r="A4132" t="s">
        <v>2925</v>
      </c>
      <c r="B4132" t="s">
        <v>8588</v>
      </c>
      <c r="C4132" t="s">
        <v>8589</v>
      </c>
      <c r="J4132">
        <f>LEN(Table13[[#This Row],[REFERENCE_DESCR1]])</f>
        <v>11</v>
      </c>
    </row>
    <row r="4133" spans="1:10" hidden="1">
      <c r="A4133" t="s">
        <v>2925</v>
      </c>
      <c r="B4133" t="s">
        <v>8590</v>
      </c>
      <c r="C4133" t="s">
        <v>8591</v>
      </c>
      <c r="J4133">
        <f>LEN(Table13[[#This Row],[REFERENCE_DESCR1]])</f>
        <v>32</v>
      </c>
    </row>
    <row r="4134" spans="1:10" hidden="1">
      <c r="A4134" t="s">
        <v>2925</v>
      </c>
      <c r="B4134" t="s">
        <v>8592</v>
      </c>
      <c r="C4134" t="s">
        <v>8593</v>
      </c>
      <c r="J4134">
        <f>LEN(Table13[[#This Row],[REFERENCE_DESCR1]])</f>
        <v>27</v>
      </c>
    </row>
    <row r="4135" spans="1:10" hidden="1">
      <c r="A4135" t="s">
        <v>2925</v>
      </c>
      <c r="B4135" t="s">
        <v>8594</v>
      </c>
      <c r="C4135" t="s">
        <v>8595</v>
      </c>
      <c r="J4135">
        <f>LEN(Table13[[#This Row],[REFERENCE_DESCR1]])</f>
        <v>29</v>
      </c>
    </row>
    <row r="4136" spans="1:10" hidden="1">
      <c r="A4136" t="s">
        <v>2925</v>
      </c>
      <c r="B4136" t="s">
        <v>8596</v>
      </c>
      <c r="C4136" t="s">
        <v>8597</v>
      </c>
      <c r="J4136">
        <f>LEN(Table13[[#This Row],[REFERENCE_DESCR1]])</f>
        <v>19</v>
      </c>
    </row>
    <row r="4137" spans="1:10" hidden="1">
      <c r="A4137" t="s">
        <v>2925</v>
      </c>
      <c r="B4137" t="s">
        <v>8598</v>
      </c>
      <c r="C4137" t="s">
        <v>8599</v>
      </c>
      <c r="J4137">
        <f>LEN(Table13[[#This Row],[REFERENCE_DESCR1]])</f>
        <v>9</v>
      </c>
    </row>
    <row r="4138" spans="1:10" hidden="1">
      <c r="A4138" t="s">
        <v>2925</v>
      </c>
      <c r="B4138" t="s">
        <v>8600</v>
      </c>
      <c r="C4138" t="s">
        <v>8601</v>
      </c>
      <c r="J4138">
        <f>LEN(Table13[[#This Row],[REFERENCE_DESCR1]])</f>
        <v>8</v>
      </c>
    </row>
    <row r="4139" spans="1:10" hidden="1">
      <c r="A4139" t="s">
        <v>2925</v>
      </c>
      <c r="B4139" t="s">
        <v>8602</v>
      </c>
      <c r="C4139" t="s">
        <v>8603</v>
      </c>
      <c r="J4139">
        <f>LEN(Table13[[#This Row],[REFERENCE_DESCR1]])</f>
        <v>8</v>
      </c>
    </row>
    <row r="4140" spans="1:10" hidden="1">
      <c r="A4140" t="s">
        <v>2925</v>
      </c>
      <c r="B4140" t="s">
        <v>8604</v>
      </c>
      <c r="C4140" t="s">
        <v>8605</v>
      </c>
      <c r="J4140">
        <f>LEN(Table13[[#This Row],[REFERENCE_DESCR1]])</f>
        <v>13</v>
      </c>
    </row>
    <row r="4141" spans="1:10" hidden="1">
      <c r="A4141" t="s">
        <v>2925</v>
      </c>
      <c r="B4141" t="s">
        <v>8606</v>
      </c>
      <c r="C4141" t="s">
        <v>8607</v>
      </c>
      <c r="J4141">
        <f>LEN(Table13[[#This Row],[REFERENCE_DESCR1]])</f>
        <v>8</v>
      </c>
    </row>
    <row r="4142" spans="1:10" hidden="1">
      <c r="A4142" t="s">
        <v>2925</v>
      </c>
      <c r="B4142" t="s">
        <v>8608</v>
      </c>
      <c r="C4142" t="s">
        <v>8609</v>
      </c>
      <c r="J4142">
        <f>LEN(Table13[[#This Row],[REFERENCE_DESCR1]])</f>
        <v>14</v>
      </c>
    </row>
    <row r="4143" spans="1:10" hidden="1">
      <c r="A4143" t="s">
        <v>2925</v>
      </c>
      <c r="B4143" t="s">
        <v>8610</v>
      </c>
      <c r="C4143" t="s">
        <v>8611</v>
      </c>
      <c r="J4143">
        <f>LEN(Table13[[#This Row],[REFERENCE_DESCR1]])</f>
        <v>8</v>
      </c>
    </row>
    <row r="4144" spans="1:10" hidden="1">
      <c r="A4144" t="s">
        <v>2925</v>
      </c>
      <c r="B4144" t="s">
        <v>8612</v>
      </c>
      <c r="C4144" t="s">
        <v>8613</v>
      </c>
      <c r="J4144">
        <f>LEN(Table13[[#This Row],[REFERENCE_DESCR1]])</f>
        <v>11</v>
      </c>
    </row>
    <row r="4145" spans="1:10" hidden="1">
      <c r="A4145" t="s">
        <v>2925</v>
      </c>
      <c r="B4145" t="s">
        <v>8614</v>
      </c>
      <c r="C4145" t="s">
        <v>8615</v>
      </c>
      <c r="J4145">
        <f>LEN(Table13[[#This Row],[REFERENCE_DESCR1]])</f>
        <v>6</v>
      </c>
    </row>
    <row r="4146" spans="1:10" hidden="1">
      <c r="A4146" t="s">
        <v>2925</v>
      </c>
      <c r="B4146" t="s">
        <v>8616</v>
      </c>
      <c r="C4146" t="s">
        <v>8617</v>
      </c>
      <c r="J4146">
        <f>LEN(Table13[[#This Row],[REFERENCE_DESCR1]])</f>
        <v>13</v>
      </c>
    </row>
    <row r="4147" spans="1:10" hidden="1">
      <c r="A4147" t="s">
        <v>2925</v>
      </c>
      <c r="B4147" t="s">
        <v>8618</v>
      </c>
      <c r="C4147" t="s">
        <v>8619</v>
      </c>
      <c r="J4147">
        <f>LEN(Table13[[#This Row],[REFERENCE_DESCR1]])</f>
        <v>9</v>
      </c>
    </row>
    <row r="4148" spans="1:10" hidden="1">
      <c r="A4148" t="s">
        <v>2925</v>
      </c>
      <c r="B4148" t="s">
        <v>8620</v>
      </c>
      <c r="C4148" t="s">
        <v>8621</v>
      </c>
      <c r="J4148">
        <f>LEN(Table13[[#This Row],[REFERENCE_DESCR1]])</f>
        <v>19</v>
      </c>
    </row>
    <row r="4149" spans="1:10" hidden="1">
      <c r="A4149" t="s">
        <v>2925</v>
      </c>
      <c r="B4149" t="s">
        <v>8622</v>
      </c>
      <c r="C4149" t="s">
        <v>8623</v>
      </c>
      <c r="J4149">
        <f>LEN(Table13[[#This Row],[REFERENCE_DESCR1]])</f>
        <v>11</v>
      </c>
    </row>
    <row r="4150" spans="1:10" hidden="1">
      <c r="A4150" t="s">
        <v>2925</v>
      </c>
      <c r="B4150" t="s">
        <v>8624</v>
      </c>
      <c r="C4150" t="s">
        <v>8625</v>
      </c>
      <c r="J4150">
        <f>LEN(Table13[[#This Row],[REFERENCE_DESCR1]])</f>
        <v>6</v>
      </c>
    </row>
    <row r="4151" spans="1:10" hidden="1">
      <c r="A4151" t="s">
        <v>2925</v>
      </c>
      <c r="B4151" t="s">
        <v>8626</v>
      </c>
      <c r="C4151" t="s">
        <v>8627</v>
      </c>
      <c r="J4151">
        <f>LEN(Table13[[#This Row],[REFERENCE_DESCR1]])</f>
        <v>9</v>
      </c>
    </row>
    <row r="4152" spans="1:10" hidden="1">
      <c r="A4152" t="s">
        <v>2925</v>
      </c>
      <c r="B4152" t="s">
        <v>8628</v>
      </c>
      <c r="C4152" t="s">
        <v>8629</v>
      </c>
      <c r="J4152">
        <f>LEN(Table13[[#This Row],[REFERENCE_DESCR1]])</f>
        <v>5</v>
      </c>
    </row>
    <row r="4153" spans="1:10" hidden="1">
      <c r="A4153" t="s">
        <v>2925</v>
      </c>
      <c r="B4153" t="s">
        <v>8630</v>
      </c>
      <c r="C4153" t="s">
        <v>8631</v>
      </c>
      <c r="J4153">
        <f>LEN(Table13[[#This Row],[REFERENCE_DESCR1]])</f>
        <v>9</v>
      </c>
    </row>
    <row r="4154" spans="1:10" hidden="1">
      <c r="A4154" t="s">
        <v>2925</v>
      </c>
      <c r="B4154" t="s">
        <v>8632</v>
      </c>
      <c r="C4154" t="s">
        <v>8633</v>
      </c>
      <c r="J4154">
        <f>LEN(Table13[[#This Row],[REFERENCE_DESCR1]])</f>
        <v>4</v>
      </c>
    </row>
    <row r="4155" spans="1:10" hidden="1">
      <c r="A4155" t="s">
        <v>2925</v>
      </c>
      <c r="B4155" t="s">
        <v>8634</v>
      </c>
      <c r="C4155" t="s">
        <v>8635</v>
      </c>
      <c r="J4155">
        <f>LEN(Table13[[#This Row],[REFERENCE_DESCR1]])</f>
        <v>6</v>
      </c>
    </row>
    <row r="4156" spans="1:10" hidden="1">
      <c r="A4156" t="s">
        <v>2925</v>
      </c>
      <c r="B4156" t="s">
        <v>8636</v>
      </c>
      <c r="C4156" t="s">
        <v>8637</v>
      </c>
      <c r="J4156">
        <f>LEN(Table13[[#This Row],[REFERENCE_DESCR1]])</f>
        <v>7</v>
      </c>
    </row>
    <row r="4157" spans="1:10" hidden="1">
      <c r="A4157" t="s">
        <v>2925</v>
      </c>
      <c r="B4157" t="s">
        <v>8638</v>
      </c>
      <c r="C4157" t="s">
        <v>8639</v>
      </c>
      <c r="J4157">
        <f>LEN(Table13[[#This Row],[REFERENCE_DESCR1]])</f>
        <v>5</v>
      </c>
    </row>
    <row r="4158" spans="1:10" hidden="1">
      <c r="A4158" t="s">
        <v>2925</v>
      </c>
      <c r="B4158" t="s">
        <v>8640</v>
      </c>
      <c r="C4158" t="s">
        <v>8641</v>
      </c>
      <c r="J4158">
        <f>LEN(Table13[[#This Row],[REFERENCE_DESCR1]])</f>
        <v>9</v>
      </c>
    </row>
    <row r="4159" spans="1:10" hidden="1">
      <c r="A4159" t="s">
        <v>2925</v>
      </c>
      <c r="B4159" t="s">
        <v>8642</v>
      </c>
      <c r="C4159" t="s">
        <v>8643</v>
      </c>
      <c r="J4159">
        <f>LEN(Table13[[#This Row],[REFERENCE_DESCR1]])</f>
        <v>27</v>
      </c>
    </row>
    <row r="4160" spans="1:10" hidden="1">
      <c r="A4160" t="s">
        <v>2925</v>
      </c>
      <c r="B4160" t="s">
        <v>8644</v>
      </c>
      <c r="C4160" t="s">
        <v>8645</v>
      </c>
      <c r="J4160">
        <f>LEN(Table13[[#This Row],[REFERENCE_DESCR1]])</f>
        <v>38</v>
      </c>
    </row>
    <row r="4161" spans="1:10" hidden="1">
      <c r="A4161" t="s">
        <v>2925</v>
      </c>
      <c r="B4161" t="s">
        <v>8646</v>
      </c>
      <c r="C4161" t="s">
        <v>8647</v>
      </c>
      <c r="J4161">
        <f>LEN(Table13[[#This Row],[REFERENCE_DESCR1]])</f>
        <v>7</v>
      </c>
    </row>
    <row r="4162" spans="1:10" hidden="1">
      <c r="A4162" t="s">
        <v>2925</v>
      </c>
      <c r="B4162" t="s">
        <v>8648</v>
      </c>
      <c r="C4162" t="s">
        <v>8649</v>
      </c>
      <c r="J4162">
        <f>LEN(Table13[[#This Row],[REFERENCE_DESCR1]])</f>
        <v>16</v>
      </c>
    </row>
    <row r="4163" spans="1:10" hidden="1">
      <c r="A4163" t="s">
        <v>2925</v>
      </c>
      <c r="B4163" t="s">
        <v>8650</v>
      </c>
      <c r="C4163" t="s">
        <v>8651</v>
      </c>
      <c r="J4163">
        <f>LEN(Table13[[#This Row],[REFERENCE_DESCR1]])</f>
        <v>19</v>
      </c>
    </row>
    <row r="4164" spans="1:10" hidden="1">
      <c r="A4164" t="s">
        <v>2925</v>
      </c>
      <c r="B4164" t="s">
        <v>8652</v>
      </c>
      <c r="C4164" t="s">
        <v>8653</v>
      </c>
      <c r="J4164">
        <f>LEN(Table13[[#This Row],[REFERENCE_DESCR1]])</f>
        <v>13</v>
      </c>
    </row>
    <row r="4165" spans="1:10" hidden="1">
      <c r="A4165" t="s">
        <v>2925</v>
      </c>
      <c r="B4165" t="s">
        <v>8654</v>
      </c>
      <c r="C4165" t="s">
        <v>8655</v>
      </c>
      <c r="J4165">
        <f>LEN(Table13[[#This Row],[REFERENCE_DESCR1]])</f>
        <v>17</v>
      </c>
    </row>
    <row r="4166" spans="1:10" hidden="1">
      <c r="A4166" t="s">
        <v>2925</v>
      </c>
      <c r="B4166" t="s">
        <v>8656</v>
      </c>
      <c r="C4166" t="s">
        <v>8657</v>
      </c>
      <c r="J4166">
        <f>LEN(Table13[[#This Row],[REFERENCE_DESCR1]])</f>
        <v>16</v>
      </c>
    </row>
    <row r="4167" spans="1:10" hidden="1">
      <c r="A4167" t="s">
        <v>2925</v>
      </c>
      <c r="B4167" t="s">
        <v>8658</v>
      </c>
      <c r="C4167" t="s">
        <v>8659</v>
      </c>
      <c r="J4167">
        <f>LEN(Table13[[#This Row],[REFERENCE_DESCR1]])</f>
        <v>13</v>
      </c>
    </row>
    <row r="4168" spans="1:10" hidden="1">
      <c r="A4168" t="s">
        <v>2925</v>
      </c>
      <c r="B4168" t="s">
        <v>8660</v>
      </c>
      <c r="C4168" t="s">
        <v>8661</v>
      </c>
      <c r="J4168">
        <f>LEN(Table13[[#This Row],[REFERENCE_DESCR1]])</f>
        <v>6</v>
      </c>
    </row>
    <row r="4169" spans="1:10" hidden="1">
      <c r="A4169" t="s">
        <v>2925</v>
      </c>
      <c r="B4169" t="s">
        <v>8662</v>
      </c>
      <c r="C4169" t="s">
        <v>8663</v>
      </c>
      <c r="J4169">
        <f>LEN(Table13[[#This Row],[REFERENCE_DESCR1]])</f>
        <v>15</v>
      </c>
    </row>
    <row r="4170" spans="1:10" hidden="1">
      <c r="A4170" t="s">
        <v>2925</v>
      </c>
      <c r="B4170" t="s">
        <v>8664</v>
      </c>
      <c r="C4170" t="s">
        <v>8665</v>
      </c>
      <c r="J4170">
        <f>LEN(Table13[[#This Row],[REFERENCE_DESCR1]])</f>
        <v>6</v>
      </c>
    </row>
    <row r="4171" spans="1:10" hidden="1">
      <c r="A4171" t="s">
        <v>2925</v>
      </c>
      <c r="B4171" t="s">
        <v>8666</v>
      </c>
      <c r="C4171" t="s">
        <v>8667</v>
      </c>
      <c r="J4171">
        <f>LEN(Table13[[#This Row],[REFERENCE_DESCR1]])</f>
        <v>10</v>
      </c>
    </row>
    <row r="4172" spans="1:10" hidden="1">
      <c r="A4172" t="s">
        <v>2925</v>
      </c>
      <c r="B4172" t="s">
        <v>8668</v>
      </c>
      <c r="C4172" t="s">
        <v>8669</v>
      </c>
      <c r="J4172">
        <f>LEN(Table13[[#This Row],[REFERENCE_DESCR1]])</f>
        <v>14</v>
      </c>
    </row>
    <row r="4173" spans="1:10" hidden="1">
      <c r="A4173" t="s">
        <v>2925</v>
      </c>
      <c r="B4173" t="s">
        <v>8670</v>
      </c>
      <c r="C4173" t="s">
        <v>8671</v>
      </c>
      <c r="J4173">
        <f>LEN(Table13[[#This Row],[REFERENCE_DESCR1]])</f>
        <v>15</v>
      </c>
    </row>
    <row r="4174" spans="1:10" hidden="1">
      <c r="A4174" t="s">
        <v>2925</v>
      </c>
      <c r="B4174" t="s">
        <v>8672</v>
      </c>
      <c r="C4174" t="s">
        <v>8673</v>
      </c>
      <c r="J4174">
        <f>LEN(Table13[[#This Row],[REFERENCE_DESCR1]])</f>
        <v>11</v>
      </c>
    </row>
    <row r="4175" spans="1:10" hidden="1">
      <c r="A4175" t="s">
        <v>2925</v>
      </c>
      <c r="B4175" t="s">
        <v>8674</v>
      </c>
      <c r="C4175" t="s">
        <v>8675</v>
      </c>
      <c r="J4175">
        <f>LEN(Table13[[#This Row],[REFERENCE_DESCR1]])</f>
        <v>5</v>
      </c>
    </row>
    <row r="4176" spans="1:10" hidden="1">
      <c r="A4176" t="s">
        <v>2925</v>
      </c>
      <c r="B4176" t="s">
        <v>8676</v>
      </c>
      <c r="C4176" t="s">
        <v>8677</v>
      </c>
      <c r="J4176">
        <f>LEN(Table13[[#This Row],[REFERENCE_DESCR1]])</f>
        <v>8</v>
      </c>
    </row>
    <row r="4177" spans="1:10" hidden="1">
      <c r="A4177" t="s">
        <v>2925</v>
      </c>
      <c r="B4177" t="s">
        <v>8678</v>
      </c>
      <c r="C4177" t="s">
        <v>8679</v>
      </c>
      <c r="J4177">
        <f>LEN(Table13[[#This Row],[REFERENCE_DESCR1]])</f>
        <v>20</v>
      </c>
    </row>
    <row r="4178" spans="1:10" hidden="1">
      <c r="A4178" t="s">
        <v>2925</v>
      </c>
      <c r="B4178" t="s">
        <v>8680</v>
      </c>
      <c r="C4178" t="s">
        <v>8681</v>
      </c>
      <c r="J4178">
        <f>LEN(Table13[[#This Row],[REFERENCE_DESCR1]])</f>
        <v>19</v>
      </c>
    </row>
    <row r="4179" spans="1:10" hidden="1">
      <c r="A4179" t="s">
        <v>2925</v>
      </c>
      <c r="B4179" t="s">
        <v>8682</v>
      </c>
      <c r="C4179" t="s">
        <v>8683</v>
      </c>
      <c r="J4179">
        <f>LEN(Table13[[#This Row],[REFERENCE_DESCR1]])</f>
        <v>14</v>
      </c>
    </row>
    <row r="4180" spans="1:10" hidden="1">
      <c r="A4180" t="s">
        <v>2925</v>
      </c>
      <c r="B4180" t="s">
        <v>2282</v>
      </c>
      <c r="C4180" t="s">
        <v>8684</v>
      </c>
      <c r="J4180">
        <f>LEN(Table13[[#This Row],[REFERENCE_DESCR1]])</f>
        <v>14</v>
      </c>
    </row>
    <row r="4181" spans="1:10" hidden="1">
      <c r="A4181" t="s">
        <v>2925</v>
      </c>
      <c r="B4181" t="s">
        <v>8685</v>
      </c>
      <c r="C4181" t="s">
        <v>8686</v>
      </c>
      <c r="J4181">
        <f>LEN(Table13[[#This Row],[REFERENCE_DESCR1]])</f>
        <v>26</v>
      </c>
    </row>
    <row r="4182" spans="1:10" hidden="1">
      <c r="A4182" t="s">
        <v>2925</v>
      </c>
      <c r="B4182" t="s">
        <v>8687</v>
      </c>
      <c r="C4182" t="s">
        <v>8688</v>
      </c>
      <c r="J4182">
        <f>LEN(Table13[[#This Row],[REFERENCE_DESCR1]])</f>
        <v>9</v>
      </c>
    </row>
    <row r="4183" spans="1:10" hidden="1">
      <c r="A4183" t="s">
        <v>2925</v>
      </c>
      <c r="B4183" t="s">
        <v>8689</v>
      </c>
      <c r="C4183" t="s">
        <v>8690</v>
      </c>
      <c r="J4183">
        <f>LEN(Table13[[#This Row],[REFERENCE_DESCR1]])</f>
        <v>8</v>
      </c>
    </row>
    <row r="4184" spans="1:10" hidden="1">
      <c r="A4184" t="s">
        <v>2925</v>
      </c>
      <c r="B4184" t="s">
        <v>8691</v>
      </c>
      <c r="C4184" t="s">
        <v>8692</v>
      </c>
      <c r="J4184">
        <f>LEN(Table13[[#This Row],[REFERENCE_DESCR1]])</f>
        <v>20</v>
      </c>
    </row>
    <row r="4185" spans="1:10" hidden="1">
      <c r="A4185" t="s">
        <v>2925</v>
      </c>
      <c r="B4185" t="s">
        <v>8693</v>
      </c>
      <c r="C4185" t="s">
        <v>8694</v>
      </c>
      <c r="J4185">
        <f>LEN(Table13[[#This Row],[REFERENCE_DESCR1]])</f>
        <v>11</v>
      </c>
    </row>
    <row r="4186" spans="1:10" hidden="1">
      <c r="A4186" t="s">
        <v>2925</v>
      </c>
      <c r="B4186" t="s">
        <v>8695</v>
      </c>
      <c r="C4186" t="s">
        <v>8696</v>
      </c>
      <c r="J4186">
        <f>LEN(Table13[[#This Row],[REFERENCE_DESCR1]])</f>
        <v>15</v>
      </c>
    </row>
    <row r="4187" spans="1:10" hidden="1">
      <c r="A4187" t="s">
        <v>2925</v>
      </c>
      <c r="B4187" t="s">
        <v>8697</v>
      </c>
      <c r="C4187" t="s">
        <v>8698</v>
      </c>
      <c r="J4187">
        <f>LEN(Table13[[#This Row],[REFERENCE_DESCR1]])</f>
        <v>15</v>
      </c>
    </row>
    <row r="4188" spans="1:10" hidden="1">
      <c r="A4188" t="s">
        <v>2925</v>
      </c>
      <c r="B4188" t="s">
        <v>8699</v>
      </c>
      <c r="C4188" t="s">
        <v>8700</v>
      </c>
      <c r="J4188">
        <f>LEN(Table13[[#This Row],[REFERENCE_DESCR1]])</f>
        <v>6</v>
      </c>
    </row>
    <row r="4189" spans="1:10" hidden="1">
      <c r="A4189" t="s">
        <v>2925</v>
      </c>
      <c r="B4189" t="s">
        <v>8701</v>
      </c>
      <c r="C4189" t="s">
        <v>8702</v>
      </c>
      <c r="J4189">
        <f>LEN(Table13[[#This Row],[REFERENCE_DESCR1]])</f>
        <v>12</v>
      </c>
    </row>
    <row r="4190" spans="1:10" hidden="1">
      <c r="A4190" t="s">
        <v>2925</v>
      </c>
      <c r="B4190" t="s">
        <v>8703</v>
      </c>
      <c r="C4190" t="s">
        <v>8704</v>
      </c>
      <c r="J4190">
        <f>LEN(Table13[[#This Row],[REFERENCE_DESCR1]])</f>
        <v>11</v>
      </c>
    </row>
    <row r="4191" spans="1:10" hidden="1">
      <c r="A4191" t="s">
        <v>2925</v>
      </c>
      <c r="B4191" t="s">
        <v>8705</v>
      </c>
      <c r="C4191" t="s">
        <v>8706</v>
      </c>
      <c r="J4191">
        <f>LEN(Table13[[#This Row],[REFERENCE_DESCR1]])</f>
        <v>9</v>
      </c>
    </row>
    <row r="4192" spans="1:10" hidden="1">
      <c r="A4192" t="s">
        <v>2925</v>
      </c>
      <c r="B4192" t="s">
        <v>8707</v>
      </c>
      <c r="C4192" t="s">
        <v>8708</v>
      </c>
      <c r="J4192">
        <f>LEN(Table13[[#This Row],[REFERENCE_DESCR1]])</f>
        <v>6</v>
      </c>
    </row>
    <row r="4193" spans="1:10" hidden="1">
      <c r="A4193" t="s">
        <v>2925</v>
      </c>
      <c r="B4193" t="s">
        <v>8709</v>
      </c>
      <c r="C4193" t="s">
        <v>8710</v>
      </c>
      <c r="J4193">
        <f>LEN(Table13[[#This Row],[REFERENCE_DESCR1]])</f>
        <v>9</v>
      </c>
    </row>
    <row r="4194" spans="1:10" hidden="1">
      <c r="A4194" t="s">
        <v>2925</v>
      </c>
      <c r="B4194" t="s">
        <v>8711</v>
      </c>
      <c r="C4194" t="s">
        <v>8712</v>
      </c>
      <c r="J4194">
        <f>LEN(Table13[[#This Row],[REFERENCE_DESCR1]])</f>
        <v>35</v>
      </c>
    </row>
    <row r="4195" spans="1:10" hidden="1">
      <c r="A4195" t="s">
        <v>2925</v>
      </c>
      <c r="B4195" t="s">
        <v>8713</v>
      </c>
      <c r="C4195" t="s">
        <v>8714</v>
      </c>
      <c r="J4195">
        <f>LEN(Table13[[#This Row],[REFERENCE_DESCR1]])</f>
        <v>7</v>
      </c>
    </row>
    <row r="4196" spans="1:10" hidden="1">
      <c r="A4196" t="s">
        <v>2925</v>
      </c>
      <c r="B4196" t="s">
        <v>8715</v>
      </c>
      <c r="C4196" t="s">
        <v>8716</v>
      </c>
      <c r="J4196">
        <f>LEN(Table13[[#This Row],[REFERENCE_DESCR1]])</f>
        <v>9</v>
      </c>
    </row>
    <row r="4197" spans="1:10" hidden="1">
      <c r="A4197" t="s">
        <v>2925</v>
      </c>
      <c r="B4197" t="s">
        <v>8717</v>
      </c>
      <c r="C4197" t="s">
        <v>8718</v>
      </c>
      <c r="J4197">
        <f>LEN(Table13[[#This Row],[REFERENCE_DESCR1]])</f>
        <v>7</v>
      </c>
    </row>
    <row r="4198" spans="1:10" hidden="1">
      <c r="A4198" t="s">
        <v>2925</v>
      </c>
      <c r="B4198" t="s">
        <v>8719</v>
      </c>
      <c r="C4198" t="s">
        <v>8720</v>
      </c>
      <c r="J4198">
        <f>LEN(Table13[[#This Row],[REFERENCE_DESCR1]])</f>
        <v>9</v>
      </c>
    </row>
    <row r="4199" spans="1:10" hidden="1">
      <c r="A4199" t="s">
        <v>2925</v>
      </c>
      <c r="B4199" t="s">
        <v>8721</v>
      </c>
      <c r="C4199" t="s">
        <v>8722</v>
      </c>
      <c r="J4199">
        <f>LEN(Table13[[#This Row],[REFERENCE_DESCR1]])</f>
        <v>14</v>
      </c>
    </row>
    <row r="4200" spans="1:10" hidden="1">
      <c r="A4200" t="s">
        <v>2925</v>
      </c>
      <c r="B4200" t="s">
        <v>8723</v>
      </c>
      <c r="C4200" t="s">
        <v>8724</v>
      </c>
      <c r="J4200">
        <f>LEN(Table13[[#This Row],[REFERENCE_DESCR1]])</f>
        <v>12</v>
      </c>
    </row>
    <row r="4201" spans="1:10" hidden="1">
      <c r="A4201" t="s">
        <v>2925</v>
      </c>
      <c r="B4201" t="s">
        <v>8725</v>
      </c>
      <c r="C4201" t="s">
        <v>8726</v>
      </c>
      <c r="J4201">
        <f>LEN(Table13[[#This Row],[REFERENCE_DESCR1]])</f>
        <v>8</v>
      </c>
    </row>
    <row r="4202" spans="1:10" hidden="1">
      <c r="A4202" t="s">
        <v>2925</v>
      </c>
      <c r="B4202" t="s">
        <v>8727</v>
      </c>
      <c r="C4202" t="s">
        <v>8728</v>
      </c>
      <c r="J4202">
        <f>LEN(Table13[[#This Row],[REFERENCE_DESCR1]])</f>
        <v>8</v>
      </c>
    </row>
    <row r="4203" spans="1:10" hidden="1">
      <c r="A4203" t="s">
        <v>2925</v>
      </c>
      <c r="B4203" t="s">
        <v>8729</v>
      </c>
      <c r="C4203" t="s">
        <v>8730</v>
      </c>
      <c r="J4203">
        <f>LEN(Table13[[#This Row],[REFERENCE_DESCR1]])</f>
        <v>20</v>
      </c>
    </row>
    <row r="4204" spans="1:10" hidden="1">
      <c r="A4204" t="s">
        <v>2925</v>
      </c>
      <c r="B4204" t="s">
        <v>8731</v>
      </c>
      <c r="C4204" t="s">
        <v>8732</v>
      </c>
      <c r="J4204">
        <f>LEN(Table13[[#This Row],[REFERENCE_DESCR1]])</f>
        <v>12</v>
      </c>
    </row>
    <row r="4205" spans="1:10" hidden="1">
      <c r="A4205" t="s">
        <v>2925</v>
      </c>
      <c r="B4205" t="s">
        <v>8733</v>
      </c>
      <c r="C4205" t="s">
        <v>8734</v>
      </c>
      <c r="J4205">
        <f>LEN(Table13[[#This Row],[REFERENCE_DESCR1]])</f>
        <v>13</v>
      </c>
    </row>
    <row r="4206" spans="1:10" hidden="1">
      <c r="A4206" t="s">
        <v>2925</v>
      </c>
      <c r="B4206" t="s">
        <v>8735</v>
      </c>
      <c r="C4206" t="s">
        <v>8736</v>
      </c>
      <c r="J4206">
        <f>LEN(Table13[[#This Row],[REFERENCE_DESCR1]])</f>
        <v>8</v>
      </c>
    </row>
    <row r="4207" spans="1:10" hidden="1">
      <c r="A4207" t="s">
        <v>2925</v>
      </c>
      <c r="B4207" t="s">
        <v>8737</v>
      </c>
      <c r="C4207" t="s">
        <v>8738</v>
      </c>
      <c r="J4207">
        <f>LEN(Table13[[#This Row],[REFERENCE_DESCR1]])</f>
        <v>8</v>
      </c>
    </row>
    <row r="4208" spans="1:10" hidden="1">
      <c r="A4208" t="s">
        <v>2925</v>
      </c>
      <c r="B4208" t="s">
        <v>8739</v>
      </c>
      <c r="C4208" t="s">
        <v>8740</v>
      </c>
      <c r="J4208">
        <f>LEN(Table13[[#This Row],[REFERENCE_DESCR1]])</f>
        <v>9</v>
      </c>
    </row>
    <row r="4209" spans="1:10" hidden="1">
      <c r="A4209" t="s">
        <v>2925</v>
      </c>
      <c r="B4209" t="s">
        <v>8741</v>
      </c>
      <c r="C4209" t="s">
        <v>8742</v>
      </c>
      <c r="J4209">
        <f>LEN(Table13[[#This Row],[REFERENCE_DESCR1]])</f>
        <v>7</v>
      </c>
    </row>
    <row r="4210" spans="1:10" hidden="1">
      <c r="A4210" t="s">
        <v>2925</v>
      </c>
      <c r="B4210" t="s">
        <v>8743</v>
      </c>
      <c r="C4210" t="s">
        <v>8744</v>
      </c>
      <c r="J4210">
        <f>LEN(Table13[[#This Row],[REFERENCE_DESCR1]])</f>
        <v>9</v>
      </c>
    </row>
    <row r="4211" spans="1:10" hidden="1">
      <c r="A4211" t="s">
        <v>2925</v>
      </c>
      <c r="B4211" t="s">
        <v>8745</v>
      </c>
      <c r="C4211" t="s">
        <v>8746</v>
      </c>
      <c r="J4211">
        <f>LEN(Table13[[#This Row],[REFERENCE_DESCR1]])</f>
        <v>11</v>
      </c>
    </row>
    <row r="4212" spans="1:10" hidden="1">
      <c r="A4212" t="s">
        <v>2925</v>
      </c>
      <c r="B4212" t="s">
        <v>8747</v>
      </c>
      <c r="C4212" t="s">
        <v>8748</v>
      </c>
      <c r="J4212">
        <f>LEN(Table13[[#This Row],[REFERENCE_DESCR1]])</f>
        <v>8</v>
      </c>
    </row>
    <row r="4213" spans="1:10" hidden="1">
      <c r="A4213" t="s">
        <v>2925</v>
      </c>
      <c r="B4213" t="s">
        <v>8749</v>
      </c>
      <c r="C4213" t="s">
        <v>8750</v>
      </c>
      <c r="J4213">
        <f>LEN(Table13[[#This Row],[REFERENCE_DESCR1]])</f>
        <v>20</v>
      </c>
    </row>
    <row r="4214" spans="1:10" hidden="1">
      <c r="A4214" t="s">
        <v>2925</v>
      </c>
      <c r="B4214" t="s">
        <v>8751</v>
      </c>
      <c r="C4214" t="s">
        <v>8752</v>
      </c>
      <c r="J4214">
        <f>LEN(Table13[[#This Row],[REFERENCE_DESCR1]])</f>
        <v>5</v>
      </c>
    </row>
    <row r="4215" spans="1:10" hidden="1">
      <c r="A4215" t="s">
        <v>2925</v>
      </c>
      <c r="B4215" t="s">
        <v>8753</v>
      </c>
      <c r="C4215" t="s">
        <v>8754</v>
      </c>
      <c r="J4215">
        <f>LEN(Table13[[#This Row],[REFERENCE_DESCR1]])</f>
        <v>7</v>
      </c>
    </row>
    <row r="4216" spans="1:10" hidden="1">
      <c r="A4216" t="s">
        <v>2925</v>
      </c>
      <c r="B4216" t="s">
        <v>8755</v>
      </c>
      <c r="C4216" t="s">
        <v>8756</v>
      </c>
      <c r="J4216">
        <f>LEN(Table13[[#This Row],[REFERENCE_DESCR1]])</f>
        <v>9</v>
      </c>
    </row>
    <row r="4217" spans="1:10" hidden="1">
      <c r="A4217" t="s">
        <v>2925</v>
      </c>
      <c r="B4217" t="s">
        <v>8757</v>
      </c>
      <c r="C4217" t="s">
        <v>8758</v>
      </c>
      <c r="J4217">
        <f>LEN(Table13[[#This Row],[REFERENCE_DESCR1]])</f>
        <v>21</v>
      </c>
    </row>
    <row r="4218" spans="1:10" hidden="1">
      <c r="A4218" t="s">
        <v>2925</v>
      </c>
      <c r="B4218" t="s">
        <v>8759</v>
      </c>
      <c r="C4218" t="s">
        <v>8760</v>
      </c>
      <c r="J4218">
        <f>LEN(Table13[[#This Row],[REFERENCE_DESCR1]])</f>
        <v>11</v>
      </c>
    </row>
    <row r="4219" spans="1:10" hidden="1">
      <c r="A4219" t="s">
        <v>2925</v>
      </c>
      <c r="B4219" t="s">
        <v>8761</v>
      </c>
      <c r="C4219" t="s">
        <v>8762</v>
      </c>
      <c r="J4219">
        <f>LEN(Table13[[#This Row],[REFERENCE_DESCR1]])</f>
        <v>23</v>
      </c>
    </row>
    <row r="4220" spans="1:10" hidden="1">
      <c r="A4220" t="s">
        <v>2925</v>
      </c>
      <c r="B4220" t="s">
        <v>8763</v>
      </c>
      <c r="C4220" t="s">
        <v>8764</v>
      </c>
      <c r="J4220">
        <f>LEN(Table13[[#This Row],[REFERENCE_DESCR1]])</f>
        <v>23</v>
      </c>
    </row>
    <row r="4221" spans="1:10" hidden="1">
      <c r="A4221" t="s">
        <v>2925</v>
      </c>
      <c r="B4221" t="s">
        <v>8765</v>
      </c>
      <c r="C4221" t="s">
        <v>8766</v>
      </c>
      <c r="J4221">
        <f>LEN(Table13[[#This Row],[REFERENCE_DESCR1]])</f>
        <v>22</v>
      </c>
    </row>
    <row r="4222" spans="1:10" hidden="1">
      <c r="A4222" t="s">
        <v>2925</v>
      </c>
      <c r="B4222" t="s">
        <v>8767</v>
      </c>
      <c r="C4222" t="s">
        <v>8768</v>
      </c>
      <c r="J4222">
        <f>LEN(Table13[[#This Row],[REFERENCE_DESCR1]])</f>
        <v>15</v>
      </c>
    </row>
    <row r="4223" spans="1:10" hidden="1">
      <c r="A4223" t="s">
        <v>2925</v>
      </c>
      <c r="B4223" t="s">
        <v>8769</v>
      </c>
      <c r="C4223" t="s">
        <v>8770</v>
      </c>
      <c r="J4223">
        <f>LEN(Table13[[#This Row],[REFERENCE_DESCR1]])</f>
        <v>27</v>
      </c>
    </row>
    <row r="4224" spans="1:10" hidden="1">
      <c r="A4224" t="s">
        <v>2925</v>
      </c>
      <c r="B4224" t="s">
        <v>8771</v>
      </c>
      <c r="C4224" t="s">
        <v>8772</v>
      </c>
      <c r="J4224">
        <f>LEN(Table13[[#This Row],[REFERENCE_DESCR1]])</f>
        <v>12</v>
      </c>
    </row>
    <row r="4225" spans="1:10" hidden="1">
      <c r="A4225" t="s">
        <v>2925</v>
      </c>
      <c r="B4225" t="s">
        <v>8773</v>
      </c>
      <c r="C4225" t="s">
        <v>8774</v>
      </c>
      <c r="J4225">
        <f>LEN(Table13[[#This Row],[REFERENCE_DESCR1]])</f>
        <v>27</v>
      </c>
    </row>
    <row r="4226" spans="1:10" hidden="1">
      <c r="A4226" t="s">
        <v>2925</v>
      </c>
      <c r="B4226" t="s">
        <v>8775</v>
      </c>
      <c r="C4226" t="s">
        <v>8776</v>
      </c>
      <c r="J4226">
        <f>LEN(Table13[[#This Row],[REFERENCE_DESCR1]])</f>
        <v>15</v>
      </c>
    </row>
    <row r="4227" spans="1:10" hidden="1">
      <c r="A4227" t="s">
        <v>2925</v>
      </c>
      <c r="B4227" t="s">
        <v>8777</v>
      </c>
      <c r="C4227" t="s">
        <v>8778</v>
      </c>
      <c r="J4227">
        <f>LEN(Table13[[#This Row],[REFERENCE_DESCR1]])</f>
        <v>17</v>
      </c>
    </row>
    <row r="4228" spans="1:10" hidden="1">
      <c r="A4228" t="s">
        <v>2925</v>
      </c>
      <c r="B4228" t="s">
        <v>8779</v>
      </c>
      <c r="C4228" t="s">
        <v>8780</v>
      </c>
      <c r="J4228">
        <f>LEN(Table13[[#This Row],[REFERENCE_DESCR1]])</f>
        <v>8</v>
      </c>
    </row>
    <row r="4229" spans="1:10" hidden="1">
      <c r="A4229" t="s">
        <v>2925</v>
      </c>
      <c r="B4229" t="s">
        <v>8781</v>
      </c>
      <c r="C4229" t="s">
        <v>8782</v>
      </c>
      <c r="J4229">
        <f>LEN(Table13[[#This Row],[REFERENCE_DESCR1]])</f>
        <v>9</v>
      </c>
    </row>
    <row r="4230" spans="1:10" hidden="1">
      <c r="A4230" t="s">
        <v>2925</v>
      </c>
      <c r="B4230" t="s">
        <v>8783</v>
      </c>
      <c r="C4230" t="s">
        <v>8784</v>
      </c>
      <c r="J4230">
        <f>LEN(Table13[[#This Row],[REFERENCE_DESCR1]])</f>
        <v>21</v>
      </c>
    </row>
    <row r="4231" spans="1:10" hidden="1">
      <c r="A4231" t="s">
        <v>2925</v>
      </c>
      <c r="B4231" t="s">
        <v>8785</v>
      </c>
      <c r="C4231" t="s">
        <v>8786</v>
      </c>
      <c r="J4231">
        <f>LEN(Table13[[#This Row],[REFERENCE_DESCR1]])</f>
        <v>8</v>
      </c>
    </row>
    <row r="4232" spans="1:10" hidden="1">
      <c r="A4232" t="s">
        <v>2925</v>
      </c>
      <c r="B4232" t="s">
        <v>8787</v>
      </c>
      <c r="C4232" t="s">
        <v>8788</v>
      </c>
      <c r="J4232">
        <f>LEN(Table13[[#This Row],[REFERENCE_DESCR1]])</f>
        <v>8</v>
      </c>
    </row>
    <row r="4233" spans="1:10" hidden="1">
      <c r="A4233" t="s">
        <v>2925</v>
      </c>
      <c r="B4233" t="s">
        <v>8789</v>
      </c>
      <c r="C4233" t="s">
        <v>8790</v>
      </c>
      <c r="J4233">
        <f>LEN(Table13[[#This Row],[REFERENCE_DESCR1]])</f>
        <v>8</v>
      </c>
    </row>
    <row r="4234" spans="1:10" hidden="1">
      <c r="A4234" t="s">
        <v>2925</v>
      </c>
      <c r="B4234" t="s">
        <v>8791</v>
      </c>
      <c r="C4234" t="s">
        <v>8792</v>
      </c>
      <c r="J4234">
        <f>LEN(Table13[[#This Row],[REFERENCE_DESCR1]])</f>
        <v>11</v>
      </c>
    </row>
    <row r="4235" spans="1:10" hidden="1">
      <c r="A4235" t="s">
        <v>2925</v>
      </c>
      <c r="B4235" t="s">
        <v>8793</v>
      </c>
      <c r="C4235" t="s">
        <v>8794</v>
      </c>
      <c r="J4235">
        <f>LEN(Table13[[#This Row],[REFERENCE_DESCR1]])</f>
        <v>8</v>
      </c>
    </row>
    <row r="4236" spans="1:10" hidden="1">
      <c r="A4236" t="s">
        <v>2925</v>
      </c>
      <c r="B4236" t="s">
        <v>8795</v>
      </c>
      <c r="C4236" t="s">
        <v>8796</v>
      </c>
      <c r="J4236">
        <f>LEN(Table13[[#This Row],[REFERENCE_DESCR1]])</f>
        <v>8</v>
      </c>
    </row>
    <row r="4237" spans="1:10" hidden="1">
      <c r="A4237" t="s">
        <v>2925</v>
      </c>
      <c r="B4237" t="s">
        <v>8797</v>
      </c>
      <c r="C4237" t="s">
        <v>8798</v>
      </c>
      <c r="J4237">
        <f>LEN(Table13[[#This Row],[REFERENCE_DESCR1]])</f>
        <v>16</v>
      </c>
    </row>
    <row r="4238" spans="1:10" hidden="1">
      <c r="A4238" t="s">
        <v>2925</v>
      </c>
      <c r="B4238" t="s">
        <v>8799</v>
      </c>
      <c r="C4238" t="s">
        <v>8800</v>
      </c>
      <c r="J4238">
        <f>LEN(Table13[[#This Row],[REFERENCE_DESCR1]])</f>
        <v>20</v>
      </c>
    </row>
    <row r="4239" spans="1:10" hidden="1">
      <c r="A4239" t="s">
        <v>2925</v>
      </c>
      <c r="B4239" t="s">
        <v>8801</v>
      </c>
      <c r="C4239" t="s">
        <v>8802</v>
      </c>
      <c r="J4239">
        <f>LEN(Table13[[#This Row],[REFERENCE_DESCR1]])</f>
        <v>9</v>
      </c>
    </row>
    <row r="4240" spans="1:10" hidden="1">
      <c r="A4240" t="s">
        <v>2925</v>
      </c>
      <c r="B4240" t="s">
        <v>8803</v>
      </c>
      <c r="C4240" t="s">
        <v>8804</v>
      </c>
      <c r="J4240">
        <f>LEN(Table13[[#This Row],[REFERENCE_DESCR1]])</f>
        <v>10</v>
      </c>
    </row>
    <row r="4241" spans="1:10" hidden="1">
      <c r="A4241" t="s">
        <v>2925</v>
      </c>
      <c r="B4241" t="s">
        <v>8805</v>
      </c>
      <c r="C4241" t="s">
        <v>8806</v>
      </c>
      <c r="J4241">
        <f>LEN(Table13[[#This Row],[REFERENCE_DESCR1]])</f>
        <v>16</v>
      </c>
    </row>
    <row r="4242" spans="1:10" hidden="1">
      <c r="A4242" t="s">
        <v>2925</v>
      </c>
      <c r="B4242" t="s">
        <v>8807</v>
      </c>
      <c r="C4242" t="s">
        <v>8808</v>
      </c>
      <c r="J4242">
        <f>LEN(Table13[[#This Row],[REFERENCE_DESCR1]])</f>
        <v>6</v>
      </c>
    </row>
    <row r="4243" spans="1:10" hidden="1">
      <c r="A4243" t="s">
        <v>2925</v>
      </c>
      <c r="B4243" t="s">
        <v>8809</v>
      </c>
      <c r="C4243" t="s">
        <v>8810</v>
      </c>
      <c r="J4243">
        <f>LEN(Table13[[#This Row],[REFERENCE_DESCR1]])</f>
        <v>15</v>
      </c>
    </row>
    <row r="4244" spans="1:10" hidden="1">
      <c r="A4244" t="s">
        <v>2925</v>
      </c>
      <c r="B4244" t="s">
        <v>8811</v>
      </c>
      <c r="C4244" t="s">
        <v>8812</v>
      </c>
      <c r="J4244">
        <f>LEN(Table13[[#This Row],[REFERENCE_DESCR1]])</f>
        <v>11</v>
      </c>
    </row>
    <row r="4245" spans="1:10" hidden="1">
      <c r="A4245" t="s">
        <v>2925</v>
      </c>
      <c r="B4245" t="s">
        <v>8813</v>
      </c>
      <c r="C4245" t="s">
        <v>8814</v>
      </c>
      <c r="J4245">
        <f>LEN(Table13[[#This Row],[REFERENCE_DESCR1]])</f>
        <v>4</v>
      </c>
    </row>
    <row r="4246" spans="1:10" hidden="1">
      <c r="A4246" t="s">
        <v>2925</v>
      </c>
      <c r="B4246" t="s">
        <v>8815</v>
      </c>
      <c r="C4246" t="s">
        <v>8816</v>
      </c>
      <c r="J4246">
        <f>LEN(Table13[[#This Row],[REFERENCE_DESCR1]])</f>
        <v>8</v>
      </c>
    </row>
    <row r="4247" spans="1:10" hidden="1">
      <c r="A4247" t="s">
        <v>2925</v>
      </c>
      <c r="B4247" t="s">
        <v>8817</v>
      </c>
      <c r="C4247" t="s">
        <v>8818</v>
      </c>
      <c r="J4247">
        <f>LEN(Table13[[#This Row],[REFERENCE_DESCR1]])</f>
        <v>14</v>
      </c>
    </row>
    <row r="4248" spans="1:10" hidden="1">
      <c r="A4248" t="s">
        <v>2925</v>
      </c>
      <c r="B4248" t="s">
        <v>8819</v>
      </c>
      <c r="C4248" t="s">
        <v>8820</v>
      </c>
      <c r="J4248">
        <f>LEN(Table13[[#This Row],[REFERENCE_DESCR1]])</f>
        <v>11</v>
      </c>
    </row>
    <row r="4249" spans="1:10" hidden="1">
      <c r="A4249" t="s">
        <v>2925</v>
      </c>
      <c r="B4249" t="s">
        <v>8821</v>
      </c>
      <c r="C4249" t="s">
        <v>8822</v>
      </c>
      <c r="J4249">
        <f>LEN(Table13[[#This Row],[REFERENCE_DESCR1]])</f>
        <v>6</v>
      </c>
    </row>
    <row r="4250" spans="1:10" hidden="1">
      <c r="A4250" t="s">
        <v>2925</v>
      </c>
      <c r="B4250" t="s">
        <v>8823</v>
      </c>
      <c r="C4250" t="s">
        <v>8824</v>
      </c>
      <c r="J4250">
        <f>LEN(Table13[[#This Row],[REFERENCE_DESCR1]])</f>
        <v>19</v>
      </c>
    </row>
    <row r="4251" spans="1:10" hidden="1">
      <c r="A4251" t="s">
        <v>2925</v>
      </c>
      <c r="B4251" t="s">
        <v>8825</v>
      </c>
      <c r="C4251" t="s">
        <v>8826</v>
      </c>
      <c r="J4251">
        <f>LEN(Table13[[#This Row],[REFERENCE_DESCR1]])</f>
        <v>9</v>
      </c>
    </row>
    <row r="4252" spans="1:10" hidden="1">
      <c r="A4252" t="s">
        <v>2925</v>
      </c>
      <c r="B4252" t="s">
        <v>8827</v>
      </c>
      <c r="C4252" t="s">
        <v>8828</v>
      </c>
      <c r="J4252">
        <f>LEN(Table13[[#This Row],[REFERENCE_DESCR1]])</f>
        <v>21</v>
      </c>
    </row>
    <row r="4253" spans="1:10" hidden="1">
      <c r="A4253" t="s">
        <v>2925</v>
      </c>
      <c r="B4253" t="s">
        <v>8829</v>
      </c>
      <c r="C4253" t="s">
        <v>8830</v>
      </c>
      <c r="J4253">
        <f>LEN(Table13[[#This Row],[REFERENCE_DESCR1]])</f>
        <v>18</v>
      </c>
    </row>
    <row r="4254" spans="1:10" hidden="1">
      <c r="A4254" t="s">
        <v>2925</v>
      </c>
      <c r="B4254" t="s">
        <v>8831</v>
      </c>
      <c r="C4254" t="s">
        <v>8832</v>
      </c>
      <c r="J4254">
        <f>LEN(Table13[[#This Row],[REFERENCE_DESCR1]])</f>
        <v>10</v>
      </c>
    </row>
    <row r="4255" spans="1:10" hidden="1">
      <c r="A4255" t="s">
        <v>2925</v>
      </c>
      <c r="B4255" t="s">
        <v>8833</v>
      </c>
      <c r="C4255" t="s">
        <v>8834</v>
      </c>
      <c r="J4255">
        <f>LEN(Table13[[#This Row],[REFERENCE_DESCR1]])</f>
        <v>15</v>
      </c>
    </row>
    <row r="4256" spans="1:10" hidden="1">
      <c r="A4256" t="s">
        <v>2925</v>
      </c>
      <c r="B4256" t="s">
        <v>8835</v>
      </c>
      <c r="C4256" t="s">
        <v>8836</v>
      </c>
      <c r="J4256">
        <f>LEN(Table13[[#This Row],[REFERENCE_DESCR1]])</f>
        <v>27</v>
      </c>
    </row>
    <row r="4257" spans="1:10" hidden="1">
      <c r="A4257" t="s">
        <v>2925</v>
      </c>
      <c r="B4257" t="s">
        <v>8837</v>
      </c>
      <c r="C4257" t="s">
        <v>8838</v>
      </c>
      <c r="J4257">
        <f>LEN(Table13[[#This Row],[REFERENCE_DESCR1]])</f>
        <v>17</v>
      </c>
    </row>
    <row r="4258" spans="1:10" hidden="1">
      <c r="A4258" t="s">
        <v>2925</v>
      </c>
      <c r="B4258" t="s">
        <v>8839</v>
      </c>
      <c r="C4258" t="s">
        <v>8840</v>
      </c>
      <c r="J4258">
        <f>LEN(Table13[[#This Row],[REFERENCE_DESCR1]])</f>
        <v>15</v>
      </c>
    </row>
    <row r="4259" spans="1:10" hidden="1">
      <c r="A4259" t="s">
        <v>2925</v>
      </c>
      <c r="B4259" t="s">
        <v>8841</v>
      </c>
      <c r="C4259" t="s">
        <v>8842</v>
      </c>
      <c r="J4259">
        <f>LEN(Table13[[#This Row],[REFERENCE_DESCR1]])</f>
        <v>11</v>
      </c>
    </row>
    <row r="4260" spans="1:10" hidden="1">
      <c r="A4260" t="s">
        <v>2925</v>
      </c>
      <c r="B4260" t="s">
        <v>8843</v>
      </c>
      <c r="C4260" t="s">
        <v>8844</v>
      </c>
      <c r="J4260">
        <f>LEN(Table13[[#This Row],[REFERENCE_DESCR1]])</f>
        <v>31</v>
      </c>
    </row>
    <row r="4261" spans="1:10" hidden="1">
      <c r="A4261" t="s">
        <v>2925</v>
      </c>
      <c r="B4261" t="s">
        <v>8845</v>
      </c>
      <c r="C4261" t="s">
        <v>8846</v>
      </c>
      <c r="J4261">
        <f>LEN(Table13[[#This Row],[REFERENCE_DESCR1]])</f>
        <v>29</v>
      </c>
    </row>
    <row r="4262" spans="1:10" hidden="1">
      <c r="A4262" t="s">
        <v>2925</v>
      </c>
      <c r="B4262" t="s">
        <v>8847</v>
      </c>
      <c r="C4262" t="s">
        <v>8848</v>
      </c>
      <c r="J4262">
        <f>LEN(Table13[[#This Row],[REFERENCE_DESCR1]])</f>
        <v>40</v>
      </c>
    </row>
    <row r="4263" spans="1:10" hidden="1">
      <c r="A4263" t="s">
        <v>2925</v>
      </c>
      <c r="B4263" t="s">
        <v>8849</v>
      </c>
      <c r="C4263" t="s">
        <v>8850</v>
      </c>
      <c r="J4263">
        <f>LEN(Table13[[#This Row],[REFERENCE_DESCR1]])</f>
        <v>20</v>
      </c>
    </row>
    <row r="4264" spans="1:10" hidden="1">
      <c r="A4264" t="s">
        <v>2925</v>
      </c>
      <c r="B4264" t="s">
        <v>8851</v>
      </c>
      <c r="C4264" t="s">
        <v>8852</v>
      </c>
      <c r="J4264">
        <f>LEN(Table13[[#This Row],[REFERENCE_DESCR1]])</f>
        <v>12</v>
      </c>
    </row>
    <row r="4265" spans="1:10" hidden="1">
      <c r="A4265" t="s">
        <v>2925</v>
      </c>
      <c r="B4265" t="s">
        <v>8853</v>
      </c>
      <c r="C4265" t="s">
        <v>8854</v>
      </c>
      <c r="J4265">
        <f>LEN(Table13[[#This Row],[REFERENCE_DESCR1]])</f>
        <v>31</v>
      </c>
    </row>
    <row r="4266" spans="1:10" hidden="1">
      <c r="A4266" t="s">
        <v>2925</v>
      </c>
      <c r="B4266" t="s">
        <v>8855</v>
      </c>
      <c r="C4266" t="s">
        <v>8856</v>
      </c>
      <c r="J4266">
        <f>LEN(Table13[[#This Row],[REFERENCE_DESCR1]])</f>
        <v>16</v>
      </c>
    </row>
    <row r="4267" spans="1:10" hidden="1">
      <c r="A4267" t="s">
        <v>2925</v>
      </c>
      <c r="B4267" t="s">
        <v>8857</v>
      </c>
      <c r="C4267" t="s">
        <v>8858</v>
      </c>
      <c r="J4267">
        <f>LEN(Table13[[#This Row],[REFERENCE_DESCR1]])</f>
        <v>10</v>
      </c>
    </row>
    <row r="4268" spans="1:10" hidden="1">
      <c r="A4268" t="s">
        <v>2925</v>
      </c>
      <c r="B4268" t="s">
        <v>8859</v>
      </c>
      <c r="C4268" t="s">
        <v>8860</v>
      </c>
      <c r="J4268">
        <f>LEN(Table13[[#This Row],[REFERENCE_DESCR1]])</f>
        <v>20</v>
      </c>
    </row>
    <row r="4269" spans="1:10" hidden="1">
      <c r="A4269" t="s">
        <v>2925</v>
      </c>
      <c r="B4269" t="s">
        <v>8861</v>
      </c>
      <c r="C4269" t="s">
        <v>8862</v>
      </c>
      <c r="J4269">
        <f>LEN(Table13[[#This Row],[REFERENCE_DESCR1]])</f>
        <v>7</v>
      </c>
    </row>
    <row r="4270" spans="1:10" hidden="1">
      <c r="A4270" t="s">
        <v>2925</v>
      </c>
      <c r="B4270" t="s">
        <v>8863</v>
      </c>
      <c r="C4270" t="s">
        <v>8864</v>
      </c>
      <c r="J4270">
        <f>LEN(Table13[[#This Row],[REFERENCE_DESCR1]])</f>
        <v>6</v>
      </c>
    </row>
    <row r="4271" spans="1:10" hidden="1">
      <c r="A4271" t="s">
        <v>2925</v>
      </c>
      <c r="B4271" t="s">
        <v>8865</v>
      </c>
      <c r="C4271" t="s">
        <v>8866</v>
      </c>
      <c r="J4271">
        <f>LEN(Table13[[#This Row],[REFERENCE_DESCR1]])</f>
        <v>12</v>
      </c>
    </row>
    <row r="4272" spans="1:10" hidden="1">
      <c r="A4272" t="s">
        <v>2925</v>
      </c>
      <c r="B4272" t="s">
        <v>8867</v>
      </c>
      <c r="C4272" t="s">
        <v>8868</v>
      </c>
      <c r="J4272">
        <f>LEN(Table13[[#This Row],[REFERENCE_DESCR1]])</f>
        <v>8</v>
      </c>
    </row>
    <row r="4273" spans="1:10" hidden="1">
      <c r="A4273" t="s">
        <v>2925</v>
      </c>
      <c r="B4273" t="s">
        <v>8869</v>
      </c>
      <c r="C4273" t="s">
        <v>8870</v>
      </c>
      <c r="J4273">
        <f>LEN(Table13[[#This Row],[REFERENCE_DESCR1]])</f>
        <v>7</v>
      </c>
    </row>
    <row r="4274" spans="1:10" hidden="1">
      <c r="A4274" t="s">
        <v>2925</v>
      </c>
      <c r="B4274" t="s">
        <v>8871</v>
      </c>
      <c r="C4274" t="s">
        <v>8872</v>
      </c>
      <c r="J4274">
        <f>LEN(Table13[[#This Row],[REFERENCE_DESCR1]])</f>
        <v>6</v>
      </c>
    </row>
    <row r="4275" spans="1:10" hidden="1">
      <c r="A4275" t="s">
        <v>2925</v>
      </c>
      <c r="B4275" t="s">
        <v>8873</v>
      </c>
      <c r="C4275" t="s">
        <v>8874</v>
      </c>
      <c r="J4275">
        <f>LEN(Table13[[#This Row],[REFERENCE_DESCR1]])</f>
        <v>8</v>
      </c>
    </row>
    <row r="4276" spans="1:10" hidden="1">
      <c r="A4276" t="s">
        <v>2925</v>
      </c>
      <c r="B4276" t="s">
        <v>8875</v>
      </c>
      <c r="C4276" t="s">
        <v>8876</v>
      </c>
      <c r="J4276">
        <f>LEN(Table13[[#This Row],[REFERENCE_DESCR1]])</f>
        <v>14</v>
      </c>
    </row>
    <row r="4277" spans="1:10" hidden="1">
      <c r="A4277" t="s">
        <v>2925</v>
      </c>
      <c r="B4277" t="s">
        <v>8877</v>
      </c>
      <c r="C4277" t="s">
        <v>8878</v>
      </c>
      <c r="J4277">
        <f>LEN(Table13[[#This Row],[REFERENCE_DESCR1]])</f>
        <v>19</v>
      </c>
    </row>
    <row r="4278" spans="1:10" hidden="1">
      <c r="A4278" t="s">
        <v>2925</v>
      </c>
      <c r="B4278" t="s">
        <v>8879</v>
      </c>
      <c r="C4278" t="s">
        <v>8880</v>
      </c>
      <c r="J4278">
        <f>LEN(Table13[[#This Row],[REFERENCE_DESCR1]])</f>
        <v>11</v>
      </c>
    </row>
    <row r="4279" spans="1:10" hidden="1">
      <c r="A4279" t="s">
        <v>2925</v>
      </c>
      <c r="B4279" t="s">
        <v>8881</v>
      </c>
      <c r="C4279" t="s">
        <v>8882</v>
      </c>
      <c r="J4279">
        <f>LEN(Table13[[#This Row],[REFERENCE_DESCR1]])</f>
        <v>11</v>
      </c>
    </row>
    <row r="4280" spans="1:10" hidden="1">
      <c r="A4280" t="s">
        <v>2925</v>
      </c>
      <c r="B4280" t="s">
        <v>8883</v>
      </c>
      <c r="C4280" t="s">
        <v>8884</v>
      </c>
      <c r="J4280">
        <f>LEN(Table13[[#This Row],[REFERENCE_DESCR1]])</f>
        <v>19</v>
      </c>
    </row>
    <row r="4281" spans="1:10" hidden="1">
      <c r="A4281" t="s">
        <v>2925</v>
      </c>
      <c r="B4281" t="s">
        <v>8885</v>
      </c>
      <c r="C4281" t="s">
        <v>8886</v>
      </c>
      <c r="J4281">
        <f>LEN(Table13[[#This Row],[REFERENCE_DESCR1]])</f>
        <v>11</v>
      </c>
    </row>
    <row r="4282" spans="1:10" hidden="1">
      <c r="A4282" t="s">
        <v>2925</v>
      </c>
      <c r="B4282" t="s">
        <v>8887</v>
      </c>
      <c r="C4282" t="s">
        <v>8888</v>
      </c>
      <c r="J4282">
        <f>LEN(Table13[[#This Row],[REFERENCE_DESCR1]])</f>
        <v>8</v>
      </c>
    </row>
    <row r="4283" spans="1:10" hidden="1">
      <c r="A4283" t="s">
        <v>2925</v>
      </c>
      <c r="B4283" t="s">
        <v>8889</v>
      </c>
      <c r="C4283" t="s">
        <v>8890</v>
      </c>
      <c r="J4283">
        <f>LEN(Table13[[#This Row],[REFERENCE_DESCR1]])</f>
        <v>10</v>
      </c>
    </row>
    <row r="4284" spans="1:10" hidden="1">
      <c r="A4284" t="s">
        <v>2925</v>
      </c>
      <c r="B4284" t="s">
        <v>8891</v>
      </c>
      <c r="C4284" t="s">
        <v>8892</v>
      </c>
      <c r="J4284">
        <f>LEN(Table13[[#This Row],[REFERENCE_DESCR1]])</f>
        <v>9</v>
      </c>
    </row>
    <row r="4285" spans="1:10" hidden="1">
      <c r="A4285" t="s">
        <v>2925</v>
      </c>
      <c r="B4285" t="s">
        <v>8893</v>
      </c>
      <c r="C4285" t="s">
        <v>8894</v>
      </c>
      <c r="J4285">
        <f>LEN(Table13[[#This Row],[REFERENCE_DESCR1]])</f>
        <v>27</v>
      </c>
    </row>
    <row r="4286" spans="1:10" hidden="1">
      <c r="A4286" t="s">
        <v>2925</v>
      </c>
      <c r="B4286" t="s">
        <v>8895</v>
      </c>
      <c r="C4286" t="s">
        <v>8896</v>
      </c>
      <c r="J4286">
        <f>LEN(Table13[[#This Row],[REFERENCE_DESCR1]])</f>
        <v>26</v>
      </c>
    </row>
    <row r="4287" spans="1:10" hidden="1">
      <c r="A4287" t="s">
        <v>2925</v>
      </c>
      <c r="B4287" t="s">
        <v>8897</v>
      </c>
      <c r="C4287" t="s">
        <v>8898</v>
      </c>
      <c r="J4287">
        <f>LEN(Table13[[#This Row],[REFERENCE_DESCR1]])</f>
        <v>27</v>
      </c>
    </row>
    <row r="4288" spans="1:10" hidden="1">
      <c r="A4288" t="s">
        <v>2925</v>
      </c>
      <c r="B4288" t="s">
        <v>8899</v>
      </c>
      <c r="C4288" t="s">
        <v>8900</v>
      </c>
      <c r="J4288">
        <f>LEN(Table13[[#This Row],[REFERENCE_DESCR1]])</f>
        <v>31</v>
      </c>
    </row>
    <row r="4289" spans="1:10" hidden="1">
      <c r="A4289" t="s">
        <v>2925</v>
      </c>
      <c r="B4289" t="s">
        <v>8901</v>
      </c>
      <c r="C4289" t="s">
        <v>8902</v>
      </c>
      <c r="J4289">
        <f>LEN(Table13[[#This Row],[REFERENCE_DESCR1]])</f>
        <v>9</v>
      </c>
    </row>
    <row r="4290" spans="1:10" hidden="1">
      <c r="A4290" t="s">
        <v>2925</v>
      </c>
      <c r="B4290" t="s">
        <v>8903</v>
      </c>
      <c r="C4290" t="s">
        <v>8904</v>
      </c>
      <c r="J4290">
        <f>LEN(Table13[[#This Row],[REFERENCE_DESCR1]])</f>
        <v>8</v>
      </c>
    </row>
    <row r="4291" spans="1:10" hidden="1">
      <c r="A4291" t="s">
        <v>2925</v>
      </c>
      <c r="B4291" t="s">
        <v>8905</v>
      </c>
      <c r="C4291" t="s">
        <v>8906</v>
      </c>
      <c r="J4291">
        <f>LEN(Table13[[#This Row],[REFERENCE_DESCR1]])</f>
        <v>11</v>
      </c>
    </row>
    <row r="4292" spans="1:10" hidden="1">
      <c r="A4292" t="s">
        <v>2925</v>
      </c>
      <c r="B4292" t="s">
        <v>8907</v>
      </c>
      <c r="C4292" t="s">
        <v>8908</v>
      </c>
      <c r="J4292">
        <f>LEN(Table13[[#This Row],[REFERENCE_DESCR1]])</f>
        <v>8</v>
      </c>
    </row>
    <row r="4293" spans="1:10" hidden="1">
      <c r="A4293" t="s">
        <v>2925</v>
      </c>
      <c r="B4293" t="s">
        <v>8909</v>
      </c>
      <c r="C4293" t="s">
        <v>8910</v>
      </c>
      <c r="J4293">
        <f>LEN(Table13[[#This Row],[REFERENCE_DESCR1]])</f>
        <v>12</v>
      </c>
    </row>
    <row r="4294" spans="1:10" hidden="1">
      <c r="A4294" t="s">
        <v>2925</v>
      </c>
      <c r="B4294" t="s">
        <v>8911</v>
      </c>
      <c r="C4294" t="s">
        <v>8912</v>
      </c>
      <c r="J4294">
        <f>LEN(Table13[[#This Row],[REFERENCE_DESCR1]])</f>
        <v>32</v>
      </c>
    </row>
    <row r="4295" spans="1:10" hidden="1">
      <c r="A4295" t="s">
        <v>2925</v>
      </c>
      <c r="B4295" t="s">
        <v>8913</v>
      </c>
      <c r="C4295" t="s">
        <v>8914</v>
      </c>
      <c r="J4295">
        <f>LEN(Table13[[#This Row],[REFERENCE_DESCR1]])</f>
        <v>29</v>
      </c>
    </row>
    <row r="4296" spans="1:10" hidden="1">
      <c r="A4296" t="s">
        <v>2925</v>
      </c>
      <c r="B4296" t="s">
        <v>8915</v>
      </c>
      <c r="C4296" t="s">
        <v>8916</v>
      </c>
      <c r="J4296">
        <f>LEN(Table13[[#This Row],[REFERENCE_DESCR1]])</f>
        <v>33</v>
      </c>
    </row>
    <row r="4297" spans="1:10" hidden="1">
      <c r="A4297" t="s">
        <v>2925</v>
      </c>
      <c r="B4297" t="s">
        <v>8917</v>
      </c>
      <c r="C4297" t="s">
        <v>8918</v>
      </c>
      <c r="J4297">
        <f>LEN(Table13[[#This Row],[REFERENCE_DESCR1]])</f>
        <v>6</v>
      </c>
    </row>
    <row r="4298" spans="1:10" hidden="1">
      <c r="A4298" t="s">
        <v>2925</v>
      </c>
      <c r="B4298" t="s">
        <v>8919</v>
      </c>
      <c r="C4298" t="s">
        <v>8920</v>
      </c>
      <c r="J4298">
        <f>LEN(Table13[[#This Row],[REFERENCE_DESCR1]])</f>
        <v>9</v>
      </c>
    </row>
    <row r="4299" spans="1:10" hidden="1">
      <c r="A4299" t="s">
        <v>2925</v>
      </c>
      <c r="B4299" t="s">
        <v>8921</v>
      </c>
      <c r="C4299" t="s">
        <v>8922</v>
      </c>
      <c r="J4299">
        <f>LEN(Table13[[#This Row],[REFERENCE_DESCR1]])</f>
        <v>7</v>
      </c>
    </row>
    <row r="4300" spans="1:10" hidden="1">
      <c r="A4300" t="s">
        <v>2925</v>
      </c>
      <c r="B4300" t="s">
        <v>8923</v>
      </c>
      <c r="C4300" t="s">
        <v>8924</v>
      </c>
      <c r="J4300">
        <f>LEN(Table13[[#This Row],[REFERENCE_DESCR1]])</f>
        <v>12</v>
      </c>
    </row>
    <row r="4301" spans="1:10" hidden="1">
      <c r="A4301" t="s">
        <v>2925</v>
      </c>
      <c r="B4301" t="s">
        <v>8925</v>
      </c>
      <c r="C4301" t="s">
        <v>8926</v>
      </c>
      <c r="J4301">
        <f>LEN(Table13[[#This Row],[REFERENCE_DESCR1]])</f>
        <v>10</v>
      </c>
    </row>
    <row r="4302" spans="1:10" hidden="1">
      <c r="A4302" t="s">
        <v>2925</v>
      </c>
      <c r="B4302" t="s">
        <v>8927</v>
      </c>
      <c r="C4302" t="s">
        <v>8928</v>
      </c>
      <c r="J4302">
        <f>LEN(Table13[[#This Row],[REFERENCE_DESCR1]])</f>
        <v>7</v>
      </c>
    </row>
    <row r="4303" spans="1:10" hidden="1">
      <c r="A4303" t="s">
        <v>2925</v>
      </c>
      <c r="B4303" t="s">
        <v>8929</v>
      </c>
      <c r="C4303" t="s">
        <v>8930</v>
      </c>
      <c r="J4303">
        <f>LEN(Table13[[#This Row],[REFERENCE_DESCR1]])</f>
        <v>11</v>
      </c>
    </row>
    <row r="4304" spans="1:10" hidden="1">
      <c r="A4304" t="s">
        <v>2925</v>
      </c>
      <c r="B4304" t="s">
        <v>8931</v>
      </c>
      <c r="C4304" t="s">
        <v>8932</v>
      </c>
      <c r="J4304">
        <f>LEN(Table13[[#This Row],[REFERENCE_DESCR1]])</f>
        <v>13</v>
      </c>
    </row>
    <row r="4305" spans="1:10" hidden="1">
      <c r="A4305" t="s">
        <v>2925</v>
      </c>
      <c r="B4305" t="s">
        <v>8933</v>
      </c>
      <c r="C4305" t="s">
        <v>8934</v>
      </c>
      <c r="J4305">
        <f>LEN(Table13[[#This Row],[REFERENCE_DESCR1]])</f>
        <v>14</v>
      </c>
    </row>
    <row r="4306" spans="1:10" hidden="1">
      <c r="A4306" t="s">
        <v>2925</v>
      </c>
      <c r="B4306" t="s">
        <v>8935</v>
      </c>
      <c r="C4306" t="s">
        <v>8936</v>
      </c>
      <c r="J4306">
        <f>LEN(Table13[[#This Row],[REFERENCE_DESCR1]])</f>
        <v>13</v>
      </c>
    </row>
    <row r="4307" spans="1:10" hidden="1">
      <c r="A4307" t="s">
        <v>2925</v>
      </c>
      <c r="B4307" t="s">
        <v>8937</v>
      </c>
      <c r="C4307" t="s">
        <v>8938</v>
      </c>
      <c r="J4307">
        <f>LEN(Table13[[#This Row],[REFERENCE_DESCR1]])</f>
        <v>18</v>
      </c>
    </row>
    <row r="4308" spans="1:10" hidden="1">
      <c r="A4308" t="s">
        <v>2925</v>
      </c>
      <c r="B4308" t="s">
        <v>8939</v>
      </c>
      <c r="C4308" t="s">
        <v>8940</v>
      </c>
      <c r="J4308">
        <f>LEN(Table13[[#This Row],[REFERENCE_DESCR1]])</f>
        <v>13</v>
      </c>
    </row>
    <row r="4309" spans="1:10" hidden="1">
      <c r="A4309" t="s">
        <v>2925</v>
      </c>
      <c r="B4309" t="s">
        <v>8941</v>
      </c>
      <c r="C4309" t="s">
        <v>8942</v>
      </c>
      <c r="J4309">
        <f>LEN(Table13[[#This Row],[REFERENCE_DESCR1]])</f>
        <v>14</v>
      </c>
    </row>
    <row r="4310" spans="1:10" hidden="1">
      <c r="A4310" t="s">
        <v>2925</v>
      </c>
      <c r="B4310" t="s">
        <v>8943</v>
      </c>
      <c r="C4310" t="s">
        <v>8944</v>
      </c>
      <c r="J4310">
        <f>LEN(Table13[[#This Row],[REFERENCE_DESCR1]])</f>
        <v>12</v>
      </c>
    </row>
    <row r="4311" spans="1:10" hidden="1">
      <c r="A4311" t="s">
        <v>2925</v>
      </c>
      <c r="B4311" t="s">
        <v>8945</v>
      </c>
      <c r="C4311" t="s">
        <v>8946</v>
      </c>
      <c r="J4311">
        <f>LEN(Table13[[#This Row],[REFERENCE_DESCR1]])</f>
        <v>12</v>
      </c>
    </row>
    <row r="4312" spans="1:10" hidden="1">
      <c r="A4312" t="s">
        <v>2925</v>
      </c>
      <c r="B4312" t="s">
        <v>8947</v>
      </c>
      <c r="C4312" t="s">
        <v>8948</v>
      </c>
      <c r="J4312">
        <f>LEN(Table13[[#This Row],[REFERENCE_DESCR1]])</f>
        <v>24</v>
      </c>
    </row>
    <row r="4313" spans="1:10" hidden="1">
      <c r="A4313" t="s">
        <v>2925</v>
      </c>
      <c r="B4313" t="s">
        <v>2619</v>
      </c>
      <c r="C4313" t="s">
        <v>8949</v>
      </c>
      <c r="J4313">
        <f>LEN(Table13[[#This Row],[REFERENCE_DESCR1]])</f>
        <v>7</v>
      </c>
    </row>
    <row r="4314" spans="1:10" hidden="1">
      <c r="A4314" t="s">
        <v>2925</v>
      </c>
      <c r="B4314" t="s">
        <v>8950</v>
      </c>
      <c r="C4314" t="s">
        <v>8951</v>
      </c>
      <c r="J4314">
        <f>LEN(Table13[[#This Row],[REFERENCE_DESCR1]])</f>
        <v>12</v>
      </c>
    </row>
    <row r="4315" spans="1:10" hidden="1">
      <c r="A4315" t="s">
        <v>2925</v>
      </c>
      <c r="B4315" t="s">
        <v>8952</v>
      </c>
      <c r="C4315" t="s">
        <v>8953</v>
      </c>
      <c r="J4315">
        <f>LEN(Table13[[#This Row],[REFERENCE_DESCR1]])</f>
        <v>11</v>
      </c>
    </row>
    <row r="4316" spans="1:10" hidden="1">
      <c r="A4316" t="s">
        <v>2925</v>
      </c>
      <c r="B4316" t="s">
        <v>8954</v>
      </c>
      <c r="C4316" t="s">
        <v>8955</v>
      </c>
      <c r="J4316">
        <f>LEN(Table13[[#This Row],[REFERENCE_DESCR1]])</f>
        <v>10</v>
      </c>
    </row>
    <row r="4317" spans="1:10" hidden="1">
      <c r="A4317" t="s">
        <v>2925</v>
      </c>
      <c r="B4317" t="s">
        <v>8956</v>
      </c>
      <c r="C4317" t="s">
        <v>8957</v>
      </c>
      <c r="J4317">
        <f>LEN(Table13[[#This Row],[REFERENCE_DESCR1]])</f>
        <v>9</v>
      </c>
    </row>
    <row r="4318" spans="1:10" hidden="1">
      <c r="A4318" t="s">
        <v>2925</v>
      </c>
      <c r="B4318" t="s">
        <v>8958</v>
      </c>
      <c r="C4318" t="s">
        <v>8959</v>
      </c>
      <c r="J4318">
        <f>LEN(Table13[[#This Row],[REFERENCE_DESCR1]])</f>
        <v>11</v>
      </c>
    </row>
    <row r="4319" spans="1:10" hidden="1">
      <c r="A4319" t="s">
        <v>2925</v>
      </c>
      <c r="B4319" t="s">
        <v>8960</v>
      </c>
      <c r="C4319" t="s">
        <v>8961</v>
      </c>
      <c r="J4319">
        <f>LEN(Table13[[#This Row],[REFERENCE_DESCR1]])</f>
        <v>9</v>
      </c>
    </row>
    <row r="4320" spans="1:10" hidden="1">
      <c r="A4320" t="s">
        <v>2925</v>
      </c>
      <c r="B4320" t="s">
        <v>8962</v>
      </c>
      <c r="C4320" t="s">
        <v>8963</v>
      </c>
      <c r="J4320">
        <f>LEN(Table13[[#This Row],[REFERENCE_DESCR1]])</f>
        <v>6</v>
      </c>
    </row>
    <row r="4321" spans="1:10" hidden="1">
      <c r="A4321" t="s">
        <v>2925</v>
      </c>
      <c r="B4321" t="s">
        <v>8964</v>
      </c>
      <c r="C4321" t="s">
        <v>8965</v>
      </c>
      <c r="J4321">
        <f>LEN(Table13[[#This Row],[REFERENCE_DESCR1]])</f>
        <v>6</v>
      </c>
    </row>
    <row r="4322" spans="1:10" hidden="1">
      <c r="A4322" t="s">
        <v>2925</v>
      </c>
      <c r="B4322" t="s">
        <v>8966</v>
      </c>
      <c r="C4322" t="s">
        <v>8967</v>
      </c>
      <c r="J4322">
        <f>LEN(Table13[[#This Row],[REFERENCE_DESCR1]])</f>
        <v>6</v>
      </c>
    </row>
    <row r="4323" spans="1:10" hidden="1">
      <c r="A4323" t="s">
        <v>2925</v>
      </c>
      <c r="B4323" t="s">
        <v>8968</v>
      </c>
      <c r="C4323" t="s">
        <v>8969</v>
      </c>
      <c r="J4323">
        <f>LEN(Table13[[#This Row],[REFERENCE_DESCR1]])</f>
        <v>8</v>
      </c>
    </row>
    <row r="4324" spans="1:10" hidden="1">
      <c r="A4324" t="s">
        <v>2925</v>
      </c>
      <c r="B4324" t="s">
        <v>8970</v>
      </c>
      <c r="C4324" t="s">
        <v>8971</v>
      </c>
      <c r="J4324">
        <f>LEN(Table13[[#This Row],[REFERENCE_DESCR1]])</f>
        <v>20</v>
      </c>
    </row>
    <row r="4325" spans="1:10" hidden="1">
      <c r="A4325" t="s">
        <v>2925</v>
      </c>
      <c r="B4325" t="s">
        <v>8972</v>
      </c>
      <c r="C4325" t="s">
        <v>8973</v>
      </c>
      <c r="J4325">
        <f>LEN(Table13[[#This Row],[REFERENCE_DESCR1]])</f>
        <v>11</v>
      </c>
    </row>
    <row r="4326" spans="1:10" hidden="1">
      <c r="A4326" t="s">
        <v>2925</v>
      </c>
      <c r="B4326" t="s">
        <v>8974</v>
      </c>
      <c r="C4326" t="s">
        <v>8975</v>
      </c>
      <c r="J4326">
        <f>LEN(Table13[[#This Row],[REFERENCE_DESCR1]])</f>
        <v>14</v>
      </c>
    </row>
    <row r="4327" spans="1:10" hidden="1">
      <c r="A4327" t="s">
        <v>2925</v>
      </c>
      <c r="B4327" t="s">
        <v>8976</v>
      </c>
      <c r="C4327" t="s">
        <v>8977</v>
      </c>
      <c r="J4327">
        <f>LEN(Table13[[#This Row],[REFERENCE_DESCR1]])</f>
        <v>7</v>
      </c>
    </row>
    <row r="4328" spans="1:10" hidden="1">
      <c r="A4328" t="s">
        <v>2925</v>
      </c>
      <c r="B4328" t="s">
        <v>8978</v>
      </c>
      <c r="C4328" t="s">
        <v>8979</v>
      </c>
      <c r="J4328">
        <f>LEN(Table13[[#This Row],[REFERENCE_DESCR1]])</f>
        <v>10</v>
      </c>
    </row>
    <row r="4329" spans="1:10" hidden="1">
      <c r="A4329" t="s">
        <v>2925</v>
      </c>
      <c r="B4329" t="s">
        <v>8980</v>
      </c>
      <c r="C4329" t="s">
        <v>8981</v>
      </c>
      <c r="J4329">
        <f>LEN(Table13[[#This Row],[REFERENCE_DESCR1]])</f>
        <v>13</v>
      </c>
    </row>
    <row r="4330" spans="1:10" hidden="1">
      <c r="A4330" t="s">
        <v>2925</v>
      </c>
      <c r="B4330" t="s">
        <v>8982</v>
      </c>
      <c r="C4330" t="s">
        <v>8983</v>
      </c>
      <c r="J4330">
        <f>LEN(Table13[[#This Row],[REFERENCE_DESCR1]])</f>
        <v>10</v>
      </c>
    </row>
    <row r="4331" spans="1:10" hidden="1">
      <c r="A4331" t="s">
        <v>2925</v>
      </c>
      <c r="B4331" t="s">
        <v>8984</v>
      </c>
      <c r="C4331" t="s">
        <v>8985</v>
      </c>
      <c r="J4331">
        <f>LEN(Table13[[#This Row],[REFERENCE_DESCR1]])</f>
        <v>14</v>
      </c>
    </row>
    <row r="4332" spans="1:10" hidden="1">
      <c r="A4332" t="s">
        <v>2925</v>
      </c>
      <c r="B4332" t="s">
        <v>8986</v>
      </c>
      <c r="C4332" t="s">
        <v>8987</v>
      </c>
      <c r="J4332">
        <f>LEN(Table13[[#This Row],[REFERENCE_DESCR1]])</f>
        <v>8</v>
      </c>
    </row>
    <row r="4333" spans="1:10" hidden="1">
      <c r="A4333" t="s">
        <v>2925</v>
      </c>
      <c r="B4333" t="s">
        <v>8988</v>
      </c>
      <c r="C4333" t="s">
        <v>8989</v>
      </c>
      <c r="J4333">
        <f>LEN(Table13[[#This Row],[REFERENCE_DESCR1]])</f>
        <v>20</v>
      </c>
    </row>
    <row r="4334" spans="1:10" hidden="1">
      <c r="A4334" t="s">
        <v>2925</v>
      </c>
      <c r="B4334" t="s">
        <v>8990</v>
      </c>
      <c r="C4334" t="s">
        <v>8989</v>
      </c>
      <c r="J4334">
        <f>LEN(Table13[[#This Row],[REFERENCE_DESCR1]])</f>
        <v>20</v>
      </c>
    </row>
    <row r="4335" spans="1:10" hidden="1">
      <c r="A4335" t="s">
        <v>2925</v>
      </c>
      <c r="B4335" t="s">
        <v>8991</v>
      </c>
      <c r="C4335" t="s">
        <v>8992</v>
      </c>
      <c r="J4335">
        <f>LEN(Table13[[#This Row],[REFERENCE_DESCR1]])</f>
        <v>17</v>
      </c>
    </row>
    <row r="4336" spans="1:10" hidden="1">
      <c r="A4336" t="s">
        <v>2925</v>
      </c>
      <c r="B4336" t="s">
        <v>8993</v>
      </c>
      <c r="C4336" t="s">
        <v>8994</v>
      </c>
      <c r="J4336">
        <f>LEN(Table13[[#This Row],[REFERENCE_DESCR1]])</f>
        <v>16</v>
      </c>
    </row>
    <row r="4337" spans="1:10" hidden="1">
      <c r="A4337" t="s">
        <v>2925</v>
      </c>
      <c r="B4337" t="s">
        <v>8995</v>
      </c>
      <c r="C4337" t="s">
        <v>8996</v>
      </c>
      <c r="J4337">
        <f>LEN(Table13[[#This Row],[REFERENCE_DESCR1]])</f>
        <v>8</v>
      </c>
    </row>
    <row r="4338" spans="1:10" hidden="1">
      <c r="A4338" t="s">
        <v>2925</v>
      </c>
      <c r="B4338" t="s">
        <v>8997</v>
      </c>
      <c r="C4338" t="s">
        <v>8998</v>
      </c>
      <c r="J4338">
        <f>LEN(Table13[[#This Row],[REFERENCE_DESCR1]])</f>
        <v>13</v>
      </c>
    </row>
    <row r="4339" spans="1:10" hidden="1">
      <c r="A4339" t="s">
        <v>2925</v>
      </c>
      <c r="B4339" t="s">
        <v>8999</v>
      </c>
      <c r="C4339" t="s">
        <v>9000</v>
      </c>
      <c r="J4339">
        <f>LEN(Table13[[#This Row],[REFERENCE_DESCR1]])</f>
        <v>8</v>
      </c>
    </row>
    <row r="4340" spans="1:10" hidden="1">
      <c r="A4340" t="s">
        <v>2925</v>
      </c>
      <c r="B4340" t="s">
        <v>9001</v>
      </c>
      <c r="C4340" t="s">
        <v>9002</v>
      </c>
      <c r="J4340">
        <f>LEN(Table13[[#This Row],[REFERENCE_DESCR1]])</f>
        <v>12</v>
      </c>
    </row>
    <row r="4341" spans="1:10" hidden="1">
      <c r="A4341" t="s">
        <v>2925</v>
      </c>
      <c r="B4341" t="s">
        <v>9003</v>
      </c>
      <c r="C4341" t="s">
        <v>9004</v>
      </c>
      <c r="J4341">
        <f>LEN(Table13[[#This Row],[REFERENCE_DESCR1]])</f>
        <v>14</v>
      </c>
    </row>
    <row r="4342" spans="1:10" hidden="1">
      <c r="A4342" t="s">
        <v>2925</v>
      </c>
      <c r="B4342" t="s">
        <v>9005</v>
      </c>
      <c r="C4342" t="s">
        <v>9006</v>
      </c>
      <c r="J4342">
        <f>LEN(Table13[[#This Row],[REFERENCE_DESCR1]])</f>
        <v>18</v>
      </c>
    </row>
    <row r="4343" spans="1:10" hidden="1">
      <c r="A4343" t="s">
        <v>2925</v>
      </c>
      <c r="B4343" t="s">
        <v>9007</v>
      </c>
      <c r="C4343" t="s">
        <v>9008</v>
      </c>
      <c r="J4343">
        <f>LEN(Table13[[#This Row],[REFERENCE_DESCR1]])</f>
        <v>6</v>
      </c>
    </row>
    <row r="4344" spans="1:10" hidden="1">
      <c r="A4344" t="s">
        <v>2925</v>
      </c>
      <c r="B4344" t="s">
        <v>9009</v>
      </c>
      <c r="C4344" t="s">
        <v>9010</v>
      </c>
      <c r="J4344">
        <f>LEN(Table13[[#This Row],[REFERENCE_DESCR1]])</f>
        <v>15</v>
      </c>
    </row>
    <row r="4345" spans="1:10" hidden="1">
      <c r="A4345" t="s">
        <v>2925</v>
      </c>
      <c r="B4345" t="s">
        <v>9011</v>
      </c>
      <c r="C4345" t="s">
        <v>9012</v>
      </c>
      <c r="J4345">
        <f>LEN(Table13[[#This Row],[REFERENCE_DESCR1]])</f>
        <v>8</v>
      </c>
    </row>
    <row r="4346" spans="1:10" hidden="1">
      <c r="A4346" t="s">
        <v>2925</v>
      </c>
      <c r="B4346" t="s">
        <v>9013</v>
      </c>
      <c r="C4346" t="s">
        <v>9014</v>
      </c>
      <c r="J4346">
        <f>LEN(Table13[[#This Row],[REFERENCE_DESCR1]])</f>
        <v>11</v>
      </c>
    </row>
    <row r="4347" spans="1:10" hidden="1">
      <c r="A4347" t="s">
        <v>2925</v>
      </c>
      <c r="B4347" t="s">
        <v>9015</v>
      </c>
      <c r="C4347" t="s">
        <v>9016</v>
      </c>
      <c r="J4347">
        <f>LEN(Table13[[#This Row],[REFERENCE_DESCR1]])</f>
        <v>21</v>
      </c>
    </row>
    <row r="4348" spans="1:10" hidden="1">
      <c r="A4348" t="s">
        <v>2925</v>
      </c>
      <c r="B4348" t="s">
        <v>9017</v>
      </c>
      <c r="C4348" t="s">
        <v>9018</v>
      </c>
      <c r="J4348">
        <f>LEN(Table13[[#This Row],[REFERENCE_DESCR1]])</f>
        <v>11</v>
      </c>
    </row>
    <row r="4349" spans="1:10" hidden="1">
      <c r="A4349" t="s">
        <v>2925</v>
      </c>
      <c r="B4349" t="s">
        <v>9019</v>
      </c>
      <c r="C4349" t="s">
        <v>9020</v>
      </c>
      <c r="J4349">
        <f>LEN(Table13[[#This Row],[REFERENCE_DESCR1]])</f>
        <v>23</v>
      </c>
    </row>
    <row r="4350" spans="1:10" hidden="1">
      <c r="A4350" t="s">
        <v>2925</v>
      </c>
      <c r="B4350" t="s">
        <v>9021</v>
      </c>
      <c r="C4350" t="s">
        <v>9022</v>
      </c>
      <c r="J4350">
        <f>LEN(Table13[[#This Row],[REFERENCE_DESCR1]])</f>
        <v>8</v>
      </c>
    </row>
    <row r="4351" spans="1:10" hidden="1">
      <c r="A4351" t="s">
        <v>2925</v>
      </c>
      <c r="B4351" t="s">
        <v>9023</v>
      </c>
      <c r="C4351" t="s">
        <v>9024</v>
      </c>
      <c r="J4351">
        <f>LEN(Table13[[#This Row],[REFERENCE_DESCR1]])</f>
        <v>11</v>
      </c>
    </row>
    <row r="4352" spans="1:10" hidden="1">
      <c r="A4352" t="s">
        <v>2925</v>
      </c>
      <c r="B4352" t="s">
        <v>9025</v>
      </c>
      <c r="C4352" t="s">
        <v>9026</v>
      </c>
      <c r="J4352">
        <f>LEN(Table13[[#This Row],[REFERENCE_DESCR1]])</f>
        <v>11</v>
      </c>
    </row>
    <row r="4353" spans="1:10" hidden="1">
      <c r="A4353" t="s">
        <v>2925</v>
      </c>
      <c r="B4353" t="s">
        <v>9027</v>
      </c>
      <c r="C4353" t="s">
        <v>9028</v>
      </c>
      <c r="J4353">
        <f>LEN(Table13[[#This Row],[REFERENCE_DESCR1]])</f>
        <v>14</v>
      </c>
    </row>
    <row r="4354" spans="1:10" hidden="1">
      <c r="A4354" t="s">
        <v>2925</v>
      </c>
      <c r="B4354" t="s">
        <v>9029</v>
      </c>
      <c r="C4354" t="s">
        <v>9030</v>
      </c>
      <c r="J4354">
        <f>LEN(Table13[[#This Row],[REFERENCE_DESCR1]])</f>
        <v>10</v>
      </c>
    </row>
    <row r="4355" spans="1:10" hidden="1">
      <c r="A4355" t="s">
        <v>2925</v>
      </c>
      <c r="B4355" t="s">
        <v>9031</v>
      </c>
      <c r="C4355" t="s">
        <v>9032</v>
      </c>
      <c r="J4355">
        <f>LEN(Table13[[#This Row],[REFERENCE_DESCR1]])</f>
        <v>10</v>
      </c>
    </row>
    <row r="4356" spans="1:10" hidden="1">
      <c r="A4356" t="s">
        <v>2925</v>
      </c>
      <c r="B4356" t="s">
        <v>9033</v>
      </c>
      <c r="C4356" t="s">
        <v>9034</v>
      </c>
      <c r="J4356">
        <f>LEN(Table13[[#This Row],[REFERENCE_DESCR1]])</f>
        <v>10</v>
      </c>
    </row>
    <row r="4357" spans="1:10" hidden="1">
      <c r="A4357" t="s">
        <v>2925</v>
      </c>
      <c r="B4357" t="s">
        <v>9035</v>
      </c>
      <c r="C4357" t="s">
        <v>9036</v>
      </c>
      <c r="J4357">
        <f>LEN(Table13[[#This Row],[REFERENCE_DESCR1]])</f>
        <v>39</v>
      </c>
    </row>
    <row r="4358" spans="1:10" hidden="1">
      <c r="A4358" t="s">
        <v>2925</v>
      </c>
      <c r="B4358" t="s">
        <v>9037</v>
      </c>
      <c r="C4358" t="s">
        <v>9038</v>
      </c>
      <c r="J4358">
        <f>LEN(Table13[[#This Row],[REFERENCE_DESCR1]])</f>
        <v>32</v>
      </c>
    </row>
    <row r="4359" spans="1:10" hidden="1">
      <c r="A4359" t="s">
        <v>2925</v>
      </c>
      <c r="B4359" t="s">
        <v>9039</v>
      </c>
      <c r="C4359" t="s">
        <v>9040</v>
      </c>
      <c r="J4359">
        <f>LEN(Table13[[#This Row],[REFERENCE_DESCR1]])</f>
        <v>32</v>
      </c>
    </row>
    <row r="4360" spans="1:10" hidden="1">
      <c r="A4360" t="s">
        <v>2925</v>
      </c>
      <c r="B4360" t="s">
        <v>9041</v>
      </c>
      <c r="C4360" t="s">
        <v>9042</v>
      </c>
      <c r="J4360">
        <f>LEN(Table13[[#This Row],[REFERENCE_DESCR1]])</f>
        <v>32</v>
      </c>
    </row>
    <row r="4361" spans="1:10" hidden="1">
      <c r="A4361" t="s">
        <v>2925</v>
      </c>
      <c r="B4361" t="s">
        <v>9043</v>
      </c>
      <c r="C4361" t="s">
        <v>9044</v>
      </c>
      <c r="J4361">
        <f>LEN(Table13[[#This Row],[REFERENCE_DESCR1]])</f>
        <v>39</v>
      </c>
    </row>
    <row r="4362" spans="1:10" hidden="1">
      <c r="A4362" t="s">
        <v>2925</v>
      </c>
      <c r="B4362" t="s">
        <v>9045</v>
      </c>
      <c r="C4362" t="s">
        <v>9046</v>
      </c>
      <c r="J4362">
        <f>LEN(Table13[[#This Row],[REFERENCE_DESCR1]])</f>
        <v>40</v>
      </c>
    </row>
    <row r="4363" spans="1:10" hidden="1">
      <c r="A4363" t="s">
        <v>2925</v>
      </c>
      <c r="B4363" t="s">
        <v>9047</v>
      </c>
      <c r="C4363" t="s">
        <v>9048</v>
      </c>
      <c r="J4363">
        <f>LEN(Table13[[#This Row],[REFERENCE_DESCR1]])</f>
        <v>36</v>
      </c>
    </row>
    <row r="4364" spans="1:10" hidden="1">
      <c r="A4364" t="s">
        <v>2925</v>
      </c>
      <c r="B4364" t="s">
        <v>9049</v>
      </c>
      <c r="C4364" t="s">
        <v>9050</v>
      </c>
      <c r="J4364">
        <f>LEN(Table13[[#This Row],[REFERENCE_DESCR1]])</f>
        <v>32</v>
      </c>
    </row>
    <row r="4365" spans="1:10" hidden="1">
      <c r="A4365" t="s">
        <v>2925</v>
      </c>
      <c r="B4365" t="s">
        <v>9051</v>
      </c>
      <c r="C4365" t="s">
        <v>9052</v>
      </c>
      <c r="J4365">
        <f>LEN(Table13[[#This Row],[REFERENCE_DESCR1]])</f>
        <v>13</v>
      </c>
    </row>
    <row r="4366" spans="1:10" hidden="1">
      <c r="A4366" t="s">
        <v>2925</v>
      </c>
      <c r="B4366" t="s">
        <v>9053</v>
      </c>
      <c r="C4366" t="s">
        <v>9054</v>
      </c>
      <c r="J4366">
        <f>LEN(Table13[[#This Row],[REFERENCE_DESCR1]])</f>
        <v>9</v>
      </c>
    </row>
    <row r="4367" spans="1:10" hidden="1">
      <c r="A4367" t="s">
        <v>2925</v>
      </c>
      <c r="B4367" t="s">
        <v>9055</v>
      </c>
      <c r="C4367" t="s">
        <v>9056</v>
      </c>
      <c r="J4367">
        <f>LEN(Table13[[#This Row],[REFERENCE_DESCR1]])</f>
        <v>7</v>
      </c>
    </row>
    <row r="4368" spans="1:10" hidden="1">
      <c r="A4368" t="s">
        <v>2925</v>
      </c>
      <c r="B4368" t="s">
        <v>9057</v>
      </c>
      <c r="C4368" t="s">
        <v>9058</v>
      </c>
      <c r="J4368">
        <f>LEN(Table13[[#This Row],[REFERENCE_DESCR1]])</f>
        <v>13</v>
      </c>
    </row>
    <row r="4369" spans="1:10" hidden="1">
      <c r="A4369" t="s">
        <v>2925</v>
      </c>
      <c r="B4369" t="s">
        <v>9059</v>
      </c>
      <c r="C4369" t="s">
        <v>9060</v>
      </c>
      <c r="J4369">
        <f>LEN(Table13[[#This Row],[REFERENCE_DESCR1]])</f>
        <v>9</v>
      </c>
    </row>
    <row r="4370" spans="1:10" hidden="1">
      <c r="A4370" t="s">
        <v>2925</v>
      </c>
      <c r="B4370" t="s">
        <v>9061</v>
      </c>
      <c r="C4370" t="s">
        <v>9062</v>
      </c>
      <c r="J4370">
        <f>LEN(Table13[[#This Row],[REFERENCE_DESCR1]])</f>
        <v>7</v>
      </c>
    </row>
    <row r="4371" spans="1:10" hidden="1">
      <c r="A4371" t="s">
        <v>2925</v>
      </c>
      <c r="B4371" t="s">
        <v>9063</v>
      </c>
      <c r="C4371" t="s">
        <v>9064</v>
      </c>
      <c r="J4371">
        <f>LEN(Table13[[#This Row],[REFERENCE_DESCR1]])</f>
        <v>15</v>
      </c>
    </row>
    <row r="4372" spans="1:10" hidden="1">
      <c r="A4372" t="s">
        <v>2925</v>
      </c>
      <c r="B4372" t="s">
        <v>9065</v>
      </c>
      <c r="C4372" t="s">
        <v>9066</v>
      </c>
      <c r="J4372">
        <f>LEN(Table13[[#This Row],[REFERENCE_DESCR1]])</f>
        <v>7</v>
      </c>
    </row>
    <row r="4373" spans="1:10" hidden="1">
      <c r="A4373" t="s">
        <v>2925</v>
      </c>
      <c r="B4373" t="s">
        <v>9067</v>
      </c>
      <c r="C4373" t="s">
        <v>9068</v>
      </c>
      <c r="J4373">
        <f>LEN(Table13[[#This Row],[REFERENCE_DESCR1]])</f>
        <v>19</v>
      </c>
    </row>
    <row r="4374" spans="1:10" hidden="1">
      <c r="A4374" t="s">
        <v>2925</v>
      </c>
      <c r="B4374" t="s">
        <v>9069</v>
      </c>
      <c r="C4374" t="s">
        <v>9070</v>
      </c>
      <c r="J4374">
        <f>LEN(Table13[[#This Row],[REFERENCE_DESCR1]])</f>
        <v>8</v>
      </c>
    </row>
    <row r="4375" spans="1:10" hidden="1">
      <c r="A4375" t="s">
        <v>2925</v>
      </c>
      <c r="B4375" t="s">
        <v>9071</v>
      </c>
      <c r="C4375" t="s">
        <v>9072</v>
      </c>
      <c r="J4375">
        <f>LEN(Table13[[#This Row],[REFERENCE_DESCR1]])</f>
        <v>18</v>
      </c>
    </row>
    <row r="4376" spans="1:10" hidden="1">
      <c r="A4376" t="s">
        <v>2925</v>
      </c>
      <c r="B4376" t="s">
        <v>9073</v>
      </c>
      <c r="C4376" t="s">
        <v>9074</v>
      </c>
      <c r="J4376">
        <f>LEN(Table13[[#This Row],[REFERENCE_DESCR1]])</f>
        <v>40</v>
      </c>
    </row>
    <row r="4377" spans="1:10" hidden="1">
      <c r="A4377" t="s">
        <v>2925</v>
      </c>
      <c r="B4377" t="s">
        <v>9075</v>
      </c>
      <c r="C4377" t="s">
        <v>9076</v>
      </c>
      <c r="J4377">
        <f>LEN(Table13[[#This Row],[REFERENCE_DESCR1]])</f>
        <v>14</v>
      </c>
    </row>
    <row r="4378" spans="1:10" hidden="1">
      <c r="A4378" t="s">
        <v>2925</v>
      </c>
      <c r="B4378" t="s">
        <v>9077</v>
      </c>
      <c r="C4378" t="s">
        <v>9078</v>
      </c>
      <c r="J4378">
        <f>LEN(Table13[[#This Row],[REFERENCE_DESCR1]])</f>
        <v>9</v>
      </c>
    </row>
    <row r="4379" spans="1:10" hidden="1">
      <c r="A4379" t="s">
        <v>2925</v>
      </c>
      <c r="B4379" t="s">
        <v>9079</v>
      </c>
      <c r="C4379" t="s">
        <v>9080</v>
      </c>
      <c r="J4379">
        <f>LEN(Table13[[#This Row],[REFERENCE_DESCR1]])</f>
        <v>13</v>
      </c>
    </row>
    <row r="4380" spans="1:10" hidden="1">
      <c r="A4380" t="s">
        <v>2925</v>
      </c>
      <c r="B4380" t="s">
        <v>9081</v>
      </c>
      <c r="C4380" t="s">
        <v>9082</v>
      </c>
      <c r="J4380">
        <f>LEN(Table13[[#This Row],[REFERENCE_DESCR1]])</f>
        <v>9</v>
      </c>
    </row>
    <row r="4381" spans="1:10" hidden="1">
      <c r="A4381" t="s">
        <v>2925</v>
      </c>
      <c r="B4381" t="s">
        <v>9083</v>
      </c>
      <c r="C4381" t="s">
        <v>9084</v>
      </c>
      <c r="J4381">
        <f>LEN(Table13[[#This Row],[REFERENCE_DESCR1]])</f>
        <v>8</v>
      </c>
    </row>
    <row r="4382" spans="1:10" hidden="1">
      <c r="A4382" t="s">
        <v>2925</v>
      </c>
      <c r="B4382" t="s">
        <v>9085</v>
      </c>
      <c r="C4382" t="s">
        <v>9086</v>
      </c>
      <c r="J4382">
        <f>LEN(Table13[[#This Row],[REFERENCE_DESCR1]])</f>
        <v>11</v>
      </c>
    </row>
    <row r="4383" spans="1:10" hidden="1">
      <c r="A4383" t="s">
        <v>2925</v>
      </c>
      <c r="B4383" t="s">
        <v>9087</v>
      </c>
      <c r="C4383" t="s">
        <v>9088</v>
      </c>
      <c r="J4383">
        <f>LEN(Table13[[#This Row],[REFERENCE_DESCR1]])</f>
        <v>13</v>
      </c>
    </row>
    <row r="4384" spans="1:10" hidden="1">
      <c r="A4384" t="s">
        <v>2925</v>
      </c>
      <c r="B4384" t="s">
        <v>9089</v>
      </c>
      <c r="C4384" t="s">
        <v>9090</v>
      </c>
      <c r="J4384">
        <f>LEN(Table13[[#This Row],[REFERENCE_DESCR1]])</f>
        <v>9</v>
      </c>
    </row>
    <row r="4385" spans="1:10" hidden="1">
      <c r="A4385" t="s">
        <v>2925</v>
      </c>
      <c r="B4385" t="s">
        <v>9091</v>
      </c>
      <c r="C4385" t="s">
        <v>9092</v>
      </c>
      <c r="J4385">
        <f>LEN(Table13[[#This Row],[REFERENCE_DESCR1]])</f>
        <v>21</v>
      </c>
    </row>
    <row r="4386" spans="1:10" hidden="1">
      <c r="A4386" t="s">
        <v>2925</v>
      </c>
      <c r="B4386" t="s">
        <v>9093</v>
      </c>
      <c r="C4386" t="s">
        <v>9094</v>
      </c>
      <c r="J4386">
        <f>LEN(Table13[[#This Row],[REFERENCE_DESCR1]])</f>
        <v>10</v>
      </c>
    </row>
    <row r="4387" spans="1:10" hidden="1">
      <c r="A4387" t="s">
        <v>2925</v>
      </c>
      <c r="B4387" t="s">
        <v>9095</v>
      </c>
      <c r="C4387" t="s">
        <v>9096</v>
      </c>
      <c r="J4387">
        <f>LEN(Table13[[#This Row],[REFERENCE_DESCR1]])</f>
        <v>22</v>
      </c>
    </row>
    <row r="4388" spans="1:10" hidden="1">
      <c r="A4388" t="s">
        <v>2925</v>
      </c>
      <c r="B4388" t="s">
        <v>9097</v>
      </c>
      <c r="C4388" t="s">
        <v>9098</v>
      </c>
      <c r="J4388">
        <f>LEN(Table13[[#This Row],[REFERENCE_DESCR1]])</f>
        <v>26</v>
      </c>
    </row>
    <row r="4389" spans="1:10" hidden="1">
      <c r="A4389" t="s">
        <v>2925</v>
      </c>
      <c r="B4389" t="s">
        <v>9099</v>
      </c>
      <c r="C4389" t="s">
        <v>9100</v>
      </c>
      <c r="J4389">
        <f>LEN(Table13[[#This Row],[REFERENCE_DESCR1]])</f>
        <v>10</v>
      </c>
    </row>
    <row r="4390" spans="1:10" hidden="1">
      <c r="A4390" t="s">
        <v>2925</v>
      </c>
      <c r="B4390" t="s">
        <v>9101</v>
      </c>
      <c r="C4390" t="s">
        <v>9102</v>
      </c>
      <c r="J4390">
        <f>LEN(Table13[[#This Row],[REFERENCE_DESCR1]])</f>
        <v>5</v>
      </c>
    </row>
    <row r="4391" spans="1:10" hidden="1">
      <c r="A4391" t="s">
        <v>2925</v>
      </c>
      <c r="B4391" t="s">
        <v>9103</v>
      </c>
      <c r="C4391" t="s">
        <v>9104</v>
      </c>
      <c r="J4391">
        <f>LEN(Table13[[#This Row],[REFERENCE_DESCR1]])</f>
        <v>9</v>
      </c>
    </row>
    <row r="4392" spans="1:10" hidden="1">
      <c r="A4392" t="s">
        <v>2925</v>
      </c>
      <c r="B4392" t="s">
        <v>9105</v>
      </c>
      <c r="C4392" t="s">
        <v>9106</v>
      </c>
      <c r="J4392">
        <f>LEN(Table13[[#This Row],[REFERENCE_DESCR1]])</f>
        <v>8</v>
      </c>
    </row>
    <row r="4393" spans="1:10" hidden="1">
      <c r="A4393" t="s">
        <v>2925</v>
      </c>
      <c r="B4393" t="s">
        <v>9107</v>
      </c>
      <c r="C4393" t="s">
        <v>9108</v>
      </c>
      <c r="J4393">
        <f>LEN(Table13[[#This Row],[REFERENCE_DESCR1]])</f>
        <v>8</v>
      </c>
    </row>
    <row r="4394" spans="1:10" hidden="1">
      <c r="A4394" t="s">
        <v>2925</v>
      </c>
      <c r="B4394" t="s">
        <v>9109</v>
      </c>
      <c r="C4394" t="s">
        <v>9110</v>
      </c>
      <c r="J4394">
        <f>LEN(Table13[[#This Row],[REFERENCE_DESCR1]])</f>
        <v>20</v>
      </c>
    </row>
    <row r="4395" spans="1:10" hidden="1">
      <c r="A4395" t="s">
        <v>2925</v>
      </c>
      <c r="B4395" t="s">
        <v>9111</v>
      </c>
      <c r="C4395" t="s">
        <v>9112</v>
      </c>
      <c r="J4395">
        <f>LEN(Table13[[#This Row],[REFERENCE_DESCR1]])</f>
        <v>6</v>
      </c>
    </row>
    <row r="4396" spans="1:10" hidden="1">
      <c r="A4396" t="s">
        <v>2925</v>
      </c>
      <c r="B4396" t="s">
        <v>9113</v>
      </c>
      <c r="C4396" t="s">
        <v>9114</v>
      </c>
      <c r="J4396">
        <f>LEN(Table13[[#This Row],[REFERENCE_DESCR1]])</f>
        <v>6</v>
      </c>
    </row>
    <row r="4397" spans="1:10" hidden="1">
      <c r="A4397" t="s">
        <v>2925</v>
      </c>
      <c r="B4397" t="s">
        <v>9115</v>
      </c>
      <c r="C4397" t="s">
        <v>9116</v>
      </c>
      <c r="J4397">
        <f>LEN(Table13[[#This Row],[REFERENCE_DESCR1]])</f>
        <v>10</v>
      </c>
    </row>
    <row r="4398" spans="1:10" hidden="1">
      <c r="A4398" t="s">
        <v>2925</v>
      </c>
      <c r="B4398" t="s">
        <v>9117</v>
      </c>
      <c r="C4398" t="s">
        <v>9118</v>
      </c>
      <c r="J4398">
        <f>LEN(Table13[[#This Row],[REFERENCE_DESCR1]])</f>
        <v>8</v>
      </c>
    </row>
    <row r="4399" spans="1:10" hidden="1">
      <c r="A4399" t="s">
        <v>2925</v>
      </c>
      <c r="B4399" t="s">
        <v>9119</v>
      </c>
      <c r="C4399" t="s">
        <v>9120</v>
      </c>
      <c r="J4399">
        <f>LEN(Table13[[#This Row],[REFERENCE_DESCR1]])</f>
        <v>20</v>
      </c>
    </row>
    <row r="4400" spans="1:10" hidden="1">
      <c r="A4400" t="s">
        <v>2925</v>
      </c>
      <c r="B4400" t="s">
        <v>9121</v>
      </c>
      <c r="C4400" t="s">
        <v>9122</v>
      </c>
      <c r="J4400">
        <f>LEN(Table13[[#This Row],[REFERENCE_DESCR1]])</f>
        <v>8</v>
      </c>
    </row>
    <row r="4401" spans="1:10" hidden="1">
      <c r="A4401" t="s">
        <v>2925</v>
      </c>
      <c r="B4401" t="s">
        <v>9123</v>
      </c>
      <c r="C4401" t="s">
        <v>9124</v>
      </c>
      <c r="J4401">
        <f>LEN(Table13[[#This Row],[REFERENCE_DESCR1]])</f>
        <v>8</v>
      </c>
    </row>
    <row r="4402" spans="1:10" hidden="1">
      <c r="A4402" t="s">
        <v>2925</v>
      </c>
      <c r="B4402" t="s">
        <v>9125</v>
      </c>
      <c r="C4402" t="s">
        <v>9126</v>
      </c>
      <c r="J4402">
        <f>LEN(Table13[[#This Row],[REFERENCE_DESCR1]])</f>
        <v>11</v>
      </c>
    </row>
    <row r="4403" spans="1:10" hidden="1">
      <c r="A4403" t="s">
        <v>2925</v>
      </c>
      <c r="B4403" t="s">
        <v>9127</v>
      </c>
      <c r="C4403" t="s">
        <v>9128</v>
      </c>
      <c r="J4403">
        <f>LEN(Table13[[#This Row],[REFERENCE_DESCR1]])</f>
        <v>9</v>
      </c>
    </row>
    <row r="4404" spans="1:10" hidden="1">
      <c r="A4404" t="s">
        <v>2925</v>
      </c>
      <c r="B4404" t="s">
        <v>9129</v>
      </c>
      <c r="C4404" t="s">
        <v>9130</v>
      </c>
      <c r="J4404">
        <f>LEN(Table13[[#This Row],[REFERENCE_DESCR1]])</f>
        <v>12</v>
      </c>
    </row>
    <row r="4405" spans="1:10" hidden="1">
      <c r="A4405" t="s">
        <v>2925</v>
      </c>
      <c r="B4405" t="s">
        <v>9131</v>
      </c>
      <c r="C4405" t="s">
        <v>9132</v>
      </c>
      <c r="J4405">
        <f>LEN(Table13[[#This Row],[REFERENCE_DESCR1]])</f>
        <v>13</v>
      </c>
    </row>
    <row r="4406" spans="1:10" hidden="1">
      <c r="A4406" t="s">
        <v>2925</v>
      </c>
      <c r="B4406" t="s">
        <v>9133</v>
      </c>
      <c r="C4406" t="s">
        <v>9134</v>
      </c>
      <c r="J4406">
        <f>LEN(Table13[[#This Row],[REFERENCE_DESCR1]])</f>
        <v>6</v>
      </c>
    </row>
    <row r="4407" spans="1:10" hidden="1">
      <c r="A4407" t="s">
        <v>2925</v>
      </c>
      <c r="B4407" t="s">
        <v>9135</v>
      </c>
      <c r="C4407" t="s">
        <v>9136</v>
      </c>
      <c r="J4407">
        <f>LEN(Table13[[#This Row],[REFERENCE_DESCR1]])</f>
        <v>12</v>
      </c>
    </row>
    <row r="4408" spans="1:10" hidden="1">
      <c r="A4408" t="s">
        <v>2925</v>
      </c>
      <c r="B4408" t="s">
        <v>9137</v>
      </c>
      <c r="C4408" t="s">
        <v>9138</v>
      </c>
      <c r="J4408">
        <f>LEN(Table13[[#This Row],[REFERENCE_DESCR1]])</f>
        <v>13</v>
      </c>
    </row>
    <row r="4409" spans="1:10" hidden="1">
      <c r="A4409" t="s">
        <v>2925</v>
      </c>
      <c r="B4409" t="s">
        <v>9139</v>
      </c>
      <c r="C4409" t="s">
        <v>9140</v>
      </c>
      <c r="J4409">
        <f>LEN(Table13[[#This Row],[REFERENCE_DESCR1]])</f>
        <v>13</v>
      </c>
    </row>
    <row r="4410" spans="1:10" hidden="1">
      <c r="A4410" t="s">
        <v>2925</v>
      </c>
      <c r="B4410" t="s">
        <v>9141</v>
      </c>
      <c r="C4410" t="s">
        <v>9142</v>
      </c>
      <c r="J4410">
        <f>LEN(Table13[[#This Row],[REFERENCE_DESCR1]])</f>
        <v>16</v>
      </c>
    </row>
    <row r="4411" spans="1:10" hidden="1">
      <c r="A4411" t="s">
        <v>2925</v>
      </c>
      <c r="B4411" t="s">
        <v>9143</v>
      </c>
      <c r="C4411" t="s">
        <v>9144</v>
      </c>
      <c r="J4411">
        <f>LEN(Table13[[#This Row],[REFERENCE_DESCR1]])</f>
        <v>16</v>
      </c>
    </row>
    <row r="4412" spans="1:10" hidden="1">
      <c r="A4412" t="s">
        <v>2925</v>
      </c>
      <c r="B4412" t="s">
        <v>9145</v>
      </c>
      <c r="C4412" t="s">
        <v>9146</v>
      </c>
      <c r="J4412">
        <f>LEN(Table13[[#This Row],[REFERENCE_DESCR1]])</f>
        <v>13</v>
      </c>
    </row>
    <row r="4413" spans="1:10" hidden="1">
      <c r="A4413" t="s">
        <v>2925</v>
      </c>
      <c r="B4413" t="s">
        <v>9147</v>
      </c>
      <c r="C4413" t="s">
        <v>9148</v>
      </c>
      <c r="J4413">
        <f>LEN(Table13[[#This Row],[REFERENCE_DESCR1]])</f>
        <v>11</v>
      </c>
    </row>
    <row r="4414" spans="1:10" hidden="1">
      <c r="A4414" t="s">
        <v>2925</v>
      </c>
      <c r="B4414" t="s">
        <v>9149</v>
      </c>
      <c r="C4414" t="s">
        <v>9150</v>
      </c>
      <c r="J4414">
        <f>LEN(Table13[[#This Row],[REFERENCE_DESCR1]])</f>
        <v>7</v>
      </c>
    </row>
    <row r="4415" spans="1:10" hidden="1">
      <c r="A4415" t="s">
        <v>2925</v>
      </c>
      <c r="B4415" t="s">
        <v>9151</v>
      </c>
      <c r="C4415" t="s">
        <v>9152</v>
      </c>
      <c r="J4415">
        <f>LEN(Table13[[#This Row],[REFERENCE_DESCR1]])</f>
        <v>14</v>
      </c>
    </row>
    <row r="4416" spans="1:10" hidden="1">
      <c r="A4416" t="s">
        <v>2925</v>
      </c>
      <c r="B4416" t="s">
        <v>9153</v>
      </c>
      <c r="C4416" t="s">
        <v>9154</v>
      </c>
      <c r="J4416">
        <f>LEN(Table13[[#This Row],[REFERENCE_DESCR1]])</f>
        <v>5</v>
      </c>
    </row>
    <row r="4417" spans="1:10" hidden="1">
      <c r="A4417" t="s">
        <v>2925</v>
      </c>
      <c r="B4417" t="s">
        <v>9155</v>
      </c>
      <c r="C4417" t="s">
        <v>9156</v>
      </c>
      <c r="J4417">
        <f>LEN(Table13[[#This Row],[REFERENCE_DESCR1]])</f>
        <v>9</v>
      </c>
    </row>
    <row r="4418" spans="1:10" hidden="1">
      <c r="A4418" t="s">
        <v>2925</v>
      </c>
      <c r="B4418" t="s">
        <v>9157</v>
      </c>
      <c r="C4418" t="s">
        <v>9158</v>
      </c>
      <c r="J4418">
        <f>LEN(Table13[[#This Row],[REFERENCE_DESCR1]])</f>
        <v>12</v>
      </c>
    </row>
    <row r="4419" spans="1:10" hidden="1">
      <c r="A4419" t="s">
        <v>2925</v>
      </c>
      <c r="B4419" t="s">
        <v>9159</v>
      </c>
      <c r="C4419" t="s">
        <v>9160</v>
      </c>
      <c r="J4419">
        <f>LEN(Table13[[#This Row],[REFERENCE_DESCR1]])</f>
        <v>10</v>
      </c>
    </row>
    <row r="4420" spans="1:10" hidden="1">
      <c r="A4420" t="s">
        <v>2925</v>
      </c>
      <c r="B4420" t="s">
        <v>9161</v>
      </c>
      <c r="C4420" t="s">
        <v>9162</v>
      </c>
      <c r="J4420">
        <f>LEN(Table13[[#This Row],[REFERENCE_DESCR1]])</f>
        <v>14</v>
      </c>
    </row>
    <row r="4421" spans="1:10" hidden="1">
      <c r="A4421" t="s">
        <v>2925</v>
      </c>
      <c r="B4421" t="s">
        <v>9163</v>
      </c>
      <c r="C4421" t="s">
        <v>9164</v>
      </c>
      <c r="J4421">
        <f>LEN(Table13[[#This Row],[REFERENCE_DESCR1]])</f>
        <v>40</v>
      </c>
    </row>
    <row r="4422" spans="1:10" hidden="1">
      <c r="A4422" t="s">
        <v>2925</v>
      </c>
      <c r="B4422" t="s">
        <v>9165</v>
      </c>
      <c r="C4422" t="s">
        <v>9166</v>
      </c>
      <c r="J4422">
        <f>LEN(Table13[[#This Row],[REFERENCE_DESCR1]])</f>
        <v>11</v>
      </c>
    </row>
    <row r="4423" spans="1:10" hidden="1">
      <c r="A4423" t="s">
        <v>2925</v>
      </c>
      <c r="B4423" t="s">
        <v>9167</v>
      </c>
      <c r="C4423" t="s">
        <v>9168</v>
      </c>
      <c r="J4423">
        <f>LEN(Table13[[#This Row],[REFERENCE_DESCR1]])</f>
        <v>7</v>
      </c>
    </row>
    <row r="4424" spans="1:10" hidden="1">
      <c r="A4424" t="s">
        <v>2925</v>
      </c>
      <c r="B4424" t="s">
        <v>9169</v>
      </c>
      <c r="C4424" t="s">
        <v>9170</v>
      </c>
      <c r="J4424">
        <f>LEN(Table13[[#This Row],[REFERENCE_DESCR1]])</f>
        <v>8</v>
      </c>
    </row>
    <row r="4425" spans="1:10" hidden="1">
      <c r="A4425" t="s">
        <v>2925</v>
      </c>
      <c r="B4425" t="s">
        <v>9171</v>
      </c>
      <c r="C4425" t="s">
        <v>9172</v>
      </c>
      <c r="J4425">
        <f>LEN(Table13[[#This Row],[REFERENCE_DESCR1]])</f>
        <v>18</v>
      </c>
    </row>
    <row r="4426" spans="1:10" hidden="1">
      <c r="A4426" t="s">
        <v>2925</v>
      </c>
      <c r="B4426" t="s">
        <v>9173</v>
      </c>
      <c r="C4426" t="s">
        <v>9174</v>
      </c>
      <c r="J4426">
        <f>LEN(Table13[[#This Row],[REFERENCE_DESCR1]])</f>
        <v>5</v>
      </c>
    </row>
    <row r="4427" spans="1:10" hidden="1">
      <c r="A4427" t="s">
        <v>2925</v>
      </c>
      <c r="B4427" t="s">
        <v>9175</v>
      </c>
      <c r="C4427" t="s">
        <v>9176</v>
      </c>
      <c r="J4427">
        <f>LEN(Table13[[#This Row],[REFERENCE_DESCR1]])</f>
        <v>10</v>
      </c>
    </row>
    <row r="4428" spans="1:10" hidden="1">
      <c r="A4428" t="s">
        <v>2925</v>
      </c>
      <c r="B4428" t="s">
        <v>9177</v>
      </c>
      <c r="C4428" t="s">
        <v>9178</v>
      </c>
      <c r="J4428">
        <f>LEN(Table13[[#This Row],[REFERENCE_DESCR1]])</f>
        <v>18</v>
      </c>
    </row>
    <row r="4429" spans="1:10" hidden="1">
      <c r="A4429" t="s">
        <v>2925</v>
      </c>
      <c r="B4429" t="s">
        <v>9179</v>
      </c>
      <c r="C4429" t="s">
        <v>9180</v>
      </c>
      <c r="J4429">
        <f>LEN(Table13[[#This Row],[REFERENCE_DESCR1]])</f>
        <v>14</v>
      </c>
    </row>
    <row r="4430" spans="1:10" hidden="1">
      <c r="A4430" t="s">
        <v>2925</v>
      </c>
      <c r="B4430" t="s">
        <v>9181</v>
      </c>
      <c r="C4430" t="s">
        <v>9182</v>
      </c>
      <c r="J4430">
        <f>LEN(Table13[[#This Row],[REFERENCE_DESCR1]])</f>
        <v>8</v>
      </c>
    </row>
    <row r="4431" spans="1:10" hidden="1">
      <c r="A4431" t="s">
        <v>2925</v>
      </c>
      <c r="B4431" t="s">
        <v>9183</v>
      </c>
      <c r="C4431" t="s">
        <v>9184</v>
      </c>
      <c r="J4431">
        <f>LEN(Table13[[#This Row],[REFERENCE_DESCR1]])</f>
        <v>7</v>
      </c>
    </row>
    <row r="4432" spans="1:10" hidden="1">
      <c r="A4432" t="s">
        <v>2925</v>
      </c>
      <c r="B4432" t="s">
        <v>9185</v>
      </c>
      <c r="C4432" t="s">
        <v>9186</v>
      </c>
      <c r="J4432">
        <f>LEN(Table13[[#This Row],[REFERENCE_DESCR1]])</f>
        <v>9</v>
      </c>
    </row>
    <row r="4433" spans="1:10" hidden="1">
      <c r="A4433" t="s">
        <v>2925</v>
      </c>
      <c r="B4433" t="s">
        <v>9187</v>
      </c>
      <c r="C4433" t="s">
        <v>9188</v>
      </c>
      <c r="J4433">
        <f>LEN(Table13[[#This Row],[REFERENCE_DESCR1]])</f>
        <v>23</v>
      </c>
    </row>
    <row r="4434" spans="1:10" hidden="1">
      <c r="A4434" t="s">
        <v>2925</v>
      </c>
      <c r="B4434" t="s">
        <v>9189</v>
      </c>
      <c r="C4434" t="s">
        <v>9190</v>
      </c>
      <c r="J4434">
        <f>LEN(Table13[[#This Row],[REFERENCE_DESCR1]])</f>
        <v>17</v>
      </c>
    </row>
    <row r="4435" spans="1:10" hidden="1">
      <c r="A4435" t="s">
        <v>2925</v>
      </c>
      <c r="B4435" t="s">
        <v>9191</v>
      </c>
      <c r="C4435" t="s">
        <v>9192</v>
      </c>
      <c r="J4435">
        <f>LEN(Table13[[#This Row],[REFERENCE_DESCR1]])</f>
        <v>8</v>
      </c>
    </row>
    <row r="4436" spans="1:10" hidden="1">
      <c r="A4436" t="s">
        <v>2925</v>
      </c>
      <c r="B4436" t="s">
        <v>9193</v>
      </c>
      <c r="C4436" t="s">
        <v>9194</v>
      </c>
      <c r="J4436">
        <f>LEN(Table13[[#This Row],[REFERENCE_DESCR1]])</f>
        <v>8</v>
      </c>
    </row>
    <row r="4437" spans="1:10" hidden="1">
      <c r="A4437" t="s">
        <v>2925</v>
      </c>
      <c r="B4437" t="s">
        <v>9195</v>
      </c>
      <c r="C4437" t="s">
        <v>9196</v>
      </c>
      <c r="J4437">
        <f>LEN(Table13[[#This Row],[REFERENCE_DESCR1]])</f>
        <v>12</v>
      </c>
    </row>
    <row r="4438" spans="1:10" hidden="1">
      <c r="A4438" t="s">
        <v>2925</v>
      </c>
      <c r="B4438" t="s">
        <v>9197</v>
      </c>
      <c r="C4438" t="s">
        <v>9198</v>
      </c>
      <c r="J4438">
        <f>LEN(Table13[[#This Row],[REFERENCE_DESCR1]])</f>
        <v>4</v>
      </c>
    </row>
    <row r="4439" spans="1:10" hidden="1">
      <c r="A4439" t="s">
        <v>2925</v>
      </c>
      <c r="B4439" t="s">
        <v>9199</v>
      </c>
      <c r="C4439" t="s">
        <v>9200</v>
      </c>
      <c r="J4439">
        <f>LEN(Table13[[#This Row],[REFERENCE_DESCR1]])</f>
        <v>16</v>
      </c>
    </row>
    <row r="4440" spans="1:10" hidden="1">
      <c r="A4440" t="s">
        <v>2925</v>
      </c>
      <c r="B4440" t="s">
        <v>9201</v>
      </c>
      <c r="C4440" t="s">
        <v>9202</v>
      </c>
      <c r="J4440">
        <f>LEN(Table13[[#This Row],[REFERENCE_DESCR1]])</f>
        <v>24</v>
      </c>
    </row>
    <row r="4441" spans="1:10" hidden="1">
      <c r="A4441" t="s">
        <v>2925</v>
      </c>
      <c r="B4441" t="s">
        <v>9203</v>
      </c>
      <c r="C4441" t="s">
        <v>9204</v>
      </c>
      <c r="J4441">
        <f>LEN(Table13[[#This Row],[REFERENCE_DESCR1]])</f>
        <v>5</v>
      </c>
    </row>
    <row r="4442" spans="1:10" hidden="1">
      <c r="A4442" t="s">
        <v>2925</v>
      </c>
      <c r="B4442" t="s">
        <v>9205</v>
      </c>
      <c r="C4442" t="s">
        <v>9206</v>
      </c>
      <c r="J4442">
        <f>LEN(Table13[[#This Row],[REFERENCE_DESCR1]])</f>
        <v>17</v>
      </c>
    </row>
    <row r="4443" spans="1:10" hidden="1">
      <c r="A4443" t="s">
        <v>2925</v>
      </c>
      <c r="B4443" t="s">
        <v>9207</v>
      </c>
      <c r="C4443" t="s">
        <v>9208</v>
      </c>
      <c r="J4443">
        <f>LEN(Table13[[#This Row],[REFERENCE_DESCR1]])</f>
        <v>8</v>
      </c>
    </row>
    <row r="4444" spans="1:10" hidden="1">
      <c r="A4444" t="s">
        <v>2925</v>
      </c>
      <c r="B4444" t="s">
        <v>9209</v>
      </c>
      <c r="C4444" t="s">
        <v>9210</v>
      </c>
      <c r="J4444">
        <f>LEN(Table13[[#This Row],[REFERENCE_DESCR1]])</f>
        <v>7</v>
      </c>
    </row>
    <row r="4445" spans="1:10" hidden="1">
      <c r="A4445" t="s">
        <v>2925</v>
      </c>
      <c r="B4445" t="s">
        <v>9211</v>
      </c>
      <c r="C4445" t="s">
        <v>9212</v>
      </c>
      <c r="J4445">
        <f>LEN(Table13[[#This Row],[REFERENCE_DESCR1]])</f>
        <v>18</v>
      </c>
    </row>
    <row r="4446" spans="1:10" hidden="1">
      <c r="A4446" t="s">
        <v>2925</v>
      </c>
      <c r="B4446" t="s">
        <v>9213</v>
      </c>
      <c r="C4446" t="s">
        <v>9214</v>
      </c>
      <c r="J4446">
        <f>LEN(Table13[[#This Row],[REFERENCE_DESCR1]])</f>
        <v>22</v>
      </c>
    </row>
    <row r="4447" spans="1:10" hidden="1">
      <c r="A4447" t="s">
        <v>2925</v>
      </c>
      <c r="B4447" t="s">
        <v>9215</v>
      </c>
      <c r="C4447" t="s">
        <v>9216</v>
      </c>
      <c r="J4447">
        <f>LEN(Table13[[#This Row],[REFERENCE_DESCR1]])</f>
        <v>22</v>
      </c>
    </row>
    <row r="4448" spans="1:10" hidden="1">
      <c r="A4448" t="s">
        <v>2925</v>
      </c>
      <c r="B4448" t="s">
        <v>9217</v>
      </c>
      <c r="C4448" t="s">
        <v>9218</v>
      </c>
      <c r="J4448">
        <f>LEN(Table13[[#This Row],[REFERENCE_DESCR1]])</f>
        <v>18</v>
      </c>
    </row>
    <row r="4449" spans="1:10" hidden="1">
      <c r="A4449" t="s">
        <v>2925</v>
      </c>
      <c r="B4449" t="s">
        <v>9219</v>
      </c>
      <c r="C4449" t="s">
        <v>9220</v>
      </c>
      <c r="J4449">
        <f>LEN(Table13[[#This Row],[REFERENCE_DESCR1]])</f>
        <v>7</v>
      </c>
    </row>
    <row r="4450" spans="1:10" hidden="1">
      <c r="A4450" t="s">
        <v>2925</v>
      </c>
      <c r="B4450" t="s">
        <v>9221</v>
      </c>
      <c r="C4450" t="s">
        <v>9222</v>
      </c>
      <c r="J4450">
        <f>LEN(Table13[[#This Row],[REFERENCE_DESCR1]])</f>
        <v>19</v>
      </c>
    </row>
    <row r="4451" spans="1:10" hidden="1">
      <c r="A4451" t="s">
        <v>2925</v>
      </c>
      <c r="B4451" t="s">
        <v>9223</v>
      </c>
      <c r="C4451" t="s">
        <v>9224</v>
      </c>
      <c r="J4451">
        <f>LEN(Table13[[#This Row],[REFERENCE_DESCR1]])</f>
        <v>12</v>
      </c>
    </row>
    <row r="4452" spans="1:10" hidden="1">
      <c r="A4452" t="s">
        <v>2925</v>
      </c>
      <c r="B4452" t="s">
        <v>9225</v>
      </c>
      <c r="C4452" t="s">
        <v>9226</v>
      </c>
      <c r="J4452">
        <f>LEN(Table13[[#This Row],[REFERENCE_DESCR1]])</f>
        <v>7</v>
      </c>
    </row>
    <row r="4453" spans="1:10" hidden="1">
      <c r="A4453" t="s">
        <v>2925</v>
      </c>
      <c r="B4453" t="s">
        <v>9227</v>
      </c>
      <c r="C4453" t="s">
        <v>9228</v>
      </c>
      <c r="J4453">
        <f>LEN(Table13[[#This Row],[REFERENCE_DESCR1]])</f>
        <v>7</v>
      </c>
    </row>
    <row r="4454" spans="1:10" hidden="1">
      <c r="A4454" t="s">
        <v>2925</v>
      </c>
      <c r="B4454" t="s">
        <v>9229</v>
      </c>
      <c r="C4454" t="s">
        <v>9230</v>
      </c>
      <c r="J4454">
        <f>LEN(Table13[[#This Row],[REFERENCE_DESCR1]])</f>
        <v>9</v>
      </c>
    </row>
    <row r="4455" spans="1:10" hidden="1">
      <c r="A4455" t="s">
        <v>2925</v>
      </c>
      <c r="B4455" t="s">
        <v>9231</v>
      </c>
      <c r="C4455" t="s">
        <v>9232</v>
      </c>
      <c r="J4455">
        <f>LEN(Table13[[#This Row],[REFERENCE_DESCR1]])</f>
        <v>7</v>
      </c>
    </row>
    <row r="4456" spans="1:10" hidden="1">
      <c r="A4456" t="s">
        <v>2925</v>
      </c>
      <c r="B4456" t="s">
        <v>9233</v>
      </c>
      <c r="C4456" t="s">
        <v>9234</v>
      </c>
      <c r="J4456">
        <f>LEN(Table13[[#This Row],[REFERENCE_DESCR1]])</f>
        <v>19</v>
      </c>
    </row>
    <row r="4457" spans="1:10" hidden="1">
      <c r="A4457" t="s">
        <v>2925</v>
      </c>
      <c r="B4457" t="s">
        <v>9235</v>
      </c>
      <c r="C4457" t="s">
        <v>9236</v>
      </c>
      <c r="J4457">
        <f>LEN(Table13[[#This Row],[REFERENCE_DESCR1]])</f>
        <v>11</v>
      </c>
    </row>
    <row r="4458" spans="1:10" hidden="1">
      <c r="A4458" t="s">
        <v>2925</v>
      </c>
      <c r="B4458" t="s">
        <v>9237</v>
      </c>
      <c r="C4458" t="s">
        <v>9238</v>
      </c>
      <c r="J4458">
        <f>LEN(Table13[[#This Row],[REFERENCE_DESCR1]])</f>
        <v>5</v>
      </c>
    </row>
    <row r="4459" spans="1:10" hidden="1">
      <c r="A4459" t="s">
        <v>2925</v>
      </c>
      <c r="B4459" t="s">
        <v>9239</v>
      </c>
      <c r="C4459" t="s">
        <v>9240</v>
      </c>
      <c r="J4459">
        <f>LEN(Table13[[#This Row],[REFERENCE_DESCR1]])</f>
        <v>12</v>
      </c>
    </row>
    <row r="4460" spans="1:10" hidden="1">
      <c r="A4460" t="s">
        <v>2925</v>
      </c>
      <c r="B4460" t="s">
        <v>9241</v>
      </c>
      <c r="C4460" t="s">
        <v>9242</v>
      </c>
      <c r="J4460">
        <f>LEN(Table13[[#This Row],[REFERENCE_DESCR1]])</f>
        <v>9</v>
      </c>
    </row>
    <row r="4461" spans="1:10" hidden="1">
      <c r="A4461" t="s">
        <v>2925</v>
      </c>
      <c r="B4461" t="s">
        <v>9243</v>
      </c>
      <c r="C4461" t="s">
        <v>9244</v>
      </c>
      <c r="J4461">
        <f>LEN(Table13[[#This Row],[REFERENCE_DESCR1]])</f>
        <v>7</v>
      </c>
    </row>
    <row r="4462" spans="1:10" hidden="1">
      <c r="A4462" t="s">
        <v>2925</v>
      </c>
      <c r="B4462" t="s">
        <v>9245</v>
      </c>
      <c r="C4462" t="s">
        <v>9246</v>
      </c>
      <c r="J4462">
        <f>LEN(Table13[[#This Row],[REFERENCE_DESCR1]])</f>
        <v>16</v>
      </c>
    </row>
    <row r="4463" spans="1:10" hidden="1">
      <c r="A4463" t="s">
        <v>2925</v>
      </c>
      <c r="B4463" t="s">
        <v>9247</v>
      </c>
      <c r="C4463" t="s">
        <v>9248</v>
      </c>
      <c r="J4463">
        <f>LEN(Table13[[#This Row],[REFERENCE_DESCR1]])</f>
        <v>12</v>
      </c>
    </row>
    <row r="4464" spans="1:10" hidden="1">
      <c r="A4464" t="s">
        <v>2925</v>
      </c>
      <c r="B4464" t="s">
        <v>9249</v>
      </c>
      <c r="C4464" t="s">
        <v>9250</v>
      </c>
      <c r="J4464">
        <f>LEN(Table13[[#This Row],[REFERENCE_DESCR1]])</f>
        <v>9</v>
      </c>
    </row>
    <row r="4465" spans="1:10" hidden="1">
      <c r="A4465" t="s">
        <v>2925</v>
      </c>
      <c r="B4465" t="s">
        <v>9251</v>
      </c>
      <c r="C4465" t="s">
        <v>9252</v>
      </c>
      <c r="J4465">
        <f>LEN(Table13[[#This Row],[REFERENCE_DESCR1]])</f>
        <v>17</v>
      </c>
    </row>
    <row r="4466" spans="1:10" hidden="1">
      <c r="A4466" t="s">
        <v>2925</v>
      </c>
      <c r="B4466" t="s">
        <v>9253</v>
      </c>
      <c r="C4466" t="s">
        <v>9254</v>
      </c>
      <c r="J4466">
        <f>LEN(Table13[[#This Row],[REFERENCE_DESCR1]])</f>
        <v>10</v>
      </c>
    </row>
    <row r="4467" spans="1:10" hidden="1">
      <c r="A4467" t="s">
        <v>2925</v>
      </c>
      <c r="B4467" t="s">
        <v>9255</v>
      </c>
      <c r="C4467" t="s">
        <v>9256</v>
      </c>
      <c r="J4467">
        <f>LEN(Table13[[#This Row],[REFERENCE_DESCR1]])</f>
        <v>8</v>
      </c>
    </row>
    <row r="4468" spans="1:10" hidden="1">
      <c r="A4468" t="s">
        <v>2925</v>
      </c>
      <c r="B4468" t="s">
        <v>9257</v>
      </c>
      <c r="C4468" t="s">
        <v>9258</v>
      </c>
      <c r="J4468">
        <f>LEN(Table13[[#This Row],[REFERENCE_DESCR1]])</f>
        <v>6</v>
      </c>
    </row>
    <row r="4469" spans="1:10" hidden="1">
      <c r="A4469" t="s">
        <v>2925</v>
      </c>
      <c r="B4469" t="s">
        <v>9259</v>
      </c>
      <c r="C4469" t="s">
        <v>9260</v>
      </c>
      <c r="J4469">
        <f>LEN(Table13[[#This Row],[REFERENCE_DESCR1]])</f>
        <v>5</v>
      </c>
    </row>
    <row r="4470" spans="1:10" hidden="1">
      <c r="A4470" t="s">
        <v>2925</v>
      </c>
      <c r="B4470" t="s">
        <v>9261</v>
      </c>
      <c r="C4470" t="s">
        <v>9262</v>
      </c>
      <c r="J4470">
        <f>LEN(Table13[[#This Row],[REFERENCE_DESCR1]])</f>
        <v>7</v>
      </c>
    </row>
    <row r="4471" spans="1:10" hidden="1">
      <c r="A4471" t="s">
        <v>2925</v>
      </c>
      <c r="B4471" t="s">
        <v>9263</v>
      </c>
      <c r="C4471" t="s">
        <v>9264</v>
      </c>
      <c r="J4471">
        <f>LEN(Table13[[#This Row],[REFERENCE_DESCR1]])</f>
        <v>7</v>
      </c>
    </row>
    <row r="4472" spans="1:10" hidden="1">
      <c r="A4472" t="s">
        <v>2925</v>
      </c>
      <c r="B4472" t="s">
        <v>9265</v>
      </c>
      <c r="C4472" t="s">
        <v>9266</v>
      </c>
      <c r="J4472">
        <f>LEN(Table13[[#This Row],[REFERENCE_DESCR1]])</f>
        <v>8</v>
      </c>
    </row>
    <row r="4473" spans="1:10" hidden="1">
      <c r="A4473" t="s">
        <v>2925</v>
      </c>
      <c r="B4473" t="s">
        <v>9267</v>
      </c>
      <c r="C4473" t="s">
        <v>9268</v>
      </c>
      <c r="J4473">
        <f>LEN(Table13[[#This Row],[REFERENCE_DESCR1]])</f>
        <v>10</v>
      </c>
    </row>
    <row r="4474" spans="1:10" hidden="1">
      <c r="A4474" t="s">
        <v>2925</v>
      </c>
      <c r="B4474" t="s">
        <v>9269</v>
      </c>
      <c r="C4474" t="s">
        <v>9270</v>
      </c>
      <c r="J4474">
        <f>LEN(Table13[[#This Row],[REFERENCE_DESCR1]])</f>
        <v>6</v>
      </c>
    </row>
    <row r="4475" spans="1:10" hidden="1">
      <c r="A4475" t="s">
        <v>2925</v>
      </c>
      <c r="B4475" t="s">
        <v>9271</v>
      </c>
      <c r="C4475" t="s">
        <v>9272</v>
      </c>
      <c r="J4475">
        <f>LEN(Table13[[#This Row],[REFERENCE_DESCR1]])</f>
        <v>8</v>
      </c>
    </row>
    <row r="4476" spans="1:10" hidden="1">
      <c r="A4476" t="s">
        <v>2925</v>
      </c>
      <c r="B4476" t="s">
        <v>9273</v>
      </c>
      <c r="C4476" t="s">
        <v>9274</v>
      </c>
      <c r="J4476">
        <f>LEN(Table13[[#This Row],[REFERENCE_DESCR1]])</f>
        <v>6</v>
      </c>
    </row>
    <row r="4477" spans="1:10" hidden="1">
      <c r="A4477" t="s">
        <v>2925</v>
      </c>
      <c r="B4477" t="s">
        <v>9275</v>
      </c>
      <c r="C4477" t="s">
        <v>9276</v>
      </c>
      <c r="J4477">
        <f>LEN(Table13[[#This Row],[REFERENCE_DESCR1]])</f>
        <v>14</v>
      </c>
    </row>
    <row r="4478" spans="1:10" hidden="1">
      <c r="A4478" t="s">
        <v>2925</v>
      </c>
      <c r="B4478" t="s">
        <v>9277</v>
      </c>
      <c r="C4478" t="s">
        <v>9278</v>
      </c>
      <c r="J4478">
        <f>LEN(Table13[[#This Row],[REFERENCE_DESCR1]])</f>
        <v>6</v>
      </c>
    </row>
    <row r="4479" spans="1:10" hidden="1">
      <c r="A4479" t="s">
        <v>2925</v>
      </c>
      <c r="B4479" t="s">
        <v>9279</v>
      </c>
      <c r="C4479" t="s">
        <v>9280</v>
      </c>
      <c r="J4479">
        <f>LEN(Table13[[#This Row],[REFERENCE_DESCR1]])</f>
        <v>5</v>
      </c>
    </row>
    <row r="4480" spans="1:10" hidden="1">
      <c r="A4480" t="s">
        <v>2925</v>
      </c>
      <c r="B4480" t="s">
        <v>9281</v>
      </c>
      <c r="C4480" t="s">
        <v>9282</v>
      </c>
      <c r="J4480">
        <f>LEN(Table13[[#This Row],[REFERENCE_DESCR1]])</f>
        <v>17</v>
      </c>
    </row>
    <row r="4481" spans="1:10" hidden="1">
      <c r="A4481" t="s">
        <v>2925</v>
      </c>
      <c r="B4481" t="s">
        <v>9283</v>
      </c>
      <c r="C4481" t="s">
        <v>9284</v>
      </c>
      <c r="J4481">
        <f>LEN(Table13[[#This Row],[REFERENCE_DESCR1]])</f>
        <v>13</v>
      </c>
    </row>
    <row r="4482" spans="1:10" hidden="1">
      <c r="A4482" t="s">
        <v>2925</v>
      </c>
      <c r="B4482" t="s">
        <v>9285</v>
      </c>
      <c r="C4482" t="s">
        <v>9286</v>
      </c>
      <c r="J4482">
        <f>LEN(Table13[[#This Row],[REFERENCE_DESCR1]])</f>
        <v>15</v>
      </c>
    </row>
    <row r="4483" spans="1:10" hidden="1">
      <c r="A4483" t="s">
        <v>2925</v>
      </c>
      <c r="B4483" t="s">
        <v>9287</v>
      </c>
      <c r="C4483" t="s">
        <v>9288</v>
      </c>
      <c r="J4483">
        <f>LEN(Table13[[#This Row],[REFERENCE_DESCR1]])</f>
        <v>17</v>
      </c>
    </row>
    <row r="4484" spans="1:10" hidden="1">
      <c r="A4484" t="s">
        <v>2925</v>
      </c>
      <c r="B4484" t="s">
        <v>9289</v>
      </c>
      <c r="C4484" t="s">
        <v>9290</v>
      </c>
      <c r="J4484">
        <f>LEN(Table13[[#This Row],[REFERENCE_DESCR1]])</f>
        <v>16</v>
      </c>
    </row>
    <row r="4485" spans="1:10" hidden="1">
      <c r="A4485" t="s">
        <v>2925</v>
      </c>
      <c r="B4485" t="s">
        <v>9291</v>
      </c>
      <c r="C4485" t="s">
        <v>9292</v>
      </c>
      <c r="J4485">
        <f>LEN(Table13[[#This Row],[REFERENCE_DESCR1]])</f>
        <v>8</v>
      </c>
    </row>
    <row r="4486" spans="1:10" hidden="1">
      <c r="A4486" t="s">
        <v>2925</v>
      </c>
      <c r="B4486" t="s">
        <v>9293</v>
      </c>
      <c r="C4486" t="s">
        <v>9294</v>
      </c>
      <c r="J4486">
        <f>LEN(Table13[[#This Row],[REFERENCE_DESCR1]])</f>
        <v>10</v>
      </c>
    </row>
    <row r="4487" spans="1:10" hidden="1">
      <c r="A4487" t="s">
        <v>2925</v>
      </c>
      <c r="B4487" t="s">
        <v>9295</v>
      </c>
      <c r="C4487" t="s">
        <v>9296</v>
      </c>
      <c r="J4487">
        <f>LEN(Table13[[#This Row],[REFERENCE_DESCR1]])</f>
        <v>8</v>
      </c>
    </row>
    <row r="4488" spans="1:10" hidden="1">
      <c r="A4488" t="s">
        <v>2925</v>
      </c>
      <c r="B4488" t="s">
        <v>9297</v>
      </c>
      <c r="C4488" t="s">
        <v>9298</v>
      </c>
      <c r="J4488">
        <f>LEN(Table13[[#This Row],[REFERENCE_DESCR1]])</f>
        <v>5</v>
      </c>
    </row>
    <row r="4489" spans="1:10" hidden="1">
      <c r="A4489" t="s">
        <v>2925</v>
      </c>
      <c r="B4489" t="s">
        <v>9299</v>
      </c>
      <c r="C4489" t="s">
        <v>9300</v>
      </c>
      <c r="J4489">
        <f>LEN(Table13[[#This Row],[REFERENCE_DESCR1]])</f>
        <v>16</v>
      </c>
    </row>
    <row r="4490" spans="1:10" hidden="1">
      <c r="A4490" t="s">
        <v>2925</v>
      </c>
      <c r="B4490" t="s">
        <v>9301</v>
      </c>
      <c r="C4490" t="s">
        <v>9302</v>
      </c>
      <c r="J4490">
        <f>LEN(Table13[[#This Row],[REFERENCE_DESCR1]])</f>
        <v>7</v>
      </c>
    </row>
    <row r="4491" spans="1:10" hidden="1">
      <c r="A4491" t="s">
        <v>2925</v>
      </c>
      <c r="B4491" t="s">
        <v>9303</v>
      </c>
      <c r="C4491" t="s">
        <v>9304</v>
      </c>
      <c r="J4491">
        <f>LEN(Table13[[#This Row],[REFERENCE_DESCR1]])</f>
        <v>19</v>
      </c>
    </row>
    <row r="4492" spans="1:10" hidden="1">
      <c r="A4492" t="s">
        <v>2925</v>
      </c>
      <c r="B4492" t="s">
        <v>9305</v>
      </c>
      <c r="C4492" t="s">
        <v>9306</v>
      </c>
      <c r="J4492">
        <f>LEN(Table13[[#This Row],[REFERENCE_DESCR1]])</f>
        <v>20</v>
      </c>
    </row>
    <row r="4493" spans="1:10" hidden="1">
      <c r="A4493" t="s">
        <v>2925</v>
      </c>
      <c r="B4493" t="s">
        <v>9307</v>
      </c>
      <c r="C4493" t="s">
        <v>9308</v>
      </c>
      <c r="J4493">
        <f>LEN(Table13[[#This Row],[REFERENCE_DESCR1]])</f>
        <v>9</v>
      </c>
    </row>
    <row r="4494" spans="1:10" hidden="1">
      <c r="A4494" t="s">
        <v>2925</v>
      </c>
      <c r="B4494" t="s">
        <v>9309</v>
      </c>
      <c r="C4494" t="s">
        <v>9310</v>
      </c>
      <c r="J4494">
        <f>LEN(Table13[[#This Row],[REFERENCE_DESCR1]])</f>
        <v>12</v>
      </c>
    </row>
    <row r="4495" spans="1:10" hidden="1">
      <c r="A4495" t="s">
        <v>2925</v>
      </c>
      <c r="B4495" t="s">
        <v>9311</v>
      </c>
      <c r="C4495" t="s">
        <v>9312</v>
      </c>
      <c r="J4495">
        <f>LEN(Table13[[#This Row],[REFERENCE_DESCR1]])</f>
        <v>7</v>
      </c>
    </row>
    <row r="4496" spans="1:10" hidden="1">
      <c r="A4496" t="s">
        <v>2925</v>
      </c>
      <c r="B4496" t="s">
        <v>9313</v>
      </c>
      <c r="C4496" t="s">
        <v>9314</v>
      </c>
      <c r="J4496">
        <f>LEN(Table13[[#This Row],[REFERENCE_DESCR1]])</f>
        <v>10</v>
      </c>
    </row>
    <row r="4497" spans="1:10" hidden="1">
      <c r="A4497" t="s">
        <v>2925</v>
      </c>
      <c r="B4497" t="s">
        <v>9315</v>
      </c>
      <c r="C4497" t="s">
        <v>9316</v>
      </c>
      <c r="J4497">
        <f>LEN(Table13[[#This Row],[REFERENCE_DESCR1]])</f>
        <v>17</v>
      </c>
    </row>
    <row r="4498" spans="1:10" hidden="1">
      <c r="A4498" t="s">
        <v>2925</v>
      </c>
      <c r="B4498" t="s">
        <v>9317</v>
      </c>
      <c r="C4498" t="s">
        <v>9318</v>
      </c>
      <c r="J4498">
        <f>LEN(Table13[[#This Row],[REFERENCE_DESCR1]])</f>
        <v>5</v>
      </c>
    </row>
    <row r="4499" spans="1:10" hidden="1">
      <c r="A4499" t="s">
        <v>2925</v>
      </c>
      <c r="B4499" t="s">
        <v>9319</v>
      </c>
      <c r="C4499" t="s">
        <v>9320</v>
      </c>
      <c r="J4499">
        <f>LEN(Table13[[#This Row],[REFERENCE_DESCR1]])</f>
        <v>10</v>
      </c>
    </row>
    <row r="4500" spans="1:10" hidden="1">
      <c r="A4500" t="s">
        <v>2925</v>
      </c>
      <c r="B4500" t="s">
        <v>9321</v>
      </c>
      <c r="C4500" t="s">
        <v>9322</v>
      </c>
      <c r="J4500">
        <f>LEN(Table13[[#This Row],[REFERENCE_DESCR1]])</f>
        <v>11</v>
      </c>
    </row>
    <row r="4501" spans="1:10" hidden="1">
      <c r="A4501" t="s">
        <v>2925</v>
      </c>
      <c r="B4501" t="s">
        <v>9323</v>
      </c>
      <c r="C4501" t="s">
        <v>9324</v>
      </c>
      <c r="J4501">
        <f>LEN(Table13[[#This Row],[REFERENCE_DESCR1]])</f>
        <v>8</v>
      </c>
    </row>
    <row r="4502" spans="1:10" hidden="1">
      <c r="A4502" t="s">
        <v>2925</v>
      </c>
      <c r="B4502" t="s">
        <v>9325</v>
      </c>
      <c r="C4502" t="s">
        <v>9326</v>
      </c>
      <c r="J4502">
        <f>LEN(Table13[[#This Row],[REFERENCE_DESCR1]])</f>
        <v>9</v>
      </c>
    </row>
    <row r="4503" spans="1:10" hidden="1">
      <c r="A4503" t="s">
        <v>2925</v>
      </c>
      <c r="B4503" t="s">
        <v>9327</v>
      </c>
      <c r="C4503" t="s">
        <v>9328</v>
      </c>
      <c r="J4503">
        <f>LEN(Table13[[#This Row],[REFERENCE_DESCR1]])</f>
        <v>6</v>
      </c>
    </row>
    <row r="4504" spans="1:10" hidden="1">
      <c r="A4504" t="s">
        <v>2925</v>
      </c>
      <c r="B4504" t="s">
        <v>9329</v>
      </c>
      <c r="C4504" t="s">
        <v>9330</v>
      </c>
      <c r="J4504">
        <f>LEN(Table13[[#This Row],[REFERENCE_DESCR1]])</f>
        <v>10</v>
      </c>
    </row>
    <row r="4505" spans="1:10" hidden="1">
      <c r="A4505" t="s">
        <v>2925</v>
      </c>
      <c r="B4505" t="s">
        <v>9331</v>
      </c>
      <c r="C4505" t="s">
        <v>9332</v>
      </c>
      <c r="J4505">
        <f>LEN(Table13[[#This Row],[REFERENCE_DESCR1]])</f>
        <v>7</v>
      </c>
    </row>
    <row r="4506" spans="1:10" hidden="1">
      <c r="A4506" t="s">
        <v>2925</v>
      </c>
      <c r="B4506" t="s">
        <v>9333</v>
      </c>
      <c r="C4506" t="s">
        <v>9334</v>
      </c>
      <c r="J4506">
        <f>LEN(Table13[[#This Row],[REFERENCE_DESCR1]])</f>
        <v>7</v>
      </c>
    </row>
    <row r="4507" spans="1:10" hidden="1">
      <c r="A4507" t="s">
        <v>2925</v>
      </c>
      <c r="B4507" t="s">
        <v>9335</v>
      </c>
      <c r="C4507" t="s">
        <v>9336</v>
      </c>
      <c r="J4507">
        <f>LEN(Table13[[#This Row],[REFERENCE_DESCR1]])</f>
        <v>19</v>
      </c>
    </row>
    <row r="4508" spans="1:10" hidden="1">
      <c r="A4508" t="s">
        <v>9337</v>
      </c>
      <c r="B4508">
        <v>1</v>
      </c>
      <c r="C4508" t="s">
        <v>9338</v>
      </c>
      <c r="J4508">
        <f>LEN(Table13[[#This Row],[REFERENCE_DESCR1]])</f>
        <v>30</v>
      </c>
    </row>
    <row r="4509" spans="1:10" hidden="1">
      <c r="A4509" t="s">
        <v>9337</v>
      </c>
      <c r="B4509">
        <v>2</v>
      </c>
      <c r="C4509" t="s">
        <v>9339</v>
      </c>
      <c r="J4509">
        <f>LEN(Table13[[#This Row],[REFERENCE_DESCR1]])</f>
        <v>32</v>
      </c>
    </row>
    <row r="4510" spans="1:10" hidden="1">
      <c r="A4510" t="s">
        <v>9337</v>
      </c>
      <c r="B4510">
        <v>3</v>
      </c>
      <c r="C4510" t="s">
        <v>9340</v>
      </c>
      <c r="J4510">
        <f>LEN(Table13[[#This Row],[REFERENCE_DESCR1]])</f>
        <v>22</v>
      </c>
    </row>
    <row r="4511" spans="1:10" hidden="1">
      <c r="A4511" t="s">
        <v>9337</v>
      </c>
      <c r="B4511">
        <v>4</v>
      </c>
      <c r="C4511" t="s">
        <v>9341</v>
      </c>
      <c r="J4511">
        <f>LEN(Table13[[#This Row],[REFERENCE_DESCR1]])</f>
        <v>30</v>
      </c>
    </row>
    <row r="4512" spans="1:10" hidden="1">
      <c r="A4512" t="s">
        <v>9337</v>
      </c>
      <c r="B4512">
        <v>5</v>
      </c>
      <c r="C4512" t="s">
        <v>9342</v>
      </c>
      <c r="J4512">
        <f>LEN(Table13[[#This Row],[REFERENCE_DESCR1]])</f>
        <v>32</v>
      </c>
    </row>
    <row r="4513" spans="1:10" hidden="1">
      <c r="A4513" t="s">
        <v>9337</v>
      </c>
      <c r="B4513">
        <v>6</v>
      </c>
      <c r="C4513" t="s">
        <v>9343</v>
      </c>
      <c r="J4513">
        <f>LEN(Table13[[#This Row],[REFERENCE_DESCR1]])</f>
        <v>22</v>
      </c>
    </row>
    <row r="4514" spans="1:10" hidden="1">
      <c r="A4514" t="s">
        <v>9337</v>
      </c>
      <c r="B4514">
        <v>7</v>
      </c>
      <c r="C4514" t="s">
        <v>9344</v>
      </c>
      <c r="J4514">
        <f>LEN(Table13[[#This Row],[REFERENCE_DESCR1]])</f>
        <v>10</v>
      </c>
    </row>
    <row r="4515" spans="1:10" hidden="1">
      <c r="A4515" t="s">
        <v>9345</v>
      </c>
      <c r="B4515" t="s">
        <v>9346</v>
      </c>
      <c r="C4515" t="s">
        <v>9347</v>
      </c>
      <c r="J4515">
        <f>LEN(Table13[[#This Row],[REFERENCE_DESCR1]])</f>
        <v>7</v>
      </c>
    </row>
    <row r="4516" spans="1:10" hidden="1">
      <c r="A4516" t="s">
        <v>9345</v>
      </c>
      <c r="B4516" t="s">
        <v>9348</v>
      </c>
      <c r="C4516" t="s">
        <v>9349</v>
      </c>
      <c r="J4516">
        <f>LEN(Table13[[#This Row],[REFERENCE_DESCR1]])</f>
        <v>6</v>
      </c>
    </row>
    <row r="4517" spans="1:10" hidden="1">
      <c r="A4517" t="s">
        <v>9345</v>
      </c>
      <c r="B4517" t="s">
        <v>9350</v>
      </c>
      <c r="C4517" t="s">
        <v>9351</v>
      </c>
      <c r="J4517">
        <f>LEN(Table13[[#This Row],[REFERENCE_DESCR1]])</f>
        <v>4</v>
      </c>
    </row>
    <row r="4518" spans="1:10" hidden="1">
      <c r="A4518" t="s">
        <v>9345</v>
      </c>
      <c r="B4518" t="s">
        <v>9351</v>
      </c>
      <c r="C4518" t="s">
        <v>9351</v>
      </c>
      <c r="J4518">
        <f>LEN(Table13[[#This Row],[REFERENCE_DESCR1]])</f>
        <v>4</v>
      </c>
    </row>
    <row r="4519" spans="1:10" hidden="1">
      <c r="A4519" t="s">
        <v>9345</v>
      </c>
      <c r="B4519" t="s">
        <v>9352</v>
      </c>
      <c r="C4519" t="s">
        <v>9353</v>
      </c>
      <c r="J4519">
        <f>LEN(Table13[[#This Row],[REFERENCE_DESCR1]])</f>
        <v>7</v>
      </c>
    </row>
    <row r="4520" spans="1:10" hidden="1">
      <c r="A4520" t="s">
        <v>9345</v>
      </c>
      <c r="B4520" t="s">
        <v>9354</v>
      </c>
      <c r="C4520" t="s">
        <v>9355</v>
      </c>
      <c r="J4520">
        <f>LEN(Table13[[#This Row],[REFERENCE_DESCR1]])</f>
        <v>10</v>
      </c>
    </row>
    <row r="4521" spans="1:10" hidden="1">
      <c r="A4521" t="s">
        <v>9345</v>
      </c>
      <c r="B4521" t="s">
        <v>9356</v>
      </c>
      <c r="C4521" t="s">
        <v>9356</v>
      </c>
      <c r="J4521">
        <f>LEN(Table13[[#This Row],[REFERENCE_DESCR1]])</f>
        <v>4</v>
      </c>
    </row>
    <row r="4522" spans="1:10" hidden="1">
      <c r="A4522" t="s">
        <v>9345</v>
      </c>
      <c r="B4522" t="s">
        <v>9357</v>
      </c>
      <c r="C4522" t="s">
        <v>9358</v>
      </c>
      <c r="J4522">
        <f>LEN(Table13[[#This Row],[REFERENCE_DESCR1]])</f>
        <v>5</v>
      </c>
    </row>
    <row r="4523" spans="1:10" hidden="1">
      <c r="A4523" t="s">
        <v>9345</v>
      </c>
      <c r="B4523" t="s">
        <v>9359</v>
      </c>
      <c r="C4523" t="s">
        <v>9359</v>
      </c>
      <c r="J4523">
        <f>LEN(Table13[[#This Row],[REFERENCE_DESCR1]])</f>
        <v>4</v>
      </c>
    </row>
    <row r="4524" spans="1:10" hidden="1">
      <c r="A4524" t="s">
        <v>9345</v>
      </c>
      <c r="B4524" t="s">
        <v>9360</v>
      </c>
      <c r="C4524" t="s">
        <v>9361</v>
      </c>
      <c r="J4524">
        <f>LEN(Table13[[#This Row],[REFERENCE_DESCR1]])</f>
        <v>15</v>
      </c>
    </row>
    <row r="4525" spans="1:10" hidden="1">
      <c r="A4525" t="s">
        <v>9345</v>
      </c>
      <c r="B4525" t="s">
        <v>9362</v>
      </c>
      <c r="C4525" t="s">
        <v>9363</v>
      </c>
      <c r="J4525">
        <f>LEN(Table13[[#This Row],[REFERENCE_DESCR1]])</f>
        <v>9</v>
      </c>
    </row>
    <row r="4526" spans="1:10" hidden="1">
      <c r="A4526" t="s">
        <v>9345</v>
      </c>
      <c r="B4526" t="s">
        <v>9364</v>
      </c>
      <c r="C4526" t="s">
        <v>9365</v>
      </c>
      <c r="J4526">
        <f>LEN(Table13[[#This Row],[REFERENCE_DESCR1]])</f>
        <v>6</v>
      </c>
    </row>
    <row r="4527" spans="1:10" hidden="1">
      <c r="A4527" t="s">
        <v>9345</v>
      </c>
      <c r="B4527" t="s">
        <v>9366</v>
      </c>
      <c r="C4527" t="s">
        <v>9367</v>
      </c>
      <c r="J4527">
        <f>LEN(Table13[[#This Row],[REFERENCE_DESCR1]])</f>
        <v>13</v>
      </c>
    </row>
    <row r="4528" spans="1:10" hidden="1">
      <c r="A4528" t="s">
        <v>9345</v>
      </c>
      <c r="B4528" t="s">
        <v>9368</v>
      </c>
      <c r="C4528" t="s">
        <v>9368</v>
      </c>
      <c r="J4528">
        <f>LEN(Table13[[#This Row],[REFERENCE_DESCR1]])</f>
        <v>2</v>
      </c>
    </row>
    <row r="4529" spans="1:10" hidden="1">
      <c r="A4529" t="s">
        <v>9345</v>
      </c>
      <c r="B4529" t="s">
        <v>9369</v>
      </c>
      <c r="C4529" t="s">
        <v>9369</v>
      </c>
      <c r="J4529">
        <f>LEN(Table13[[#This Row],[REFERENCE_DESCR1]])</f>
        <v>5</v>
      </c>
    </row>
    <row r="4530" spans="1:10" hidden="1">
      <c r="A4530" t="s">
        <v>9345</v>
      </c>
      <c r="B4530" t="s">
        <v>9370</v>
      </c>
      <c r="C4530" t="s">
        <v>9371</v>
      </c>
      <c r="J4530">
        <f>LEN(Table13[[#This Row],[REFERENCE_DESCR1]])</f>
        <v>6</v>
      </c>
    </row>
    <row r="4531" spans="1:10" hidden="1">
      <c r="A4531" t="s">
        <v>9345</v>
      </c>
      <c r="B4531" t="s">
        <v>9372</v>
      </c>
      <c r="C4531" t="s">
        <v>9373</v>
      </c>
      <c r="J4531">
        <f>LEN(Table13[[#This Row],[REFERENCE_DESCR1]])</f>
        <v>12</v>
      </c>
    </row>
    <row r="4532" spans="1:10" hidden="1">
      <c r="A4532" t="s">
        <v>9345</v>
      </c>
      <c r="B4532" t="s">
        <v>9374</v>
      </c>
      <c r="C4532" t="s">
        <v>9375</v>
      </c>
      <c r="J4532">
        <f>LEN(Table13[[#This Row],[REFERENCE_DESCR1]])</f>
        <v>5</v>
      </c>
    </row>
    <row r="4533" spans="1:10" hidden="1">
      <c r="A4533" t="s">
        <v>9345</v>
      </c>
      <c r="B4533" t="s">
        <v>9376</v>
      </c>
      <c r="C4533" t="s">
        <v>9376</v>
      </c>
      <c r="J4533">
        <f>LEN(Table13[[#This Row],[REFERENCE_DESCR1]])</f>
        <v>4</v>
      </c>
    </row>
    <row r="4534" spans="1:10" hidden="1">
      <c r="A4534" t="s">
        <v>9345</v>
      </c>
      <c r="B4534" t="s">
        <v>9377</v>
      </c>
      <c r="C4534" t="s">
        <v>9377</v>
      </c>
      <c r="J4534">
        <f>LEN(Table13[[#This Row],[REFERENCE_DESCR1]])</f>
        <v>9</v>
      </c>
    </row>
    <row r="4535" spans="1:10" hidden="1">
      <c r="A4535" t="s">
        <v>9345</v>
      </c>
      <c r="B4535" t="s">
        <v>9378</v>
      </c>
      <c r="C4535" t="s">
        <v>9379</v>
      </c>
      <c r="J4535">
        <f>LEN(Table13[[#This Row],[REFERENCE_DESCR1]])</f>
        <v>19</v>
      </c>
    </row>
    <row r="4536" spans="1:10" hidden="1">
      <c r="A4536" t="s">
        <v>9345</v>
      </c>
      <c r="B4536" t="s">
        <v>9380</v>
      </c>
      <c r="C4536" t="s">
        <v>9380</v>
      </c>
      <c r="J4536">
        <f>LEN(Table13[[#This Row],[REFERENCE_DESCR1]])</f>
        <v>8</v>
      </c>
    </row>
    <row r="4537" spans="1:10" hidden="1">
      <c r="A4537" t="s">
        <v>9345</v>
      </c>
      <c r="B4537" t="s">
        <v>9381</v>
      </c>
      <c r="C4537" t="s">
        <v>9382</v>
      </c>
      <c r="J4537">
        <f>LEN(Table13[[#This Row],[REFERENCE_DESCR1]])</f>
        <v>9</v>
      </c>
    </row>
    <row r="4538" spans="1:10" hidden="1">
      <c r="A4538" t="s">
        <v>9383</v>
      </c>
      <c r="B4538" t="s">
        <v>9384</v>
      </c>
      <c r="C4538" t="s">
        <v>9385</v>
      </c>
      <c r="J4538">
        <f>LEN(Table13[[#This Row],[REFERENCE_DESCR1]])</f>
        <v>14</v>
      </c>
    </row>
    <row r="4539" spans="1:10" hidden="1">
      <c r="A4539" t="s">
        <v>9383</v>
      </c>
      <c r="B4539" t="s">
        <v>9386</v>
      </c>
      <c r="C4539" t="s">
        <v>9387</v>
      </c>
      <c r="J4539">
        <f>LEN(Table13[[#This Row],[REFERENCE_DESCR1]])</f>
        <v>28</v>
      </c>
    </row>
    <row r="4540" spans="1:10" hidden="1">
      <c r="A4540" t="s">
        <v>9383</v>
      </c>
      <c r="B4540" t="s">
        <v>9388</v>
      </c>
      <c r="C4540" t="s">
        <v>9389</v>
      </c>
      <c r="J4540">
        <f>LEN(Table13[[#This Row],[REFERENCE_DESCR1]])</f>
        <v>11</v>
      </c>
    </row>
    <row r="4541" spans="1:10" hidden="1">
      <c r="A4541" t="s">
        <v>9383</v>
      </c>
      <c r="B4541" t="s">
        <v>9390</v>
      </c>
      <c r="C4541" t="s">
        <v>9391</v>
      </c>
      <c r="J4541">
        <f>LEN(Table13[[#This Row],[REFERENCE_DESCR1]])</f>
        <v>18</v>
      </c>
    </row>
    <row r="4542" spans="1:10" hidden="1">
      <c r="A4542" t="s">
        <v>9383</v>
      </c>
      <c r="B4542" t="s">
        <v>9392</v>
      </c>
      <c r="C4542" t="s">
        <v>9393</v>
      </c>
      <c r="J4542">
        <f>LEN(Table13[[#This Row],[REFERENCE_DESCR1]])</f>
        <v>11</v>
      </c>
    </row>
    <row r="4543" spans="1:10" hidden="1">
      <c r="A4543" t="s">
        <v>9383</v>
      </c>
      <c r="B4543" t="s">
        <v>9394</v>
      </c>
      <c r="C4543" t="s">
        <v>9395</v>
      </c>
      <c r="J4543">
        <f>LEN(Table13[[#This Row],[REFERENCE_DESCR1]])</f>
        <v>5</v>
      </c>
    </row>
    <row r="4544" spans="1:10" hidden="1">
      <c r="A4544" t="s">
        <v>9383</v>
      </c>
      <c r="B4544" t="s">
        <v>1175</v>
      </c>
      <c r="C4544" t="s">
        <v>9396</v>
      </c>
      <c r="J4544">
        <f>LEN(Table13[[#This Row],[REFERENCE_DESCR1]])</f>
        <v>40</v>
      </c>
    </row>
    <row r="4545" spans="1:10" hidden="1">
      <c r="A4545" t="s">
        <v>9383</v>
      </c>
      <c r="B4545" t="s">
        <v>9397</v>
      </c>
      <c r="C4545" t="s">
        <v>9398</v>
      </c>
      <c r="J4545">
        <f>LEN(Table13[[#This Row],[REFERENCE_DESCR1]])</f>
        <v>6</v>
      </c>
    </row>
    <row r="4546" spans="1:10" hidden="1">
      <c r="A4546" t="s">
        <v>9383</v>
      </c>
      <c r="B4546" t="s">
        <v>9399</v>
      </c>
      <c r="C4546" t="s">
        <v>9400</v>
      </c>
      <c r="J4546">
        <f>LEN(Table13[[#This Row],[REFERENCE_DESCR1]])</f>
        <v>12</v>
      </c>
    </row>
    <row r="4547" spans="1:10" hidden="1">
      <c r="A4547" t="s">
        <v>9383</v>
      </c>
      <c r="B4547" t="s">
        <v>9401</v>
      </c>
      <c r="C4547" t="s">
        <v>9402</v>
      </c>
      <c r="J4547">
        <f>LEN(Table13[[#This Row],[REFERENCE_DESCR1]])</f>
        <v>7</v>
      </c>
    </row>
    <row r="4548" spans="1:10" hidden="1">
      <c r="A4548" t="s">
        <v>9383</v>
      </c>
      <c r="B4548" t="s">
        <v>9403</v>
      </c>
      <c r="C4548" t="s">
        <v>9404</v>
      </c>
      <c r="J4548">
        <f>LEN(Table13[[#This Row],[REFERENCE_DESCR1]])</f>
        <v>25</v>
      </c>
    </row>
    <row r="4549" spans="1:10" hidden="1">
      <c r="A4549" t="s">
        <v>9405</v>
      </c>
      <c r="B4549" t="s">
        <v>1150</v>
      </c>
      <c r="C4549" t="s">
        <v>9406</v>
      </c>
      <c r="J4549">
        <f>LEN(Table13[[#This Row],[REFERENCE_DESCR1]])</f>
        <v>8</v>
      </c>
    </row>
    <row r="4550" spans="1:10" hidden="1">
      <c r="A4550" t="s">
        <v>9405</v>
      </c>
      <c r="B4550" t="s">
        <v>1517</v>
      </c>
      <c r="C4550" t="s">
        <v>9407</v>
      </c>
      <c r="J4550">
        <f>LEN(Table13[[#This Row],[REFERENCE_DESCR1]])</f>
        <v>3</v>
      </c>
    </row>
    <row r="4551" spans="1:10" hidden="1">
      <c r="A4551" t="s">
        <v>9405</v>
      </c>
      <c r="B4551" t="s">
        <v>1369</v>
      </c>
      <c r="C4551" t="s">
        <v>9408</v>
      </c>
      <c r="J4551">
        <f>LEN(Table13[[#This Row],[REFERENCE_DESCR1]])</f>
        <v>29</v>
      </c>
    </row>
    <row r="4552" spans="1:10" hidden="1">
      <c r="A4552" t="s">
        <v>9405</v>
      </c>
      <c r="B4552" t="s">
        <v>1239</v>
      </c>
      <c r="C4552" t="s">
        <v>9409</v>
      </c>
      <c r="J4552">
        <f>LEN(Table13[[#This Row],[REFERENCE_DESCR1]])</f>
        <v>18</v>
      </c>
    </row>
    <row r="4553" spans="1:10" hidden="1">
      <c r="A4553" t="s">
        <v>9405</v>
      </c>
      <c r="B4553" t="s">
        <v>1438</v>
      </c>
      <c r="C4553" t="s">
        <v>9410</v>
      </c>
      <c r="J4553">
        <f>LEN(Table13[[#This Row],[REFERENCE_DESCR1]])</f>
        <v>24</v>
      </c>
    </row>
    <row r="4554" spans="1:10" hidden="1">
      <c r="A4554" t="s">
        <v>9405</v>
      </c>
      <c r="B4554" t="s">
        <v>1154</v>
      </c>
      <c r="C4554" t="s">
        <v>9411</v>
      </c>
      <c r="J4554">
        <f>LEN(Table13[[#This Row],[REFERENCE_DESCR1]])</f>
        <v>5</v>
      </c>
    </row>
    <row r="4555" spans="1:10" hidden="1">
      <c r="A4555" t="s">
        <v>9405</v>
      </c>
      <c r="B4555" t="s">
        <v>1156</v>
      </c>
      <c r="C4555" t="s">
        <v>9412</v>
      </c>
      <c r="J4555">
        <f>LEN(Table13[[#This Row],[REFERENCE_DESCR1]])</f>
        <v>9</v>
      </c>
    </row>
    <row r="4556" spans="1:10">
      <c r="A4556" t="s">
        <v>9405</v>
      </c>
      <c r="B4556" t="s">
        <v>1379</v>
      </c>
      <c r="C4556" t="s">
        <v>9413</v>
      </c>
      <c r="J4556">
        <f>LEN(Table13[[#This Row],[REFERENCE_DESCR1]])</f>
        <v>5</v>
      </c>
    </row>
    <row r="4557" spans="1:10" hidden="1">
      <c r="A4557" t="s">
        <v>9414</v>
      </c>
      <c r="B4557" t="s">
        <v>9415</v>
      </c>
      <c r="C4557" t="s">
        <v>9416</v>
      </c>
      <c r="J4557">
        <f>LEN(Table13[[#This Row],[REFERENCE_DESCR1]])</f>
        <v>6</v>
      </c>
    </row>
    <row r="4558" spans="1:10" hidden="1">
      <c r="A4558" t="s">
        <v>9414</v>
      </c>
      <c r="B4558" t="s">
        <v>9417</v>
      </c>
      <c r="C4558" t="s">
        <v>9418</v>
      </c>
      <c r="J4558">
        <f>LEN(Table13[[#This Row],[REFERENCE_DESCR1]])</f>
        <v>7</v>
      </c>
    </row>
    <row r="4559" spans="1:10" hidden="1">
      <c r="A4559" t="s">
        <v>9414</v>
      </c>
      <c r="B4559" t="s">
        <v>5023</v>
      </c>
      <c r="C4559" t="s">
        <v>9419</v>
      </c>
      <c r="J4559">
        <f>LEN(Table13[[#This Row],[REFERENCE_DESCR1]])</f>
        <v>23</v>
      </c>
    </row>
    <row r="4560" spans="1:10" hidden="1">
      <c r="A4560" t="s">
        <v>9414</v>
      </c>
      <c r="B4560" t="s">
        <v>7726</v>
      </c>
      <c r="C4560" t="s">
        <v>9420</v>
      </c>
      <c r="J4560">
        <f>LEN(Table13[[#This Row],[REFERENCE_DESCR1]])</f>
        <v>26</v>
      </c>
    </row>
    <row r="4561" spans="1:10" hidden="1">
      <c r="A4561" t="s">
        <v>9414</v>
      </c>
      <c r="B4561" t="s">
        <v>9421</v>
      </c>
      <c r="C4561" t="s">
        <v>9422</v>
      </c>
      <c r="J4561">
        <f>LEN(Table13[[#This Row],[REFERENCE_DESCR1]])</f>
        <v>23</v>
      </c>
    </row>
    <row r="4562" spans="1:10" hidden="1">
      <c r="A4562" t="s">
        <v>857</v>
      </c>
      <c r="B4562" t="s">
        <v>9423</v>
      </c>
      <c r="C4562" t="s">
        <v>9424</v>
      </c>
      <c r="D4562" t="s">
        <v>9417</v>
      </c>
      <c r="J4562">
        <f>LEN(Table13[[#This Row],[REFERENCE_DESCR1]])</f>
        <v>20</v>
      </c>
    </row>
    <row r="4563" spans="1:10" hidden="1">
      <c r="A4563" t="s">
        <v>857</v>
      </c>
      <c r="B4563" t="s">
        <v>9425</v>
      </c>
      <c r="C4563" t="s">
        <v>9426</v>
      </c>
      <c r="D4563" t="s">
        <v>9417</v>
      </c>
      <c r="J4563">
        <f>LEN(Table13[[#This Row],[REFERENCE_DESCR1]])</f>
        <v>14</v>
      </c>
    </row>
    <row r="4564" spans="1:10" hidden="1">
      <c r="A4564" t="s">
        <v>857</v>
      </c>
      <c r="B4564" t="s">
        <v>9427</v>
      </c>
      <c r="C4564" t="s">
        <v>9428</v>
      </c>
      <c r="D4564" t="s">
        <v>9417</v>
      </c>
      <c r="J4564">
        <f>LEN(Table13[[#This Row],[REFERENCE_DESCR1]])</f>
        <v>16</v>
      </c>
    </row>
    <row r="4565" spans="1:10" hidden="1">
      <c r="A4565" t="s">
        <v>857</v>
      </c>
      <c r="B4565" t="s">
        <v>9429</v>
      </c>
      <c r="C4565" t="s">
        <v>9430</v>
      </c>
      <c r="D4565" t="s">
        <v>9417</v>
      </c>
      <c r="J4565">
        <f>LEN(Table13[[#This Row],[REFERENCE_DESCR1]])</f>
        <v>16</v>
      </c>
    </row>
    <row r="4566" spans="1:10" hidden="1">
      <c r="A4566" t="s">
        <v>857</v>
      </c>
      <c r="B4566" t="s">
        <v>9431</v>
      </c>
      <c r="C4566" t="s">
        <v>9432</v>
      </c>
      <c r="D4566" t="s">
        <v>9417</v>
      </c>
      <c r="J4566">
        <f>LEN(Table13[[#This Row],[REFERENCE_DESCR1]])</f>
        <v>16</v>
      </c>
    </row>
    <row r="4567" spans="1:10" hidden="1">
      <c r="A4567" t="s">
        <v>857</v>
      </c>
      <c r="B4567" t="s">
        <v>2792</v>
      </c>
      <c r="C4567" t="s">
        <v>9433</v>
      </c>
      <c r="D4567" t="s">
        <v>9421</v>
      </c>
      <c r="J4567">
        <f>LEN(Table13[[#This Row],[REFERENCE_DESCR1]])</f>
        <v>20</v>
      </c>
    </row>
    <row r="4568" spans="1:10" hidden="1">
      <c r="A4568" t="s">
        <v>857</v>
      </c>
      <c r="B4568" t="s">
        <v>2794</v>
      </c>
      <c r="C4568" t="s">
        <v>9434</v>
      </c>
      <c r="D4568" t="s">
        <v>9421</v>
      </c>
      <c r="J4568">
        <f>LEN(Table13[[#This Row],[REFERENCE_DESCR1]])</f>
        <v>20</v>
      </c>
    </row>
    <row r="4569" spans="1:10" hidden="1">
      <c r="A4569" t="s">
        <v>857</v>
      </c>
      <c r="B4569" t="s">
        <v>2796</v>
      </c>
      <c r="C4569" t="s">
        <v>9435</v>
      </c>
      <c r="D4569" t="s">
        <v>9421</v>
      </c>
      <c r="J4569">
        <f>LEN(Table13[[#This Row],[REFERENCE_DESCR1]])</f>
        <v>20</v>
      </c>
    </row>
    <row r="4570" spans="1:10" hidden="1">
      <c r="A4570" t="s">
        <v>857</v>
      </c>
      <c r="B4570" t="s">
        <v>9436</v>
      </c>
      <c r="C4570" t="s">
        <v>9437</v>
      </c>
      <c r="D4570" t="s">
        <v>9421</v>
      </c>
      <c r="J4570">
        <f>LEN(Table13[[#This Row],[REFERENCE_DESCR1]])</f>
        <v>20</v>
      </c>
    </row>
    <row r="4571" spans="1:10" hidden="1">
      <c r="A4571" t="s">
        <v>857</v>
      </c>
      <c r="B4571" t="s">
        <v>9438</v>
      </c>
      <c r="C4571" t="s">
        <v>9439</v>
      </c>
      <c r="D4571" t="s">
        <v>9421</v>
      </c>
      <c r="J4571">
        <f>LEN(Table13[[#This Row],[REFERENCE_DESCR1]])</f>
        <v>34</v>
      </c>
    </row>
    <row r="4572" spans="1:10" hidden="1">
      <c r="A4572" t="s">
        <v>9440</v>
      </c>
      <c r="B4572" t="s">
        <v>1146</v>
      </c>
      <c r="C4572" t="s">
        <v>9441</v>
      </c>
      <c r="J4572">
        <f>LEN(Table13[[#This Row],[REFERENCE_DESCR1]])</f>
        <v>18</v>
      </c>
    </row>
    <row r="4573" spans="1:10" hidden="1">
      <c r="A4573" t="s">
        <v>9440</v>
      </c>
      <c r="B4573" t="s">
        <v>1150</v>
      </c>
      <c r="C4573" t="s">
        <v>9442</v>
      </c>
      <c r="J4573">
        <f>LEN(Table13[[#This Row],[REFERENCE_DESCR1]])</f>
        <v>17</v>
      </c>
    </row>
    <row r="4574" spans="1:10" hidden="1">
      <c r="A4574" t="s">
        <v>9440</v>
      </c>
      <c r="B4574" t="s">
        <v>1367</v>
      </c>
      <c r="C4574" t="s">
        <v>9443</v>
      </c>
      <c r="J4574">
        <f>LEN(Table13[[#This Row],[REFERENCE_DESCR1]])</f>
        <v>18</v>
      </c>
    </row>
    <row r="4575" spans="1:10" hidden="1">
      <c r="A4575" t="s">
        <v>9440</v>
      </c>
      <c r="B4575" t="s">
        <v>1237</v>
      </c>
      <c r="C4575" t="s">
        <v>9444</v>
      </c>
      <c r="J4575">
        <f>LEN(Table13[[#This Row],[REFERENCE_DESCR1]])</f>
        <v>10</v>
      </c>
    </row>
    <row r="4576" spans="1:10" hidden="1">
      <c r="A4576" t="s">
        <v>9445</v>
      </c>
      <c r="B4576" t="s">
        <v>1150</v>
      </c>
      <c r="C4576" t="s">
        <v>9446</v>
      </c>
      <c r="J4576">
        <f>LEN(Table13[[#This Row],[REFERENCE_DESCR1]])</f>
        <v>6</v>
      </c>
    </row>
    <row r="4577" spans="1:10" hidden="1">
      <c r="A4577" t="s">
        <v>9445</v>
      </c>
      <c r="B4577" t="s">
        <v>1237</v>
      </c>
      <c r="C4577" t="s">
        <v>9447</v>
      </c>
      <c r="J4577">
        <f>LEN(Table13[[#This Row],[REFERENCE_DESCR1]])</f>
        <v>5</v>
      </c>
    </row>
    <row r="4578" spans="1:10" hidden="1">
      <c r="A4578" t="s">
        <v>9445</v>
      </c>
      <c r="B4578" t="s">
        <v>1600</v>
      </c>
      <c r="C4578" t="s">
        <v>9448</v>
      </c>
      <c r="J4578">
        <f>LEN(Table13[[#This Row],[REFERENCE_DESCR1]])</f>
        <v>7</v>
      </c>
    </row>
    <row r="4579" spans="1:10" hidden="1">
      <c r="A4579" t="s">
        <v>9445</v>
      </c>
      <c r="B4579" t="s">
        <v>1363</v>
      </c>
      <c r="C4579" t="s">
        <v>9449</v>
      </c>
      <c r="J4579">
        <f>LEN(Table13[[#This Row],[REFERENCE_DESCR1]])</f>
        <v>5</v>
      </c>
    </row>
    <row r="4580" spans="1:10" hidden="1">
      <c r="A4580" t="s">
        <v>9445</v>
      </c>
      <c r="B4580" t="s">
        <v>1373</v>
      </c>
      <c r="C4580" t="s">
        <v>9450</v>
      </c>
      <c r="J4580">
        <f>LEN(Table13[[#This Row],[REFERENCE_DESCR1]])</f>
        <v>5</v>
      </c>
    </row>
    <row r="4581" spans="1:10" hidden="1">
      <c r="A4581" t="s">
        <v>9445</v>
      </c>
      <c r="B4581" t="s">
        <v>1154</v>
      </c>
      <c r="C4581" t="s">
        <v>9451</v>
      </c>
      <c r="J4581">
        <f>LEN(Table13[[#This Row],[REFERENCE_DESCR1]])</f>
        <v>5</v>
      </c>
    </row>
    <row r="4582" spans="1:10">
      <c r="A4582" t="s">
        <v>9445</v>
      </c>
      <c r="B4582" t="s">
        <v>1379</v>
      </c>
      <c r="C4582" t="s">
        <v>9452</v>
      </c>
      <c r="J4582">
        <f>LEN(Table13[[#This Row],[REFERENCE_DESCR1]])</f>
        <v>5</v>
      </c>
    </row>
    <row r="4583" spans="1:10" hidden="1">
      <c r="A4583" t="s">
        <v>9453</v>
      </c>
      <c r="B4583">
        <v>1</v>
      </c>
      <c r="C4583" t="s">
        <v>2545</v>
      </c>
      <c r="J4583">
        <f>LEN(Table13[[#This Row],[REFERENCE_DESCR1]])</f>
        <v>4</v>
      </c>
    </row>
    <row r="4584" spans="1:10" hidden="1">
      <c r="A4584" t="s">
        <v>9453</v>
      </c>
      <c r="B4584">
        <v>2</v>
      </c>
      <c r="C4584" t="s">
        <v>2543</v>
      </c>
      <c r="J4584">
        <f>LEN(Table13[[#This Row],[REFERENCE_DESCR1]])</f>
        <v>6</v>
      </c>
    </row>
    <row r="4585" spans="1:10" hidden="1">
      <c r="A4585" t="s">
        <v>9453</v>
      </c>
      <c r="B4585">
        <v>3</v>
      </c>
      <c r="C4585" t="s">
        <v>2541</v>
      </c>
      <c r="J4585">
        <f>LEN(Table13[[#This Row],[REFERENCE_DESCR1]])</f>
        <v>3</v>
      </c>
    </row>
    <row r="4586" spans="1:10" hidden="1">
      <c r="A4586" t="s">
        <v>9454</v>
      </c>
      <c r="B4586" t="s">
        <v>9455</v>
      </c>
      <c r="C4586" t="s">
        <v>9456</v>
      </c>
      <c r="J4586">
        <f>LEN(Table13[[#This Row],[REFERENCE_DESCR1]])</f>
        <v>47</v>
      </c>
    </row>
    <row r="4587" spans="1:10" hidden="1">
      <c r="A4587" t="s">
        <v>9454</v>
      </c>
      <c r="B4587" t="s">
        <v>9457</v>
      </c>
      <c r="C4587" t="s">
        <v>9458</v>
      </c>
      <c r="J4587">
        <f>LEN(Table13[[#This Row],[REFERENCE_DESCR1]])</f>
        <v>27</v>
      </c>
    </row>
    <row r="4588" spans="1:10" hidden="1">
      <c r="A4588" t="s">
        <v>9454</v>
      </c>
      <c r="B4588" t="s">
        <v>9459</v>
      </c>
      <c r="C4588" t="s">
        <v>9460</v>
      </c>
      <c r="J4588">
        <f>LEN(Table13[[#This Row],[REFERENCE_DESCR1]])</f>
        <v>14</v>
      </c>
    </row>
    <row r="4589" spans="1:10" hidden="1">
      <c r="A4589" t="s">
        <v>9454</v>
      </c>
      <c r="B4589" t="s">
        <v>9461</v>
      </c>
      <c r="C4589" t="s">
        <v>9462</v>
      </c>
      <c r="J4589">
        <f>LEN(Table13[[#This Row],[REFERENCE_DESCR1]])</f>
        <v>43</v>
      </c>
    </row>
    <row r="4590" spans="1:10" hidden="1">
      <c r="A4590" t="s">
        <v>9454</v>
      </c>
      <c r="B4590" t="s">
        <v>9463</v>
      </c>
      <c r="C4590" t="s">
        <v>9464</v>
      </c>
      <c r="J4590">
        <f>LEN(Table13[[#This Row],[REFERENCE_DESCR1]])</f>
        <v>35</v>
      </c>
    </row>
    <row r="4591" spans="1:10" hidden="1">
      <c r="A4591" t="s">
        <v>9454</v>
      </c>
      <c r="B4591" t="s">
        <v>9465</v>
      </c>
      <c r="C4591" t="s">
        <v>9466</v>
      </c>
      <c r="J4591">
        <f>LEN(Table13[[#This Row],[REFERENCE_DESCR1]])</f>
        <v>49</v>
      </c>
    </row>
    <row r="4592" spans="1:10" hidden="1">
      <c r="A4592" t="s">
        <v>9454</v>
      </c>
      <c r="B4592" t="s">
        <v>9467</v>
      </c>
      <c r="C4592" t="s">
        <v>9468</v>
      </c>
      <c r="J4592">
        <f>LEN(Table13[[#This Row],[REFERENCE_DESCR1]])</f>
        <v>51</v>
      </c>
    </row>
    <row r="4593" spans="1:10" hidden="1">
      <c r="A4593" t="s">
        <v>9454</v>
      </c>
      <c r="B4593" t="s">
        <v>9469</v>
      </c>
      <c r="C4593" t="s">
        <v>9470</v>
      </c>
      <c r="J4593">
        <f>LEN(Table13[[#This Row],[REFERENCE_DESCR1]])</f>
        <v>55</v>
      </c>
    </row>
    <row r="4594" spans="1:10" hidden="1">
      <c r="A4594" t="s">
        <v>9454</v>
      </c>
      <c r="B4594" t="s">
        <v>9471</v>
      </c>
      <c r="C4594" t="s">
        <v>9472</v>
      </c>
      <c r="J4594">
        <f>LEN(Table13[[#This Row],[REFERENCE_DESCR1]])</f>
        <v>39</v>
      </c>
    </row>
    <row r="4595" spans="1:10" hidden="1">
      <c r="A4595" t="s">
        <v>9454</v>
      </c>
      <c r="B4595" t="s">
        <v>9473</v>
      </c>
      <c r="C4595" t="s">
        <v>9474</v>
      </c>
      <c r="J4595">
        <f>LEN(Table13[[#This Row],[REFERENCE_DESCR1]])</f>
        <v>45</v>
      </c>
    </row>
    <row r="4596" spans="1:10" hidden="1">
      <c r="A4596" t="s">
        <v>9454</v>
      </c>
      <c r="B4596" t="s">
        <v>9475</v>
      </c>
      <c r="C4596" t="s">
        <v>9476</v>
      </c>
      <c r="J4596">
        <f>LEN(Table13[[#This Row],[REFERENCE_DESCR1]])</f>
        <v>47</v>
      </c>
    </row>
    <row r="4597" spans="1:10" hidden="1">
      <c r="A4597" t="s">
        <v>9454</v>
      </c>
      <c r="B4597" t="s">
        <v>9477</v>
      </c>
      <c r="C4597" t="s">
        <v>9478</v>
      </c>
      <c r="J4597">
        <f>LEN(Table13[[#This Row],[REFERENCE_DESCR1]])</f>
        <v>44</v>
      </c>
    </row>
    <row r="4598" spans="1:10" hidden="1">
      <c r="A4598" t="s">
        <v>9454</v>
      </c>
      <c r="B4598" t="s">
        <v>9479</v>
      </c>
      <c r="C4598" t="s">
        <v>9480</v>
      </c>
      <c r="J4598">
        <f>LEN(Table13[[#This Row],[REFERENCE_DESCR1]])</f>
        <v>40</v>
      </c>
    </row>
    <row r="4599" spans="1:10" hidden="1">
      <c r="A4599" t="s">
        <v>9454</v>
      </c>
      <c r="B4599" t="s">
        <v>9481</v>
      </c>
      <c r="C4599" t="s">
        <v>9482</v>
      </c>
      <c r="J4599">
        <f>LEN(Table13[[#This Row],[REFERENCE_DESCR1]])</f>
        <v>72</v>
      </c>
    </row>
    <row r="4600" spans="1:10" hidden="1">
      <c r="A4600" t="s">
        <v>9454</v>
      </c>
      <c r="B4600" t="s">
        <v>9483</v>
      </c>
      <c r="C4600" t="s">
        <v>9484</v>
      </c>
      <c r="J4600">
        <f>LEN(Table13[[#This Row],[REFERENCE_DESCR1]])</f>
        <v>41</v>
      </c>
    </row>
    <row r="4601" spans="1:10" hidden="1">
      <c r="A4601" t="s">
        <v>9454</v>
      </c>
      <c r="B4601" t="s">
        <v>9485</v>
      </c>
      <c r="C4601" t="s">
        <v>9486</v>
      </c>
      <c r="J4601">
        <f>LEN(Table13[[#This Row],[REFERENCE_DESCR1]])</f>
        <v>43</v>
      </c>
    </row>
    <row r="4602" spans="1:10" hidden="1">
      <c r="A4602" t="s">
        <v>9454</v>
      </c>
      <c r="B4602" t="s">
        <v>9487</v>
      </c>
      <c r="C4602" t="s">
        <v>9488</v>
      </c>
      <c r="J4602">
        <f>LEN(Table13[[#This Row],[REFERENCE_DESCR1]])</f>
        <v>44</v>
      </c>
    </row>
    <row r="4603" spans="1:10" hidden="1">
      <c r="A4603" t="s">
        <v>9454</v>
      </c>
      <c r="B4603" t="s">
        <v>9489</v>
      </c>
      <c r="C4603" t="s">
        <v>9490</v>
      </c>
      <c r="J4603">
        <f>LEN(Table13[[#This Row],[REFERENCE_DESCR1]])</f>
        <v>43</v>
      </c>
    </row>
    <row r="4604" spans="1:10" hidden="1">
      <c r="A4604" t="s">
        <v>9454</v>
      </c>
      <c r="B4604" t="s">
        <v>9491</v>
      </c>
      <c r="C4604" t="s">
        <v>9492</v>
      </c>
      <c r="J4604">
        <f>LEN(Table13[[#This Row],[REFERENCE_DESCR1]])</f>
        <v>47</v>
      </c>
    </row>
    <row r="4605" spans="1:10" hidden="1">
      <c r="A4605" t="s">
        <v>9454</v>
      </c>
      <c r="B4605" t="s">
        <v>9493</v>
      </c>
      <c r="C4605" t="s">
        <v>9494</v>
      </c>
      <c r="J4605">
        <f>LEN(Table13[[#This Row],[REFERENCE_DESCR1]])</f>
        <v>32</v>
      </c>
    </row>
    <row r="4606" spans="1:10" hidden="1">
      <c r="A4606" t="s">
        <v>9454</v>
      </c>
      <c r="B4606" t="s">
        <v>9495</v>
      </c>
      <c r="C4606" t="s">
        <v>9496</v>
      </c>
      <c r="J4606">
        <f>LEN(Table13[[#This Row],[REFERENCE_DESCR1]])</f>
        <v>32</v>
      </c>
    </row>
    <row r="4607" spans="1:10" hidden="1">
      <c r="A4607" t="s">
        <v>9454</v>
      </c>
      <c r="B4607" t="s">
        <v>9497</v>
      </c>
      <c r="C4607" t="s">
        <v>9498</v>
      </c>
      <c r="J4607">
        <f>LEN(Table13[[#This Row],[REFERENCE_DESCR1]])</f>
        <v>49</v>
      </c>
    </row>
    <row r="4608" spans="1:10" hidden="1">
      <c r="A4608" t="s">
        <v>9454</v>
      </c>
      <c r="B4608" t="s">
        <v>9499</v>
      </c>
      <c r="C4608" t="s">
        <v>9500</v>
      </c>
      <c r="J4608">
        <f>LEN(Table13[[#This Row],[REFERENCE_DESCR1]])</f>
        <v>48</v>
      </c>
    </row>
    <row r="4609" spans="1:10" hidden="1">
      <c r="A4609" t="s">
        <v>9454</v>
      </c>
      <c r="B4609" t="s">
        <v>9501</v>
      </c>
      <c r="C4609" t="s">
        <v>9502</v>
      </c>
      <c r="J4609">
        <f>LEN(Table13[[#This Row],[REFERENCE_DESCR1]])</f>
        <v>30</v>
      </c>
    </row>
    <row r="4610" spans="1:10" hidden="1">
      <c r="A4610" t="s">
        <v>9454</v>
      </c>
      <c r="B4610" t="s">
        <v>9503</v>
      </c>
      <c r="C4610" t="s">
        <v>9504</v>
      </c>
      <c r="J4610">
        <f>LEN(Table13[[#This Row],[REFERENCE_DESCR1]])</f>
        <v>31</v>
      </c>
    </row>
    <row r="4611" spans="1:10" hidden="1">
      <c r="A4611" t="s">
        <v>9454</v>
      </c>
      <c r="B4611" t="s">
        <v>9505</v>
      </c>
      <c r="C4611" t="s">
        <v>9506</v>
      </c>
      <c r="J4611">
        <f>LEN(Table13[[#This Row],[REFERENCE_DESCR1]])</f>
        <v>30</v>
      </c>
    </row>
    <row r="4612" spans="1:10" hidden="1">
      <c r="A4612" t="s">
        <v>9454</v>
      </c>
      <c r="B4612" t="s">
        <v>9507</v>
      </c>
      <c r="C4612" t="s">
        <v>9508</v>
      </c>
      <c r="J4612">
        <f>LEN(Table13[[#This Row],[REFERENCE_DESCR1]])</f>
        <v>31</v>
      </c>
    </row>
    <row r="4613" spans="1:10" hidden="1">
      <c r="A4613" t="s">
        <v>9454</v>
      </c>
      <c r="B4613" t="s">
        <v>9509</v>
      </c>
      <c r="C4613" t="s">
        <v>9510</v>
      </c>
      <c r="J4613">
        <f>LEN(Table13[[#This Row],[REFERENCE_DESCR1]])</f>
        <v>39</v>
      </c>
    </row>
    <row r="4614" spans="1:10" hidden="1">
      <c r="A4614" t="s">
        <v>9454</v>
      </c>
      <c r="B4614" t="s">
        <v>9511</v>
      </c>
      <c r="C4614" t="s">
        <v>9512</v>
      </c>
      <c r="J4614">
        <f>LEN(Table13[[#This Row],[REFERENCE_DESCR1]])</f>
        <v>33</v>
      </c>
    </row>
    <row r="4615" spans="1:10" hidden="1">
      <c r="A4615" t="s">
        <v>9454</v>
      </c>
      <c r="B4615" t="s">
        <v>9513</v>
      </c>
      <c r="C4615" t="s">
        <v>9514</v>
      </c>
      <c r="J4615">
        <f>LEN(Table13[[#This Row],[REFERENCE_DESCR1]])</f>
        <v>39</v>
      </c>
    </row>
    <row r="4616" spans="1:10" hidden="1">
      <c r="A4616" t="s">
        <v>9454</v>
      </c>
      <c r="B4616" t="s">
        <v>9515</v>
      </c>
      <c r="C4616" t="s">
        <v>9516</v>
      </c>
      <c r="J4616">
        <f>LEN(Table13[[#This Row],[REFERENCE_DESCR1]])</f>
        <v>39</v>
      </c>
    </row>
    <row r="4617" spans="1:10" hidden="1">
      <c r="A4617" t="s">
        <v>9454</v>
      </c>
      <c r="B4617" t="s">
        <v>9517</v>
      </c>
      <c r="C4617" t="s">
        <v>9518</v>
      </c>
      <c r="J4617">
        <f>LEN(Table13[[#This Row],[REFERENCE_DESCR1]])</f>
        <v>31</v>
      </c>
    </row>
    <row r="4618" spans="1:10" hidden="1">
      <c r="A4618" t="s">
        <v>9454</v>
      </c>
      <c r="B4618" t="s">
        <v>9519</v>
      </c>
      <c r="C4618" t="s">
        <v>9520</v>
      </c>
      <c r="J4618">
        <f>LEN(Table13[[#This Row],[REFERENCE_DESCR1]])</f>
        <v>39</v>
      </c>
    </row>
    <row r="4619" spans="1:10" hidden="1">
      <c r="A4619" t="s">
        <v>9454</v>
      </c>
      <c r="B4619" t="s">
        <v>9521</v>
      </c>
      <c r="C4619" t="s">
        <v>9522</v>
      </c>
      <c r="J4619">
        <f>LEN(Table13[[#This Row],[REFERENCE_DESCR1]])</f>
        <v>38</v>
      </c>
    </row>
    <row r="4620" spans="1:10" hidden="1">
      <c r="A4620" t="s">
        <v>9454</v>
      </c>
      <c r="B4620" t="s">
        <v>9523</v>
      </c>
      <c r="C4620" t="s">
        <v>9524</v>
      </c>
      <c r="J4620">
        <f>LEN(Table13[[#This Row],[REFERENCE_DESCR1]])</f>
        <v>32</v>
      </c>
    </row>
    <row r="4621" spans="1:10" hidden="1">
      <c r="A4621" t="s">
        <v>9454</v>
      </c>
      <c r="B4621" t="s">
        <v>9525</v>
      </c>
      <c r="C4621" t="s">
        <v>9526</v>
      </c>
      <c r="J4621">
        <f>LEN(Table13[[#This Row],[REFERENCE_DESCR1]])</f>
        <v>67</v>
      </c>
    </row>
    <row r="4622" spans="1:10" hidden="1">
      <c r="A4622" t="s">
        <v>9454</v>
      </c>
      <c r="B4622" t="s">
        <v>9527</v>
      </c>
      <c r="C4622" t="s">
        <v>9528</v>
      </c>
      <c r="J4622">
        <f>LEN(Table13[[#This Row],[REFERENCE_DESCR1]])</f>
        <v>27</v>
      </c>
    </row>
    <row r="4623" spans="1:10" hidden="1">
      <c r="A4623" t="s">
        <v>9454</v>
      </c>
      <c r="B4623" t="s">
        <v>9529</v>
      </c>
      <c r="C4623" t="s">
        <v>9530</v>
      </c>
      <c r="J4623">
        <f>LEN(Table13[[#This Row],[REFERENCE_DESCR1]])</f>
        <v>57</v>
      </c>
    </row>
    <row r="4624" spans="1:10" hidden="1">
      <c r="A4624" t="s">
        <v>9454</v>
      </c>
      <c r="B4624" t="s">
        <v>9531</v>
      </c>
      <c r="C4624" t="s">
        <v>9532</v>
      </c>
      <c r="J4624">
        <f>LEN(Table13[[#This Row],[REFERENCE_DESCR1]])</f>
        <v>29</v>
      </c>
    </row>
    <row r="4625" spans="1:10" hidden="1">
      <c r="A4625" t="s">
        <v>9454</v>
      </c>
      <c r="B4625" t="s">
        <v>9533</v>
      </c>
      <c r="C4625" t="s">
        <v>9534</v>
      </c>
      <c r="J4625">
        <f>LEN(Table13[[#This Row],[REFERENCE_DESCR1]])</f>
        <v>58</v>
      </c>
    </row>
    <row r="4626" spans="1:10" hidden="1">
      <c r="A4626" t="s">
        <v>9454</v>
      </c>
      <c r="B4626" t="s">
        <v>9535</v>
      </c>
      <c r="C4626" t="s">
        <v>9536</v>
      </c>
      <c r="J4626">
        <f>LEN(Table13[[#This Row],[REFERENCE_DESCR1]])</f>
        <v>32</v>
      </c>
    </row>
    <row r="4627" spans="1:10" hidden="1">
      <c r="A4627" t="s">
        <v>9454</v>
      </c>
      <c r="B4627" t="s">
        <v>9537</v>
      </c>
      <c r="C4627" t="s">
        <v>9538</v>
      </c>
      <c r="J4627">
        <f>LEN(Table13[[#This Row],[REFERENCE_DESCR1]])</f>
        <v>33</v>
      </c>
    </row>
    <row r="4628" spans="1:10" hidden="1">
      <c r="A4628" t="s">
        <v>9454</v>
      </c>
      <c r="B4628" t="s">
        <v>9539</v>
      </c>
      <c r="C4628" t="s">
        <v>9540</v>
      </c>
      <c r="J4628">
        <f>LEN(Table13[[#This Row],[REFERENCE_DESCR1]])</f>
        <v>28</v>
      </c>
    </row>
    <row r="4629" spans="1:10" hidden="1">
      <c r="A4629" t="s">
        <v>9454</v>
      </c>
      <c r="B4629" t="s">
        <v>9541</v>
      </c>
      <c r="C4629" t="s">
        <v>9542</v>
      </c>
      <c r="J4629">
        <f>LEN(Table13[[#This Row],[REFERENCE_DESCR1]])</f>
        <v>26</v>
      </c>
    </row>
    <row r="4630" spans="1:10" hidden="1">
      <c r="A4630" t="s">
        <v>9454</v>
      </c>
      <c r="B4630" t="s">
        <v>9543</v>
      </c>
      <c r="C4630" t="s">
        <v>9544</v>
      </c>
      <c r="J4630">
        <f>LEN(Table13[[#This Row],[REFERENCE_DESCR1]])</f>
        <v>35</v>
      </c>
    </row>
    <row r="4631" spans="1:10" hidden="1">
      <c r="A4631" t="s">
        <v>9454</v>
      </c>
      <c r="B4631" t="s">
        <v>9545</v>
      </c>
      <c r="C4631" t="s">
        <v>9546</v>
      </c>
      <c r="J4631">
        <f>LEN(Table13[[#This Row],[REFERENCE_DESCR1]])</f>
        <v>57</v>
      </c>
    </row>
    <row r="4632" spans="1:10" hidden="1">
      <c r="A4632" t="s">
        <v>9454</v>
      </c>
      <c r="B4632" t="s">
        <v>9547</v>
      </c>
      <c r="C4632" t="s">
        <v>9548</v>
      </c>
      <c r="J4632">
        <f>LEN(Table13[[#This Row],[REFERENCE_DESCR1]])</f>
        <v>72</v>
      </c>
    </row>
    <row r="4633" spans="1:10" hidden="1">
      <c r="A4633" t="s">
        <v>9454</v>
      </c>
      <c r="B4633" t="s">
        <v>9549</v>
      </c>
      <c r="C4633" t="s">
        <v>9550</v>
      </c>
      <c r="J4633">
        <f>LEN(Table13[[#This Row],[REFERENCE_DESCR1]])</f>
        <v>29</v>
      </c>
    </row>
    <row r="4634" spans="1:10" hidden="1">
      <c r="A4634" t="s">
        <v>9454</v>
      </c>
      <c r="B4634" t="s">
        <v>9551</v>
      </c>
      <c r="C4634" t="s">
        <v>9552</v>
      </c>
      <c r="J4634">
        <f>LEN(Table13[[#This Row],[REFERENCE_DESCR1]])</f>
        <v>30</v>
      </c>
    </row>
    <row r="4635" spans="1:10" hidden="1">
      <c r="A4635" t="s">
        <v>9454</v>
      </c>
      <c r="B4635" t="s">
        <v>9553</v>
      </c>
      <c r="C4635" t="s">
        <v>9554</v>
      </c>
      <c r="J4635">
        <f>LEN(Table13[[#This Row],[REFERENCE_DESCR1]])</f>
        <v>25</v>
      </c>
    </row>
    <row r="4636" spans="1:10" hidden="1">
      <c r="A4636" t="s">
        <v>9454</v>
      </c>
      <c r="B4636" t="s">
        <v>9555</v>
      </c>
      <c r="C4636" t="s">
        <v>9556</v>
      </c>
      <c r="J4636">
        <f>LEN(Table13[[#This Row],[REFERENCE_DESCR1]])</f>
        <v>14</v>
      </c>
    </row>
    <row r="4637" spans="1:10" hidden="1">
      <c r="A4637" t="s">
        <v>9454</v>
      </c>
      <c r="B4637" t="s">
        <v>9557</v>
      </c>
      <c r="C4637" t="s">
        <v>9558</v>
      </c>
      <c r="J4637">
        <f>LEN(Table13[[#This Row],[REFERENCE_DESCR1]])</f>
        <v>18</v>
      </c>
    </row>
    <row r="4638" spans="1:10" hidden="1">
      <c r="A4638" t="s">
        <v>9454</v>
      </c>
      <c r="B4638" t="s">
        <v>9559</v>
      </c>
      <c r="C4638" t="s">
        <v>9560</v>
      </c>
      <c r="J4638">
        <f>LEN(Table13[[#This Row],[REFERENCE_DESCR1]])</f>
        <v>25</v>
      </c>
    </row>
    <row r="4639" spans="1:10" hidden="1">
      <c r="A4639" t="s">
        <v>9454</v>
      </c>
      <c r="B4639" t="s">
        <v>9561</v>
      </c>
      <c r="C4639" t="s">
        <v>9562</v>
      </c>
      <c r="J4639">
        <f>LEN(Table13[[#This Row],[REFERENCE_DESCR1]])</f>
        <v>30</v>
      </c>
    </row>
    <row r="4640" spans="1:10" hidden="1">
      <c r="A4640" t="s">
        <v>9454</v>
      </c>
      <c r="B4640" t="s">
        <v>9563</v>
      </c>
      <c r="C4640" t="s">
        <v>9564</v>
      </c>
      <c r="J4640">
        <f>LEN(Table13[[#This Row],[REFERENCE_DESCR1]])</f>
        <v>40</v>
      </c>
    </row>
    <row r="4641" spans="1:10" hidden="1">
      <c r="A4641" t="s">
        <v>9454</v>
      </c>
      <c r="B4641" t="s">
        <v>9565</v>
      </c>
      <c r="C4641" t="s">
        <v>9566</v>
      </c>
      <c r="J4641">
        <f>LEN(Table13[[#This Row],[REFERENCE_DESCR1]])</f>
        <v>50</v>
      </c>
    </row>
    <row r="4642" spans="1:10" hidden="1">
      <c r="A4642" t="s">
        <v>9454</v>
      </c>
      <c r="B4642" t="s">
        <v>9567</v>
      </c>
      <c r="C4642" t="s">
        <v>9568</v>
      </c>
      <c r="J4642">
        <f>LEN(Table13[[#This Row],[REFERENCE_DESCR1]])</f>
        <v>25</v>
      </c>
    </row>
    <row r="4643" spans="1:10" hidden="1">
      <c r="A4643" t="s">
        <v>9569</v>
      </c>
      <c r="B4643" t="s">
        <v>1146</v>
      </c>
      <c r="C4643" t="s">
        <v>9570</v>
      </c>
      <c r="J4643">
        <f>LEN(Table13[[#This Row],[REFERENCE_DESCR1]])</f>
        <v>16</v>
      </c>
    </row>
    <row r="4644" spans="1:10" hidden="1">
      <c r="A4644" t="s">
        <v>9569</v>
      </c>
      <c r="B4644" t="s">
        <v>1148</v>
      </c>
      <c r="C4644" t="s">
        <v>9571</v>
      </c>
      <c r="J4644">
        <f>LEN(Table13[[#This Row],[REFERENCE_DESCR1]])</f>
        <v>10</v>
      </c>
    </row>
    <row r="4645" spans="1:10" hidden="1">
      <c r="A4645" t="s">
        <v>9569</v>
      </c>
      <c r="B4645" t="s">
        <v>1150</v>
      </c>
      <c r="C4645" t="s">
        <v>9572</v>
      </c>
      <c r="J4645">
        <f>LEN(Table13[[#This Row],[REFERENCE_DESCR1]])</f>
        <v>13</v>
      </c>
    </row>
    <row r="4646" spans="1:10" hidden="1">
      <c r="A4646" t="s">
        <v>9569</v>
      </c>
      <c r="B4646" t="s">
        <v>1367</v>
      </c>
      <c r="C4646" t="s">
        <v>9573</v>
      </c>
      <c r="J4646">
        <f>LEN(Table13[[#This Row],[REFERENCE_DESCR1]])</f>
        <v>22</v>
      </c>
    </row>
    <row r="4647" spans="1:10" hidden="1">
      <c r="A4647" t="s">
        <v>9569</v>
      </c>
      <c r="B4647" t="s">
        <v>1237</v>
      </c>
      <c r="C4647" t="s">
        <v>9574</v>
      </c>
      <c r="J4647">
        <f>LEN(Table13[[#This Row],[REFERENCE_DESCR1]])</f>
        <v>29</v>
      </c>
    </row>
    <row r="4648" spans="1:10" hidden="1">
      <c r="A4648" t="s">
        <v>9569</v>
      </c>
      <c r="B4648" t="s">
        <v>1600</v>
      </c>
      <c r="C4648" t="s">
        <v>9575</v>
      </c>
      <c r="J4648">
        <f>LEN(Table13[[#This Row],[REFERENCE_DESCR1]])</f>
        <v>17</v>
      </c>
    </row>
    <row r="4649" spans="1:10" hidden="1">
      <c r="A4649" t="s">
        <v>9569</v>
      </c>
      <c r="B4649" t="s">
        <v>1415</v>
      </c>
      <c r="C4649" t="s">
        <v>9576</v>
      </c>
      <c r="J4649">
        <f>LEN(Table13[[#This Row],[REFERENCE_DESCR1]])</f>
        <v>7</v>
      </c>
    </row>
    <row r="4650" spans="1:10" hidden="1">
      <c r="A4650" t="s">
        <v>9569</v>
      </c>
      <c r="B4650" t="s">
        <v>2923</v>
      </c>
      <c r="C4650" t="s">
        <v>9577</v>
      </c>
      <c r="J4650">
        <f>LEN(Table13[[#This Row],[REFERENCE_DESCR1]])</f>
        <v>8</v>
      </c>
    </row>
    <row r="4651" spans="1:10" hidden="1">
      <c r="A4651" t="s">
        <v>9569</v>
      </c>
      <c r="B4651" t="s">
        <v>2435</v>
      </c>
      <c r="C4651" t="s">
        <v>2436</v>
      </c>
      <c r="J4651">
        <f>LEN(Table13[[#This Row],[REFERENCE_DESCR1]])</f>
        <v>7</v>
      </c>
    </row>
    <row r="4652" spans="1:10" hidden="1">
      <c r="A4652" t="s">
        <v>9569</v>
      </c>
      <c r="B4652" t="s">
        <v>1369</v>
      </c>
      <c r="C4652" t="s">
        <v>9578</v>
      </c>
      <c r="J4652">
        <f>LEN(Table13[[#This Row],[REFERENCE_DESCR1]])</f>
        <v>8</v>
      </c>
    </row>
    <row r="4653" spans="1:10" hidden="1">
      <c r="A4653" t="s">
        <v>9569</v>
      </c>
      <c r="B4653" t="s">
        <v>1152</v>
      </c>
      <c r="C4653" t="s">
        <v>9579</v>
      </c>
      <c r="J4653">
        <f>LEN(Table13[[#This Row],[REFERENCE_DESCR1]])</f>
        <v>13</v>
      </c>
    </row>
    <row r="4654" spans="1:10" hidden="1">
      <c r="A4654" t="s">
        <v>9569</v>
      </c>
      <c r="B4654" t="s">
        <v>1363</v>
      </c>
      <c r="C4654" t="s">
        <v>9580</v>
      </c>
      <c r="J4654">
        <f>LEN(Table13[[#This Row],[REFERENCE_DESCR1]])</f>
        <v>19</v>
      </c>
    </row>
    <row r="4655" spans="1:10" hidden="1">
      <c r="A4655" t="s">
        <v>9569</v>
      </c>
      <c r="B4655" t="s">
        <v>1239</v>
      </c>
      <c r="C4655" t="s">
        <v>1514</v>
      </c>
      <c r="J4655">
        <f>LEN(Table13[[#This Row],[REFERENCE_DESCR1]])</f>
        <v>5</v>
      </c>
    </row>
    <row r="4656" spans="1:10" hidden="1">
      <c r="A4656" t="s">
        <v>9569</v>
      </c>
      <c r="B4656" t="s">
        <v>1438</v>
      </c>
      <c r="C4656" t="s">
        <v>9581</v>
      </c>
      <c r="J4656">
        <f>LEN(Table13[[#This Row],[REFERENCE_DESCR1]])</f>
        <v>7</v>
      </c>
    </row>
    <row r="4657" spans="1:10" hidden="1">
      <c r="A4657" t="s">
        <v>9569</v>
      </c>
      <c r="B4657" t="s">
        <v>9582</v>
      </c>
      <c r="C4657" t="s">
        <v>9583</v>
      </c>
      <c r="J4657">
        <f>LEN(Table13[[#This Row],[REFERENCE_DESCR1]])</f>
        <v>11</v>
      </c>
    </row>
    <row r="4658" spans="1:10" hidden="1">
      <c r="A4658" t="s">
        <v>9569</v>
      </c>
      <c r="B4658" t="s">
        <v>1373</v>
      </c>
      <c r="C4658" t="s">
        <v>9584</v>
      </c>
      <c r="J4658">
        <f>LEN(Table13[[#This Row],[REFERENCE_DESCR1]])</f>
        <v>5</v>
      </c>
    </row>
    <row r="4659" spans="1:10" hidden="1">
      <c r="A4659" t="s">
        <v>9569</v>
      </c>
      <c r="B4659" t="s">
        <v>1154</v>
      </c>
      <c r="C4659" t="s">
        <v>9585</v>
      </c>
      <c r="J4659">
        <f>LEN(Table13[[#This Row],[REFERENCE_DESCR1]])</f>
        <v>6</v>
      </c>
    </row>
    <row r="4660" spans="1:10" hidden="1">
      <c r="A4660" t="s">
        <v>9569</v>
      </c>
      <c r="B4660" t="s">
        <v>1156</v>
      </c>
      <c r="C4660" t="s">
        <v>9586</v>
      </c>
      <c r="J4660">
        <f>LEN(Table13[[#This Row],[REFERENCE_DESCR1]])</f>
        <v>17</v>
      </c>
    </row>
    <row r="4661" spans="1:10" hidden="1">
      <c r="A4661" t="s">
        <v>9569</v>
      </c>
      <c r="B4661" t="s">
        <v>1377</v>
      </c>
      <c r="C4661" t="s">
        <v>9587</v>
      </c>
      <c r="J4661">
        <f>LEN(Table13[[#This Row],[REFERENCE_DESCR1]])</f>
        <v>10</v>
      </c>
    </row>
    <row r="4662" spans="1:10" hidden="1">
      <c r="A4662" t="s">
        <v>9569</v>
      </c>
      <c r="B4662" t="s">
        <v>9588</v>
      </c>
      <c r="C4662" t="s">
        <v>9589</v>
      </c>
      <c r="J4662">
        <f>LEN(Table13[[#This Row],[REFERENCE_DESCR1]])</f>
        <v>8</v>
      </c>
    </row>
    <row r="4663" spans="1:10">
      <c r="A4663" t="s">
        <v>9569</v>
      </c>
      <c r="B4663" t="s">
        <v>1379</v>
      </c>
      <c r="C4663" t="s">
        <v>9590</v>
      </c>
      <c r="J4663">
        <f>LEN(Table13[[#This Row],[REFERENCE_DESCR1]])</f>
        <v>24</v>
      </c>
    </row>
  </sheetData>
  <pageMargins left="0.7" right="0.7" top="0.75" bottom="0.75" header="0.3" footer="0.3"/>
  <pageSetup paperSize="9" orientation="portrait" r:id="rId1"/>
  <headerFooter>
    <oddFooter>&amp;C_x000D_&amp;1#&amp;"Calibri"&amp;10&amp;K000000 OFFICIAL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10A90-6133-4A11-81AE-50A2AA3CD5E5}">
  <sheetPr>
    <pageSetUpPr fitToPage="1"/>
  </sheetPr>
  <dimension ref="A1:AG551"/>
  <sheetViews>
    <sheetView workbookViewId="0">
      <pane ySplit="1" topLeftCell="A178" activePane="bottomLeft" state="frozen"/>
      <selection pane="bottomLeft" activeCell="A178" sqref="A178"/>
    </sheetView>
  </sheetViews>
  <sheetFormatPr defaultColWidth="8.7109375" defaultRowHeight="14.45"/>
  <cols>
    <col min="1" max="8" width="8.7109375" style="13"/>
    <col min="9" max="9" width="48" style="13" bestFit="1" customWidth="1"/>
    <col min="10" max="17" width="8.7109375" style="13"/>
    <col min="18" max="18" width="32.28515625" style="13" bestFit="1" customWidth="1"/>
    <col min="19" max="16384" width="8.7109375" style="13"/>
  </cols>
  <sheetData>
    <row r="1" spans="1:33">
      <c r="A1" s="13" t="s">
        <v>9591</v>
      </c>
      <c r="B1" s="13" t="s">
        <v>9592</v>
      </c>
      <c r="C1" s="13" t="s">
        <v>9593</v>
      </c>
      <c r="D1" s="13" t="s">
        <v>9594</v>
      </c>
      <c r="E1" s="13" t="s">
        <v>9595</v>
      </c>
      <c r="F1" s="13" t="s">
        <v>9596</v>
      </c>
      <c r="G1" s="13" t="s">
        <v>9597</v>
      </c>
      <c r="H1" s="13" t="s">
        <v>9598</v>
      </c>
      <c r="I1" s="13" t="s">
        <v>9599</v>
      </c>
      <c r="J1" s="13" t="s">
        <v>9600</v>
      </c>
      <c r="K1" s="13" t="s">
        <v>9601</v>
      </c>
      <c r="L1" s="13" t="s">
        <v>9602</v>
      </c>
      <c r="M1" s="13" t="s">
        <v>9603</v>
      </c>
      <c r="N1" s="13" t="s">
        <v>9604</v>
      </c>
      <c r="O1" s="13" t="s">
        <v>9605</v>
      </c>
      <c r="P1" s="13" t="s">
        <v>9606</v>
      </c>
      <c r="Q1" s="13" t="s">
        <v>9607</v>
      </c>
      <c r="R1" s="13" t="s">
        <v>9608</v>
      </c>
      <c r="S1" s="13" t="s">
        <v>9609</v>
      </c>
      <c r="T1" s="13" t="s">
        <v>9610</v>
      </c>
      <c r="U1" s="13" t="s">
        <v>9611</v>
      </c>
      <c r="V1" s="13" t="s">
        <v>9612</v>
      </c>
      <c r="W1" s="13" t="s">
        <v>9613</v>
      </c>
      <c r="X1" s="13" t="s">
        <v>9614</v>
      </c>
      <c r="Y1" s="13" t="s">
        <v>9615</v>
      </c>
      <c r="Z1" s="13" t="s">
        <v>9616</v>
      </c>
      <c r="AA1" s="13" t="s">
        <v>9617</v>
      </c>
      <c r="AB1" s="13" t="s">
        <v>9618</v>
      </c>
      <c r="AC1" s="13" t="s">
        <v>9619</v>
      </c>
      <c r="AD1" s="13" t="s">
        <v>9620</v>
      </c>
      <c r="AE1" s="13" t="s">
        <v>9621</v>
      </c>
      <c r="AF1" s="13" t="s">
        <v>9622</v>
      </c>
      <c r="AG1" s="13" t="s">
        <v>9623</v>
      </c>
    </row>
    <row r="2" spans="1:33">
      <c r="A2" s="13" t="s">
        <v>9624</v>
      </c>
      <c r="B2" s="13" t="s">
        <v>1150</v>
      </c>
      <c r="C2" s="13" t="s">
        <v>447</v>
      </c>
      <c r="D2" s="13" t="s">
        <v>1150</v>
      </c>
      <c r="E2" s="13" t="s">
        <v>1363</v>
      </c>
      <c r="F2" s="13" t="s">
        <v>447</v>
      </c>
      <c r="G2" s="13" t="s">
        <v>447</v>
      </c>
      <c r="H2" s="13" t="s">
        <v>1373</v>
      </c>
      <c r="I2" s="13" t="s">
        <v>9625</v>
      </c>
      <c r="J2" s="13" t="s">
        <v>447</v>
      </c>
      <c r="K2" s="13" t="s">
        <v>1363</v>
      </c>
      <c r="L2" s="13" t="s">
        <v>447</v>
      </c>
      <c r="M2" s="13" t="s">
        <v>1363</v>
      </c>
      <c r="N2" s="13" t="s">
        <v>9626</v>
      </c>
      <c r="O2" s="13" t="s">
        <v>9627</v>
      </c>
      <c r="P2" s="15">
        <v>367</v>
      </c>
      <c r="R2" s="13" t="s">
        <v>9625</v>
      </c>
      <c r="S2" s="13" t="s">
        <v>447</v>
      </c>
      <c r="X2" s="13" t="s">
        <v>9628</v>
      </c>
      <c r="Z2" s="13" t="s">
        <v>447</v>
      </c>
      <c r="AB2" s="13" t="s">
        <v>447</v>
      </c>
      <c r="AC2" s="21">
        <v>38047.689953703702</v>
      </c>
      <c r="AD2" s="21">
        <v>44369.399513888886</v>
      </c>
      <c r="AE2" s="13" t="s">
        <v>9629</v>
      </c>
      <c r="AF2" s="13" t="s">
        <v>9629</v>
      </c>
    </row>
    <row r="3" spans="1:33">
      <c r="A3" s="13" t="s">
        <v>9630</v>
      </c>
      <c r="B3" s="13" t="s">
        <v>1150</v>
      </c>
      <c r="C3" s="13" t="s">
        <v>1363</v>
      </c>
      <c r="D3" s="13" t="s">
        <v>1150</v>
      </c>
      <c r="E3" s="13" t="s">
        <v>1363</v>
      </c>
      <c r="F3" s="13" t="s">
        <v>447</v>
      </c>
      <c r="G3" s="13" t="s">
        <v>1363</v>
      </c>
      <c r="H3" s="13" t="s">
        <v>1415</v>
      </c>
      <c r="I3" s="13" t="s">
        <v>9631</v>
      </c>
      <c r="J3" s="13" t="s">
        <v>1363</v>
      </c>
      <c r="K3" s="13" t="s">
        <v>1363</v>
      </c>
      <c r="L3" s="13" t="s">
        <v>1363</v>
      </c>
      <c r="M3" s="13" t="s">
        <v>1363</v>
      </c>
      <c r="N3" s="13" t="s">
        <v>9626</v>
      </c>
      <c r="O3" s="13" t="s">
        <v>9632</v>
      </c>
      <c r="P3" s="15">
        <v>367</v>
      </c>
      <c r="R3" s="13" t="s">
        <v>9633</v>
      </c>
      <c r="S3" s="13" t="s">
        <v>447</v>
      </c>
      <c r="X3" s="13" t="s">
        <v>9628</v>
      </c>
      <c r="Z3" s="13" t="s">
        <v>1363</v>
      </c>
      <c r="AB3" s="13" t="s">
        <v>447</v>
      </c>
      <c r="AC3" s="21">
        <v>38047.689953703702</v>
      </c>
      <c r="AD3" s="21">
        <v>39402.447557870371</v>
      </c>
      <c r="AE3" s="13" t="s">
        <v>9634</v>
      </c>
      <c r="AF3" s="13" t="s">
        <v>9629</v>
      </c>
    </row>
    <row r="4" spans="1:33">
      <c r="A4" s="13" t="s">
        <v>9635</v>
      </c>
      <c r="B4" s="13" t="s">
        <v>1150</v>
      </c>
      <c r="C4" s="13" t="s">
        <v>1363</v>
      </c>
      <c r="D4" s="13" t="s">
        <v>1150</v>
      </c>
      <c r="E4" s="13" t="s">
        <v>1363</v>
      </c>
      <c r="F4" s="13" t="s">
        <v>447</v>
      </c>
      <c r="G4" s="13" t="s">
        <v>1363</v>
      </c>
      <c r="H4" s="13" t="s">
        <v>1415</v>
      </c>
      <c r="I4" s="13" t="s">
        <v>9636</v>
      </c>
      <c r="J4" s="13" t="s">
        <v>1363</v>
      </c>
      <c r="K4" s="13" t="s">
        <v>1363</v>
      </c>
      <c r="L4" s="13" t="s">
        <v>1363</v>
      </c>
      <c r="M4" s="13" t="s">
        <v>1363</v>
      </c>
      <c r="N4" s="13" t="s">
        <v>9626</v>
      </c>
      <c r="O4" s="13" t="s">
        <v>9637</v>
      </c>
      <c r="P4" s="15">
        <v>367</v>
      </c>
      <c r="R4" s="13" t="s">
        <v>9638</v>
      </c>
      <c r="S4" s="13" t="s">
        <v>447</v>
      </c>
      <c r="X4" s="13" t="s">
        <v>9628</v>
      </c>
      <c r="Z4" s="13" t="s">
        <v>1363</v>
      </c>
      <c r="AB4" s="13" t="s">
        <v>447</v>
      </c>
      <c r="AC4" s="21">
        <v>38047.689953703702</v>
      </c>
      <c r="AD4" s="21">
        <v>39402.449050925927</v>
      </c>
      <c r="AE4" s="13" t="s">
        <v>9634</v>
      </c>
      <c r="AF4" s="13" t="s">
        <v>9629</v>
      </c>
    </row>
    <row r="5" spans="1:33">
      <c r="A5" s="13" t="s">
        <v>9639</v>
      </c>
      <c r="B5" s="13" t="s">
        <v>1150</v>
      </c>
      <c r="C5" s="13" t="s">
        <v>1363</v>
      </c>
      <c r="D5" s="13" t="s">
        <v>1150</v>
      </c>
      <c r="E5" s="13" t="s">
        <v>1363</v>
      </c>
      <c r="F5" s="13" t="s">
        <v>447</v>
      </c>
      <c r="G5" s="13" t="s">
        <v>1363</v>
      </c>
      <c r="H5" s="13" t="s">
        <v>1415</v>
      </c>
      <c r="I5" s="13" t="s">
        <v>9640</v>
      </c>
      <c r="J5" s="13" t="s">
        <v>1363</v>
      </c>
      <c r="K5" s="13" t="s">
        <v>1363</v>
      </c>
      <c r="L5" s="13" t="s">
        <v>1363</v>
      </c>
      <c r="M5" s="13" t="s">
        <v>1363</v>
      </c>
      <c r="N5" s="13" t="s">
        <v>9626</v>
      </c>
      <c r="O5" s="13" t="s">
        <v>9641</v>
      </c>
      <c r="P5" s="15">
        <v>367</v>
      </c>
      <c r="R5" s="13" t="s">
        <v>9642</v>
      </c>
      <c r="S5" s="13" t="s">
        <v>447</v>
      </c>
      <c r="X5" s="13" t="s">
        <v>9628</v>
      </c>
      <c r="Z5" s="13" t="s">
        <v>1363</v>
      </c>
      <c r="AB5" s="13" t="s">
        <v>447</v>
      </c>
      <c r="AC5" s="21">
        <v>38047.689953703702</v>
      </c>
      <c r="AD5" s="21">
        <v>39402.44798611111</v>
      </c>
      <c r="AE5" s="13" t="s">
        <v>9634</v>
      </c>
      <c r="AF5" s="13" t="s">
        <v>9629</v>
      </c>
    </row>
    <row r="6" spans="1:33">
      <c r="A6" s="13" t="s">
        <v>9643</v>
      </c>
      <c r="B6" s="13" t="s">
        <v>1150</v>
      </c>
      <c r="C6" s="13" t="s">
        <v>1363</v>
      </c>
      <c r="D6" s="13" t="s">
        <v>1150</v>
      </c>
      <c r="E6" s="13" t="s">
        <v>1363</v>
      </c>
      <c r="F6" s="13" t="s">
        <v>447</v>
      </c>
      <c r="G6" s="13" t="s">
        <v>1363</v>
      </c>
      <c r="H6" s="13" t="s">
        <v>1415</v>
      </c>
      <c r="I6" s="13" t="s">
        <v>9644</v>
      </c>
      <c r="J6" s="13" t="s">
        <v>1363</v>
      </c>
      <c r="K6" s="13" t="s">
        <v>1363</v>
      </c>
      <c r="L6" s="13" t="s">
        <v>1363</v>
      </c>
      <c r="M6" s="13" t="s">
        <v>1363</v>
      </c>
      <c r="N6" s="13" t="s">
        <v>9626</v>
      </c>
      <c r="O6" s="13" t="s">
        <v>9645</v>
      </c>
      <c r="P6" s="15">
        <v>367</v>
      </c>
      <c r="R6" s="13" t="s">
        <v>9646</v>
      </c>
      <c r="S6" s="13" t="s">
        <v>447</v>
      </c>
      <c r="X6" s="13" t="s">
        <v>9628</v>
      </c>
      <c r="Z6" s="13" t="s">
        <v>1363</v>
      </c>
      <c r="AB6" s="13" t="s">
        <v>447</v>
      </c>
      <c r="AC6" s="21">
        <v>38047.689953703702</v>
      </c>
      <c r="AD6" s="21">
        <v>40232.432256944441</v>
      </c>
      <c r="AE6" s="13" t="s">
        <v>9634</v>
      </c>
      <c r="AF6" s="13" t="s">
        <v>9629</v>
      </c>
    </row>
    <row r="7" spans="1:33">
      <c r="A7" s="13" t="s">
        <v>9647</v>
      </c>
      <c r="B7" s="13" t="s">
        <v>1150</v>
      </c>
      <c r="C7" s="13" t="s">
        <v>1363</v>
      </c>
      <c r="D7" s="13" t="s">
        <v>1150</v>
      </c>
      <c r="E7" s="13" t="s">
        <v>1363</v>
      </c>
      <c r="F7" s="13" t="s">
        <v>447</v>
      </c>
      <c r="G7" s="13" t="s">
        <v>1363</v>
      </c>
      <c r="H7" s="13" t="s">
        <v>1415</v>
      </c>
      <c r="I7" s="13" t="s">
        <v>9648</v>
      </c>
      <c r="J7" s="13" t="s">
        <v>1363</v>
      </c>
      <c r="K7" s="13" t="s">
        <v>1363</v>
      </c>
      <c r="L7" s="13" t="s">
        <v>1363</v>
      </c>
      <c r="M7" s="13" t="s">
        <v>1363</v>
      </c>
      <c r="N7" s="13" t="s">
        <v>9626</v>
      </c>
      <c r="O7" s="13" t="s">
        <v>9649</v>
      </c>
      <c r="P7" s="15">
        <v>367</v>
      </c>
      <c r="R7" s="13" t="s">
        <v>9650</v>
      </c>
      <c r="S7" s="13" t="s">
        <v>447</v>
      </c>
      <c r="X7" s="13" t="s">
        <v>9628</v>
      </c>
      <c r="Z7" s="13" t="s">
        <v>1363</v>
      </c>
      <c r="AB7" s="13" t="s">
        <v>447</v>
      </c>
      <c r="AC7" s="21">
        <v>38047.689953703702</v>
      </c>
      <c r="AD7" s="21">
        <v>39402.448865740742</v>
      </c>
      <c r="AE7" s="13" t="s">
        <v>9634</v>
      </c>
      <c r="AF7" s="13" t="s">
        <v>9629</v>
      </c>
    </row>
    <row r="8" spans="1:33">
      <c r="A8" s="13" t="s">
        <v>9651</v>
      </c>
      <c r="B8" s="13" t="s">
        <v>1150</v>
      </c>
      <c r="C8" s="13" t="s">
        <v>1363</v>
      </c>
      <c r="D8" s="13" t="s">
        <v>1150</v>
      </c>
      <c r="E8" s="13" t="s">
        <v>1363</v>
      </c>
      <c r="F8" s="13" t="s">
        <v>447</v>
      </c>
      <c r="G8" s="13" t="s">
        <v>1363</v>
      </c>
      <c r="H8" s="13" t="s">
        <v>1415</v>
      </c>
      <c r="I8" s="13" t="s">
        <v>9652</v>
      </c>
      <c r="J8" s="13" t="s">
        <v>1363</v>
      </c>
      <c r="K8" s="13" t="s">
        <v>1363</v>
      </c>
      <c r="L8" s="13" t="s">
        <v>1363</v>
      </c>
      <c r="M8" s="13" t="s">
        <v>1363</v>
      </c>
      <c r="N8" s="13" t="s">
        <v>9626</v>
      </c>
      <c r="O8" s="13" t="s">
        <v>9653</v>
      </c>
      <c r="P8" s="15">
        <v>367</v>
      </c>
      <c r="R8" s="13" t="s">
        <v>9654</v>
      </c>
      <c r="S8" s="13" t="s">
        <v>447</v>
      </c>
      <c r="X8" s="13" t="s">
        <v>9628</v>
      </c>
      <c r="Z8" s="13" t="s">
        <v>1363</v>
      </c>
      <c r="AB8" s="13" t="s">
        <v>447</v>
      </c>
      <c r="AC8" s="21">
        <v>38047.689953703702</v>
      </c>
      <c r="AD8" s="21">
        <v>39402.447777777779</v>
      </c>
      <c r="AE8" s="13" t="s">
        <v>9634</v>
      </c>
      <c r="AF8" s="13" t="s">
        <v>9629</v>
      </c>
    </row>
    <row r="9" spans="1:33">
      <c r="A9" s="13" t="s">
        <v>9655</v>
      </c>
      <c r="B9" s="13" t="s">
        <v>1150</v>
      </c>
      <c r="C9" s="13" t="s">
        <v>447</v>
      </c>
      <c r="D9" s="13" t="s">
        <v>1150</v>
      </c>
      <c r="E9" s="13" t="s">
        <v>1363</v>
      </c>
      <c r="F9" s="13" t="s">
        <v>447</v>
      </c>
      <c r="G9" s="13" t="s">
        <v>447</v>
      </c>
      <c r="H9" s="13" t="s">
        <v>1150</v>
      </c>
      <c r="I9" s="13" t="s">
        <v>9656</v>
      </c>
      <c r="J9" s="13" t="s">
        <v>447</v>
      </c>
      <c r="K9" s="13" t="s">
        <v>1363</v>
      </c>
      <c r="L9" s="13" t="s">
        <v>447</v>
      </c>
      <c r="M9" s="13" t="s">
        <v>1363</v>
      </c>
      <c r="N9" s="13" t="s">
        <v>9626</v>
      </c>
      <c r="O9" s="13" t="s">
        <v>9657</v>
      </c>
      <c r="P9" s="15">
        <v>367</v>
      </c>
      <c r="R9" s="13" t="s">
        <v>9656</v>
      </c>
      <c r="S9" s="13" t="s">
        <v>447</v>
      </c>
      <c r="X9" s="13" t="s">
        <v>9658</v>
      </c>
      <c r="Z9" s="13" t="s">
        <v>1363</v>
      </c>
      <c r="AB9" s="13" t="s">
        <v>447</v>
      </c>
      <c r="AC9" s="21">
        <v>38047.689953703702</v>
      </c>
      <c r="AD9" s="21">
        <v>38047.689953703702</v>
      </c>
      <c r="AE9" s="13" t="s">
        <v>9629</v>
      </c>
      <c r="AF9" s="13" t="s">
        <v>9629</v>
      </c>
    </row>
    <row r="10" spans="1:33">
      <c r="A10" s="13" t="s">
        <v>9659</v>
      </c>
      <c r="B10" s="13" t="s">
        <v>1150</v>
      </c>
      <c r="C10" s="13" t="s">
        <v>447</v>
      </c>
      <c r="D10" s="13" t="s">
        <v>1150</v>
      </c>
      <c r="E10" s="13" t="s">
        <v>1363</v>
      </c>
      <c r="F10" s="13" t="s">
        <v>447</v>
      </c>
      <c r="G10" s="13" t="s">
        <v>447</v>
      </c>
      <c r="H10" s="13" t="s">
        <v>1150</v>
      </c>
      <c r="I10" s="13" t="s">
        <v>9660</v>
      </c>
      <c r="J10" s="13" t="s">
        <v>447</v>
      </c>
      <c r="K10" s="13" t="s">
        <v>1363</v>
      </c>
      <c r="L10" s="13" t="s">
        <v>447</v>
      </c>
      <c r="M10" s="13" t="s">
        <v>1363</v>
      </c>
      <c r="N10" s="13" t="s">
        <v>9626</v>
      </c>
      <c r="O10" s="13" t="s">
        <v>9661</v>
      </c>
      <c r="P10" s="15">
        <v>367</v>
      </c>
      <c r="R10" s="13" t="s">
        <v>9660</v>
      </c>
      <c r="S10" s="13" t="s">
        <v>447</v>
      </c>
      <c r="X10" s="13" t="s">
        <v>9658</v>
      </c>
      <c r="Z10" s="13" t="s">
        <v>1363</v>
      </c>
      <c r="AB10" s="13" t="s">
        <v>447</v>
      </c>
      <c r="AC10" s="21">
        <v>38047.689953703702</v>
      </c>
      <c r="AD10" s="21">
        <v>38047.689953703702</v>
      </c>
      <c r="AE10" s="13" t="s">
        <v>9629</v>
      </c>
      <c r="AF10" s="13" t="s">
        <v>9629</v>
      </c>
    </row>
    <row r="11" spans="1:33">
      <c r="A11" s="13" t="s">
        <v>9662</v>
      </c>
      <c r="B11" s="13" t="s">
        <v>1150</v>
      </c>
      <c r="C11" s="13" t="s">
        <v>447</v>
      </c>
      <c r="D11" s="13" t="s">
        <v>1150</v>
      </c>
      <c r="E11" s="13" t="s">
        <v>1363</v>
      </c>
      <c r="F11" s="13" t="s">
        <v>447</v>
      </c>
      <c r="G11" s="13" t="s">
        <v>447</v>
      </c>
      <c r="H11" s="13" t="s">
        <v>1150</v>
      </c>
      <c r="I11" s="13" t="s">
        <v>9663</v>
      </c>
      <c r="J11" s="13" t="s">
        <v>447</v>
      </c>
      <c r="K11" s="13" t="s">
        <v>1363</v>
      </c>
      <c r="L11" s="13" t="s">
        <v>447</v>
      </c>
      <c r="M11" s="13" t="s">
        <v>1363</v>
      </c>
      <c r="N11" s="13" t="s">
        <v>9626</v>
      </c>
      <c r="O11" s="13" t="s">
        <v>9664</v>
      </c>
      <c r="P11" s="15">
        <v>367</v>
      </c>
      <c r="R11" s="13" t="s">
        <v>9663</v>
      </c>
      <c r="S11" s="13" t="s">
        <v>447</v>
      </c>
      <c r="X11" s="13" t="s">
        <v>9658</v>
      </c>
      <c r="Z11" s="13" t="s">
        <v>1363</v>
      </c>
      <c r="AB11" s="13" t="s">
        <v>447</v>
      </c>
      <c r="AC11" s="21">
        <v>38047.689953703702</v>
      </c>
      <c r="AD11" s="21">
        <v>38047.689953703702</v>
      </c>
      <c r="AE11" s="13" t="s">
        <v>9629</v>
      </c>
      <c r="AF11" s="13" t="s">
        <v>9629</v>
      </c>
    </row>
    <row r="12" spans="1:33">
      <c r="A12" s="13" t="s">
        <v>9665</v>
      </c>
      <c r="B12" s="13" t="s">
        <v>1150</v>
      </c>
      <c r="C12" s="13" t="s">
        <v>447</v>
      </c>
      <c r="D12" s="13" t="s">
        <v>1150</v>
      </c>
      <c r="E12" s="13" t="s">
        <v>1363</v>
      </c>
      <c r="F12" s="13" t="s">
        <v>447</v>
      </c>
      <c r="G12" s="13" t="s">
        <v>447</v>
      </c>
      <c r="H12" s="13" t="s">
        <v>1150</v>
      </c>
      <c r="I12" s="13" t="s">
        <v>9666</v>
      </c>
      <c r="J12" s="13" t="s">
        <v>447</v>
      </c>
      <c r="K12" s="13" t="s">
        <v>1363</v>
      </c>
      <c r="L12" s="13" t="s">
        <v>447</v>
      </c>
      <c r="M12" s="13" t="s">
        <v>1363</v>
      </c>
      <c r="N12" s="13" t="s">
        <v>9626</v>
      </c>
      <c r="O12" s="13" t="s">
        <v>9667</v>
      </c>
      <c r="P12" s="15">
        <v>367</v>
      </c>
      <c r="R12" s="13" t="s">
        <v>9666</v>
      </c>
      <c r="S12" s="13" t="s">
        <v>447</v>
      </c>
      <c r="X12" s="13" t="s">
        <v>9658</v>
      </c>
      <c r="Z12" s="13" t="s">
        <v>1363</v>
      </c>
      <c r="AB12" s="13" t="s">
        <v>447</v>
      </c>
      <c r="AC12" s="21">
        <v>38047.689953703702</v>
      </c>
      <c r="AD12" s="21">
        <v>38047.689953703702</v>
      </c>
      <c r="AE12" s="13" t="s">
        <v>9629</v>
      </c>
      <c r="AF12" s="13" t="s">
        <v>9629</v>
      </c>
    </row>
    <row r="13" spans="1:33">
      <c r="A13" s="13" t="s">
        <v>9668</v>
      </c>
      <c r="B13" s="13" t="s">
        <v>1150</v>
      </c>
      <c r="C13" s="13" t="s">
        <v>447</v>
      </c>
      <c r="D13" s="13" t="s">
        <v>1150</v>
      </c>
      <c r="E13" s="13" t="s">
        <v>1363</v>
      </c>
      <c r="F13" s="13" t="s">
        <v>447</v>
      </c>
      <c r="G13" s="13" t="s">
        <v>447</v>
      </c>
      <c r="H13" s="13" t="s">
        <v>1150</v>
      </c>
      <c r="I13" s="13" t="s">
        <v>9669</v>
      </c>
      <c r="J13" s="13" t="s">
        <v>447</v>
      </c>
      <c r="K13" s="13" t="s">
        <v>1363</v>
      </c>
      <c r="L13" s="13" t="s">
        <v>447</v>
      </c>
      <c r="M13" s="13" t="s">
        <v>1363</v>
      </c>
      <c r="N13" s="13" t="s">
        <v>9626</v>
      </c>
      <c r="O13" s="13" t="s">
        <v>9670</v>
      </c>
      <c r="P13" s="15">
        <v>367</v>
      </c>
      <c r="R13" s="13" t="s">
        <v>9669</v>
      </c>
      <c r="S13" s="13" t="s">
        <v>447</v>
      </c>
      <c r="X13" s="13" t="s">
        <v>9658</v>
      </c>
      <c r="Z13" s="13" t="s">
        <v>1363</v>
      </c>
      <c r="AB13" s="13" t="s">
        <v>447</v>
      </c>
      <c r="AC13" s="21">
        <v>38047.689953703702</v>
      </c>
      <c r="AD13" s="21">
        <v>38047.689953703702</v>
      </c>
      <c r="AE13" s="13" t="s">
        <v>9629</v>
      </c>
      <c r="AF13" s="13" t="s">
        <v>9629</v>
      </c>
    </row>
    <row r="14" spans="1:33">
      <c r="A14" s="13" t="s">
        <v>9671</v>
      </c>
      <c r="B14" s="13" t="s">
        <v>1150</v>
      </c>
      <c r="C14" s="13" t="s">
        <v>1363</v>
      </c>
      <c r="D14" s="13" t="s">
        <v>1150</v>
      </c>
      <c r="E14" s="13" t="s">
        <v>447</v>
      </c>
      <c r="F14" s="13" t="s">
        <v>447</v>
      </c>
      <c r="G14" s="13" t="s">
        <v>447</v>
      </c>
      <c r="H14" s="13" t="s">
        <v>1415</v>
      </c>
      <c r="I14" s="13" t="s">
        <v>78</v>
      </c>
      <c r="J14" s="13" t="s">
        <v>447</v>
      </c>
      <c r="K14" s="13" t="s">
        <v>1363</v>
      </c>
      <c r="L14" s="13" t="s">
        <v>447</v>
      </c>
      <c r="M14" s="13" t="s">
        <v>1363</v>
      </c>
      <c r="N14" s="13" t="s">
        <v>9626</v>
      </c>
      <c r="O14" s="13" t="s">
        <v>9672</v>
      </c>
      <c r="P14" s="15">
        <v>367</v>
      </c>
      <c r="R14" s="13" t="s">
        <v>78</v>
      </c>
      <c r="S14" s="13" t="s">
        <v>447</v>
      </c>
      <c r="X14" s="13" t="s">
        <v>9628</v>
      </c>
      <c r="Z14" s="13" t="s">
        <v>1363</v>
      </c>
      <c r="AB14" s="13" t="s">
        <v>447</v>
      </c>
      <c r="AC14" s="21">
        <v>38047.689953703702</v>
      </c>
      <c r="AD14" s="21">
        <v>38047.689953703702</v>
      </c>
      <c r="AE14" s="13" t="s">
        <v>9629</v>
      </c>
      <c r="AF14" s="13" t="s">
        <v>9629</v>
      </c>
    </row>
    <row r="15" spans="1:33">
      <c r="A15" s="13" t="s">
        <v>84</v>
      </c>
      <c r="B15" s="13" t="s">
        <v>1150</v>
      </c>
      <c r="C15" s="13" t="s">
        <v>1363</v>
      </c>
      <c r="D15" s="13" t="s">
        <v>1150</v>
      </c>
      <c r="E15" s="13" t="s">
        <v>447</v>
      </c>
      <c r="F15" s="13" t="s">
        <v>447</v>
      </c>
      <c r="G15" s="13" t="s">
        <v>447</v>
      </c>
      <c r="H15" s="13" t="s">
        <v>1415</v>
      </c>
      <c r="I15" s="13" t="s">
        <v>9673</v>
      </c>
      <c r="J15" s="13" t="s">
        <v>447</v>
      </c>
      <c r="K15" s="13" t="s">
        <v>1363</v>
      </c>
      <c r="L15" s="13" t="s">
        <v>447</v>
      </c>
      <c r="M15" s="13" t="s">
        <v>1363</v>
      </c>
      <c r="N15" s="14">
        <v>2</v>
      </c>
      <c r="O15" s="13" t="s">
        <v>9674</v>
      </c>
      <c r="P15" s="15">
        <v>367</v>
      </c>
      <c r="R15" s="13" t="s">
        <v>9673</v>
      </c>
      <c r="S15" s="13" t="s">
        <v>447</v>
      </c>
      <c r="X15" s="13" t="s">
        <v>9675</v>
      </c>
      <c r="Z15" s="13" t="s">
        <v>1363</v>
      </c>
      <c r="AB15" s="13" t="s">
        <v>447</v>
      </c>
      <c r="AC15" s="21">
        <v>38047.689953703702</v>
      </c>
      <c r="AD15" s="21">
        <v>42639.512013888889</v>
      </c>
      <c r="AE15" s="13" t="s">
        <v>9676</v>
      </c>
      <c r="AF15" s="13" t="s">
        <v>9629</v>
      </c>
    </row>
    <row r="16" spans="1:33">
      <c r="A16" s="13" t="s">
        <v>9677</v>
      </c>
      <c r="B16" s="13" t="s">
        <v>1150</v>
      </c>
      <c r="C16" s="13" t="s">
        <v>1363</v>
      </c>
      <c r="D16" s="13" t="s">
        <v>1150</v>
      </c>
      <c r="E16" s="13" t="s">
        <v>447</v>
      </c>
      <c r="F16" s="13" t="s">
        <v>447</v>
      </c>
      <c r="G16" s="13" t="s">
        <v>447</v>
      </c>
      <c r="H16" s="13" t="s">
        <v>1415</v>
      </c>
      <c r="I16" s="13" t="s">
        <v>9678</v>
      </c>
      <c r="J16" s="13" t="s">
        <v>447</v>
      </c>
      <c r="K16" s="13" t="s">
        <v>1363</v>
      </c>
      <c r="L16" s="13" t="s">
        <v>447</v>
      </c>
      <c r="M16" s="13" t="s">
        <v>1363</v>
      </c>
      <c r="N16" s="13" t="s">
        <v>9626</v>
      </c>
      <c r="O16" s="13" t="s">
        <v>9679</v>
      </c>
      <c r="P16" s="15">
        <v>367</v>
      </c>
      <c r="Q16" s="15">
        <v>39263</v>
      </c>
      <c r="R16" s="13" t="s">
        <v>9678</v>
      </c>
      <c r="S16" s="13" t="s">
        <v>447</v>
      </c>
      <c r="X16" s="13" t="s">
        <v>9675</v>
      </c>
      <c r="Z16" s="13" t="s">
        <v>1363</v>
      </c>
      <c r="AB16" s="13" t="s">
        <v>447</v>
      </c>
      <c r="AC16" s="21">
        <v>38047.689953703702</v>
      </c>
      <c r="AD16" s="21">
        <v>41334.512928240743</v>
      </c>
      <c r="AE16" s="13" t="s">
        <v>9629</v>
      </c>
      <c r="AF16" s="13" t="s">
        <v>9629</v>
      </c>
    </row>
    <row r="17" spans="1:32">
      <c r="A17" s="13" t="s">
        <v>9680</v>
      </c>
      <c r="B17" s="13" t="s">
        <v>1150</v>
      </c>
      <c r="C17" s="13" t="s">
        <v>1363</v>
      </c>
      <c r="D17" s="13" t="s">
        <v>1150</v>
      </c>
      <c r="E17" s="13" t="s">
        <v>447</v>
      </c>
      <c r="F17" s="13" t="s">
        <v>447</v>
      </c>
      <c r="G17" s="13" t="s">
        <v>447</v>
      </c>
      <c r="H17" s="13" t="s">
        <v>1415</v>
      </c>
      <c r="I17" s="13" t="s">
        <v>9681</v>
      </c>
      <c r="J17" s="13" t="s">
        <v>447</v>
      </c>
      <c r="K17" s="13" t="s">
        <v>1363</v>
      </c>
      <c r="L17" s="13" t="s">
        <v>447</v>
      </c>
      <c r="M17" s="13" t="s">
        <v>1363</v>
      </c>
      <c r="N17" s="14">
        <v>3</v>
      </c>
      <c r="O17" s="13" t="s">
        <v>9682</v>
      </c>
      <c r="P17" s="15">
        <v>367</v>
      </c>
      <c r="R17" s="13" t="s">
        <v>9681</v>
      </c>
      <c r="S17" s="13" t="s">
        <v>447</v>
      </c>
      <c r="X17" s="13" t="s">
        <v>9628</v>
      </c>
      <c r="Z17" s="13" t="s">
        <v>1363</v>
      </c>
      <c r="AB17" s="13" t="s">
        <v>447</v>
      </c>
      <c r="AC17" s="21">
        <v>38047.689953703702</v>
      </c>
      <c r="AD17" s="21">
        <v>40225.483182870368</v>
      </c>
      <c r="AE17" s="13" t="s">
        <v>9634</v>
      </c>
      <c r="AF17" s="13" t="s">
        <v>9629</v>
      </c>
    </row>
    <row r="18" spans="1:32">
      <c r="A18" s="13" t="s">
        <v>9683</v>
      </c>
      <c r="B18" s="13" t="s">
        <v>1150</v>
      </c>
      <c r="C18" s="13" t="s">
        <v>1363</v>
      </c>
      <c r="D18" s="13" t="s">
        <v>1150</v>
      </c>
      <c r="E18" s="13" t="s">
        <v>447</v>
      </c>
      <c r="F18" s="13" t="s">
        <v>447</v>
      </c>
      <c r="G18" s="13" t="s">
        <v>447</v>
      </c>
      <c r="H18" s="13" t="s">
        <v>1415</v>
      </c>
      <c r="I18" s="13" t="s">
        <v>9684</v>
      </c>
      <c r="J18" s="13" t="s">
        <v>447</v>
      </c>
      <c r="K18" s="13" t="s">
        <v>1363</v>
      </c>
      <c r="L18" s="13" t="s">
        <v>447</v>
      </c>
      <c r="M18" s="13" t="s">
        <v>1363</v>
      </c>
      <c r="N18" s="13" t="s">
        <v>9626</v>
      </c>
      <c r="O18" s="13" t="s">
        <v>9685</v>
      </c>
      <c r="P18" s="15">
        <v>367</v>
      </c>
      <c r="R18" s="13" t="s">
        <v>9684</v>
      </c>
      <c r="S18" s="13" t="s">
        <v>447</v>
      </c>
      <c r="X18" s="13" t="s">
        <v>9628</v>
      </c>
      <c r="Z18" s="13" t="s">
        <v>1363</v>
      </c>
      <c r="AB18" s="13" t="s">
        <v>447</v>
      </c>
      <c r="AC18" s="21">
        <v>38047.689953703702</v>
      </c>
      <c r="AD18" s="21">
        <v>38047.689953703702</v>
      </c>
      <c r="AE18" s="13" t="s">
        <v>9629</v>
      </c>
      <c r="AF18" s="13" t="s">
        <v>9629</v>
      </c>
    </row>
    <row r="19" spans="1:32">
      <c r="A19" s="13" t="s">
        <v>9686</v>
      </c>
      <c r="B19" s="13" t="s">
        <v>1150</v>
      </c>
      <c r="C19" s="13" t="s">
        <v>1363</v>
      </c>
      <c r="D19" s="13" t="s">
        <v>1150</v>
      </c>
      <c r="E19" s="13" t="s">
        <v>447</v>
      </c>
      <c r="F19" s="13" t="s">
        <v>447</v>
      </c>
      <c r="G19" s="13" t="s">
        <v>447</v>
      </c>
      <c r="H19" s="13" t="s">
        <v>1415</v>
      </c>
      <c r="I19" s="13" t="s">
        <v>9687</v>
      </c>
      <c r="J19" s="13" t="s">
        <v>447</v>
      </c>
      <c r="K19" s="13" t="s">
        <v>1363</v>
      </c>
      <c r="L19" s="13" t="s">
        <v>447</v>
      </c>
      <c r="M19" s="13" t="s">
        <v>1363</v>
      </c>
      <c r="N19" s="13" t="s">
        <v>9626</v>
      </c>
      <c r="O19" s="13" t="s">
        <v>9688</v>
      </c>
      <c r="P19" s="15">
        <v>367</v>
      </c>
      <c r="R19" s="13" t="s">
        <v>9687</v>
      </c>
      <c r="S19" s="13" t="s">
        <v>447</v>
      </c>
      <c r="X19" s="13" t="s">
        <v>9628</v>
      </c>
      <c r="Z19" s="13" t="s">
        <v>1363</v>
      </c>
      <c r="AB19" s="13" t="s">
        <v>447</v>
      </c>
      <c r="AC19" s="21">
        <v>38047.689953703702</v>
      </c>
      <c r="AD19" s="21">
        <v>38047.689953703702</v>
      </c>
      <c r="AE19" s="13" t="s">
        <v>9629</v>
      </c>
      <c r="AF19" s="13" t="s">
        <v>9629</v>
      </c>
    </row>
    <row r="20" spans="1:32">
      <c r="A20" s="13" t="s">
        <v>9689</v>
      </c>
      <c r="B20" s="13" t="s">
        <v>1150</v>
      </c>
      <c r="C20" s="13" t="s">
        <v>1363</v>
      </c>
      <c r="D20" s="13" t="s">
        <v>1150</v>
      </c>
      <c r="E20" s="13" t="s">
        <v>447</v>
      </c>
      <c r="F20" s="13" t="s">
        <v>447</v>
      </c>
      <c r="G20" s="13" t="s">
        <v>447</v>
      </c>
      <c r="H20" s="13" t="s">
        <v>1415</v>
      </c>
      <c r="I20" s="13" t="s">
        <v>9690</v>
      </c>
      <c r="J20" s="13" t="s">
        <v>447</v>
      </c>
      <c r="K20" s="13" t="s">
        <v>1363</v>
      </c>
      <c r="L20" s="13" t="s">
        <v>447</v>
      </c>
      <c r="M20" s="13" t="s">
        <v>1363</v>
      </c>
      <c r="N20" s="14">
        <v>4</v>
      </c>
      <c r="O20" s="13" t="s">
        <v>9691</v>
      </c>
      <c r="P20" s="15">
        <v>367</v>
      </c>
      <c r="R20" s="13" t="s">
        <v>9692</v>
      </c>
      <c r="S20" s="13" t="s">
        <v>447</v>
      </c>
      <c r="X20" s="13" t="s">
        <v>9628</v>
      </c>
      <c r="Z20" s="13" t="s">
        <v>1363</v>
      </c>
      <c r="AB20" s="13" t="s">
        <v>447</v>
      </c>
      <c r="AC20" s="21">
        <v>38047.689953703702</v>
      </c>
      <c r="AD20" s="21">
        <v>40225.483310185184</v>
      </c>
      <c r="AE20" s="13" t="s">
        <v>9634</v>
      </c>
      <c r="AF20" s="13" t="s">
        <v>9629</v>
      </c>
    </row>
    <row r="21" spans="1:32">
      <c r="A21" s="13" t="s">
        <v>9693</v>
      </c>
      <c r="B21" s="13" t="s">
        <v>1150</v>
      </c>
      <c r="C21" s="13" t="s">
        <v>1363</v>
      </c>
      <c r="D21" s="13" t="s">
        <v>1150</v>
      </c>
      <c r="E21" s="13" t="s">
        <v>447</v>
      </c>
      <c r="F21" s="13" t="s">
        <v>447</v>
      </c>
      <c r="G21" s="13" t="s">
        <v>447</v>
      </c>
      <c r="H21" s="13" t="s">
        <v>1415</v>
      </c>
      <c r="I21" s="13" t="s">
        <v>9694</v>
      </c>
      <c r="J21" s="13" t="s">
        <v>447</v>
      </c>
      <c r="K21" s="13" t="s">
        <v>1363</v>
      </c>
      <c r="L21" s="13" t="s">
        <v>447</v>
      </c>
      <c r="M21" s="13" t="s">
        <v>1363</v>
      </c>
      <c r="N21" s="13" t="s">
        <v>9626</v>
      </c>
      <c r="O21" s="13" t="s">
        <v>9695</v>
      </c>
      <c r="P21" s="15">
        <v>367</v>
      </c>
      <c r="R21" s="13" t="s">
        <v>9694</v>
      </c>
      <c r="S21" s="13" t="s">
        <v>447</v>
      </c>
      <c r="X21" s="13" t="s">
        <v>9628</v>
      </c>
      <c r="Z21" s="13" t="s">
        <v>1363</v>
      </c>
      <c r="AB21" s="13" t="s">
        <v>447</v>
      </c>
      <c r="AC21" s="21">
        <v>38047.689953703702</v>
      </c>
      <c r="AD21" s="21">
        <v>38047.689953703702</v>
      </c>
      <c r="AE21" s="13" t="s">
        <v>9629</v>
      </c>
      <c r="AF21" s="13" t="s">
        <v>9629</v>
      </c>
    </row>
    <row r="22" spans="1:32">
      <c r="A22" s="13" t="s">
        <v>9696</v>
      </c>
      <c r="B22" s="13" t="s">
        <v>1150</v>
      </c>
      <c r="C22" s="13" t="s">
        <v>447</v>
      </c>
      <c r="D22" s="13" t="s">
        <v>1150</v>
      </c>
      <c r="E22" s="13" t="s">
        <v>447</v>
      </c>
      <c r="F22" s="13" t="s">
        <v>447</v>
      </c>
      <c r="G22" s="13" t="s">
        <v>447</v>
      </c>
      <c r="H22" s="13" t="s">
        <v>1415</v>
      </c>
      <c r="I22" s="13" t="s">
        <v>9697</v>
      </c>
      <c r="J22" s="13" t="s">
        <v>447</v>
      </c>
      <c r="K22" s="13" t="s">
        <v>1363</v>
      </c>
      <c r="L22" s="13" t="s">
        <v>447</v>
      </c>
      <c r="M22" s="13" t="s">
        <v>1363</v>
      </c>
      <c r="N22" s="13" t="s">
        <v>9626</v>
      </c>
      <c r="O22" s="13" t="s">
        <v>9698</v>
      </c>
      <c r="P22" s="15">
        <v>367</v>
      </c>
      <c r="R22" s="13" t="s">
        <v>9697</v>
      </c>
      <c r="S22" s="13" t="s">
        <v>447</v>
      </c>
      <c r="X22" s="13" t="s">
        <v>9628</v>
      </c>
      <c r="Z22" s="13" t="s">
        <v>1363</v>
      </c>
      <c r="AB22" s="13" t="s">
        <v>447</v>
      </c>
      <c r="AC22" s="21">
        <v>38047.689953703702</v>
      </c>
      <c r="AD22" s="21">
        <v>44369.334317129629</v>
      </c>
      <c r="AE22" s="13" t="s">
        <v>9629</v>
      </c>
      <c r="AF22" s="13" t="s">
        <v>9629</v>
      </c>
    </row>
    <row r="23" spans="1:32">
      <c r="A23" s="13" t="s">
        <v>9699</v>
      </c>
      <c r="B23" s="13" t="s">
        <v>1150</v>
      </c>
      <c r="C23" s="13" t="s">
        <v>447</v>
      </c>
      <c r="D23" s="13" t="s">
        <v>1150</v>
      </c>
      <c r="E23" s="13" t="s">
        <v>447</v>
      </c>
      <c r="F23" s="13" t="s">
        <v>447</v>
      </c>
      <c r="G23" s="13" t="s">
        <v>447</v>
      </c>
      <c r="H23" s="13" t="s">
        <v>1415</v>
      </c>
      <c r="I23" s="13" t="s">
        <v>9700</v>
      </c>
      <c r="J23" s="13" t="s">
        <v>447</v>
      </c>
      <c r="K23" s="13" t="s">
        <v>1363</v>
      </c>
      <c r="L23" s="13" t="s">
        <v>447</v>
      </c>
      <c r="M23" s="13" t="s">
        <v>1363</v>
      </c>
      <c r="N23" s="13" t="s">
        <v>9626</v>
      </c>
      <c r="O23" s="13" t="s">
        <v>9701</v>
      </c>
      <c r="P23" s="15">
        <v>367</v>
      </c>
      <c r="R23" s="13" t="s">
        <v>9700</v>
      </c>
      <c r="S23" s="13" t="s">
        <v>447</v>
      </c>
      <c r="X23" s="13" t="s">
        <v>9628</v>
      </c>
      <c r="Z23" s="13" t="s">
        <v>1363</v>
      </c>
      <c r="AB23" s="13" t="s">
        <v>447</v>
      </c>
      <c r="AC23" s="21">
        <v>38047.689953703702</v>
      </c>
      <c r="AD23" s="21">
        <v>44369.335972222223</v>
      </c>
      <c r="AE23" s="13" t="s">
        <v>9629</v>
      </c>
      <c r="AF23" s="13" t="s">
        <v>9629</v>
      </c>
    </row>
    <row r="24" spans="1:32">
      <c r="A24" s="13" t="s">
        <v>9702</v>
      </c>
      <c r="B24" s="13" t="s">
        <v>1150</v>
      </c>
      <c r="C24" s="13" t="s">
        <v>1363</v>
      </c>
      <c r="D24" s="13" t="s">
        <v>1150</v>
      </c>
      <c r="E24" s="13" t="s">
        <v>447</v>
      </c>
      <c r="F24" s="13" t="s">
        <v>447</v>
      </c>
      <c r="G24" s="13" t="s">
        <v>1363</v>
      </c>
      <c r="H24" s="13" t="s">
        <v>1415</v>
      </c>
      <c r="I24" s="13" t="s">
        <v>9703</v>
      </c>
      <c r="J24" s="13" t="s">
        <v>447</v>
      </c>
      <c r="K24" s="13" t="s">
        <v>1363</v>
      </c>
      <c r="L24" s="13" t="s">
        <v>447</v>
      </c>
      <c r="M24" s="13" t="s">
        <v>1363</v>
      </c>
      <c r="N24" s="14">
        <v>1</v>
      </c>
      <c r="O24" s="13" t="s">
        <v>9704</v>
      </c>
      <c r="P24" s="15">
        <v>367</v>
      </c>
      <c r="R24" s="13" t="s">
        <v>9705</v>
      </c>
      <c r="S24" s="13" t="s">
        <v>447</v>
      </c>
      <c r="X24" s="13" t="s">
        <v>9628</v>
      </c>
      <c r="Z24" s="13" t="s">
        <v>1363</v>
      </c>
      <c r="AB24" s="13" t="s">
        <v>447</v>
      </c>
      <c r="AC24" s="21">
        <v>38047.689953703702</v>
      </c>
      <c r="AD24" s="21">
        <v>40225.482905092591</v>
      </c>
      <c r="AE24" s="13" t="s">
        <v>9634</v>
      </c>
      <c r="AF24" s="13" t="s">
        <v>9629</v>
      </c>
    </row>
    <row r="25" spans="1:32">
      <c r="A25" s="13" t="s">
        <v>9706</v>
      </c>
      <c r="B25" s="13" t="s">
        <v>1438</v>
      </c>
      <c r="C25" s="13" t="s">
        <v>1363</v>
      </c>
      <c r="D25" s="13" t="s">
        <v>1150</v>
      </c>
      <c r="E25" s="13" t="s">
        <v>1363</v>
      </c>
      <c r="F25" s="13" t="s">
        <v>447</v>
      </c>
      <c r="G25" s="13" t="s">
        <v>1363</v>
      </c>
      <c r="H25" s="13" t="s">
        <v>1415</v>
      </c>
      <c r="I25" s="13" t="s">
        <v>9707</v>
      </c>
      <c r="J25" s="13" t="s">
        <v>447</v>
      </c>
      <c r="K25" s="13" t="s">
        <v>1363</v>
      </c>
      <c r="L25" s="13" t="s">
        <v>447</v>
      </c>
      <c r="M25" s="13" t="s">
        <v>1363</v>
      </c>
      <c r="N25" s="13" t="s">
        <v>9626</v>
      </c>
      <c r="O25" s="13" t="s">
        <v>9708</v>
      </c>
      <c r="P25" s="15">
        <v>367</v>
      </c>
      <c r="R25" s="13" t="s">
        <v>9707</v>
      </c>
      <c r="S25" s="13" t="s">
        <v>1363</v>
      </c>
      <c r="X25" s="13" t="s">
        <v>9709</v>
      </c>
      <c r="Z25" s="13" t="s">
        <v>1363</v>
      </c>
      <c r="AB25" s="13" t="s">
        <v>447</v>
      </c>
      <c r="AC25" s="21">
        <v>38047.689953703702</v>
      </c>
      <c r="AD25" s="21">
        <v>38047.689953703702</v>
      </c>
      <c r="AE25" s="13" t="s">
        <v>9629</v>
      </c>
      <c r="AF25" s="13" t="s">
        <v>9629</v>
      </c>
    </row>
    <row r="26" spans="1:32">
      <c r="A26" s="13" t="s">
        <v>9710</v>
      </c>
      <c r="B26" s="13" t="s">
        <v>1150</v>
      </c>
      <c r="C26" s="13" t="s">
        <v>1363</v>
      </c>
      <c r="D26" s="13" t="s">
        <v>1150</v>
      </c>
      <c r="E26" s="13" t="s">
        <v>1363</v>
      </c>
      <c r="F26" s="13" t="s">
        <v>447</v>
      </c>
      <c r="G26" s="13" t="s">
        <v>447</v>
      </c>
      <c r="H26" s="13" t="s">
        <v>1415</v>
      </c>
      <c r="I26" s="13" t="s">
        <v>9711</v>
      </c>
      <c r="J26" s="13" t="s">
        <v>447</v>
      </c>
      <c r="K26" s="13" t="s">
        <v>1363</v>
      </c>
      <c r="L26" s="13" t="s">
        <v>447</v>
      </c>
      <c r="M26" s="13" t="s">
        <v>1363</v>
      </c>
      <c r="N26" s="13" t="s">
        <v>9626</v>
      </c>
      <c r="O26" s="13" t="s">
        <v>9712</v>
      </c>
      <c r="P26" s="15">
        <v>367</v>
      </c>
      <c r="R26" s="13" t="s">
        <v>9711</v>
      </c>
      <c r="S26" s="13" t="s">
        <v>447</v>
      </c>
      <c r="X26" s="13" t="s">
        <v>9713</v>
      </c>
      <c r="Z26" s="13" t="s">
        <v>1363</v>
      </c>
      <c r="AB26" s="13" t="s">
        <v>447</v>
      </c>
      <c r="AC26" s="21">
        <v>38047.689953703702</v>
      </c>
      <c r="AD26" s="21">
        <v>38047.689953703702</v>
      </c>
      <c r="AE26" s="13" t="s">
        <v>9629</v>
      </c>
      <c r="AF26" s="13" t="s">
        <v>9629</v>
      </c>
    </row>
    <row r="27" spans="1:32">
      <c r="A27" s="13" t="s">
        <v>9714</v>
      </c>
      <c r="B27" s="13" t="s">
        <v>1438</v>
      </c>
      <c r="C27" s="13" t="s">
        <v>1363</v>
      </c>
      <c r="D27" s="13" t="s">
        <v>1150</v>
      </c>
      <c r="E27" s="13" t="s">
        <v>1363</v>
      </c>
      <c r="F27" s="13" t="s">
        <v>447</v>
      </c>
      <c r="G27" s="13" t="s">
        <v>1363</v>
      </c>
      <c r="H27" s="13" t="s">
        <v>1415</v>
      </c>
      <c r="I27" s="13" t="s">
        <v>9715</v>
      </c>
      <c r="J27" s="13" t="s">
        <v>447</v>
      </c>
      <c r="K27" s="13" t="s">
        <v>1363</v>
      </c>
      <c r="L27" s="13" t="s">
        <v>447</v>
      </c>
      <c r="M27" s="13" t="s">
        <v>447</v>
      </c>
      <c r="N27" s="13" t="s">
        <v>9626</v>
      </c>
      <c r="O27" s="13" t="s">
        <v>9716</v>
      </c>
      <c r="P27" s="15">
        <v>367</v>
      </c>
      <c r="R27" s="13" t="s">
        <v>9715</v>
      </c>
      <c r="S27" s="13" t="s">
        <v>447</v>
      </c>
      <c r="X27" s="13" t="s">
        <v>9628</v>
      </c>
      <c r="Z27" s="13" t="s">
        <v>1363</v>
      </c>
      <c r="AB27" s="13" t="s">
        <v>447</v>
      </c>
      <c r="AC27" s="21">
        <v>38047.689953703702</v>
      </c>
      <c r="AD27" s="21">
        <v>38047.689953703702</v>
      </c>
      <c r="AE27" s="13" t="s">
        <v>9629</v>
      </c>
      <c r="AF27" s="13" t="s">
        <v>9629</v>
      </c>
    </row>
    <row r="28" spans="1:32">
      <c r="A28" s="13" t="s">
        <v>9717</v>
      </c>
      <c r="B28" s="13" t="s">
        <v>1150</v>
      </c>
      <c r="C28" s="13" t="s">
        <v>447</v>
      </c>
      <c r="D28" s="13" t="s">
        <v>1150</v>
      </c>
      <c r="E28" s="13" t="s">
        <v>1363</v>
      </c>
      <c r="F28" s="13" t="s">
        <v>447</v>
      </c>
      <c r="G28" s="13" t="s">
        <v>1363</v>
      </c>
      <c r="H28" s="13" t="s">
        <v>1415</v>
      </c>
      <c r="I28" s="13" t="s">
        <v>9718</v>
      </c>
      <c r="J28" s="13" t="s">
        <v>447</v>
      </c>
      <c r="K28" s="13" t="s">
        <v>1363</v>
      </c>
      <c r="L28" s="13" t="s">
        <v>447</v>
      </c>
      <c r="M28" s="13" t="s">
        <v>1363</v>
      </c>
      <c r="N28" s="13" t="s">
        <v>9626</v>
      </c>
      <c r="O28" s="13" t="s">
        <v>9719</v>
      </c>
      <c r="P28" s="15">
        <v>367</v>
      </c>
      <c r="R28" s="13" t="s">
        <v>9718</v>
      </c>
      <c r="S28" s="13" t="s">
        <v>447</v>
      </c>
      <c r="X28" s="13" t="s">
        <v>9628</v>
      </c>
      <c r="Z28" s="13" t="s">
        <v>1363</v>
      </c>
      <c r="AB28" s="13" t="s">
        <v>447</v>
      </c>
      <c r="AC28" s="21">
        <v>38047.689953703702</v>
      </c>
      <c r="AD28" s="21">
        <v>39505.413194444445</v>
      </c>
      <c r="AE28" s="13" t="s">
        <v>9634</v>
      </c>
      <c r="AF28" s="13" t="s">
        <v>9629</v>
      </c>
    </row>
    <row r="29" spans="1:32">
      <c r="A29" s="13" t="s">
        <v>9720</v>
      </c>
      <c r="B29" s="13" t="s">
        <v>1150</v>
      </c>
      <c r="C29" s="13" t="s">
        <v>1363</v>
      </c>
      <c r="D29" s="13" t="s">
        <v>1150</v>
      </c>
      <c r="E29" s="13" t="s">
        <v>1363</v>
      </c>
      <c r="F29" s="13" t="s">
        <v>1363</v>
      </c>
      <c r="G29" s="13" t="s">
        <v>1363</v>
      </c>
      <c r="H29" s="13" t="s">
        <v>1237</v>
      </c>
      <c r="I29" s="13" t="s">
        <v>9721</v>
      </c>
      <c r="J29" s="13" t="s">
        <v>1363</v>
      </c>
      <c r="K29" s="13" t="s">
        <v>1363</v>
      </c>
      <c r="L29" s="13" t="s">
        <v>1363</v>
      </c>
      <c r="M29" s="13" t="s">
        <v>1363</v>
      </c>
      <c r="N29" s="13" t="s">
        <v>9626</v>
      </c>
      <c r="P29" s="15">
        <v>367</v>
      </c>
      <c r="R29" s="13" t="s">
        <v>9722</v>
      </c>
      <c r="S29" s="13" t="s">
        <v>1363</v>
      </c>
      <c r="T29" s="13" t="s">
        <v>9723</v>
      </c>
      <c r="U29" s="13" t="s">
        <v>9724</v>
      </c>
      <c r="V29" s="13" t="s">
        <v>9725</v>
      </c>
      <c r="W29" s="13" t="s">
        <v>9726</v>
      </c>
      <c r="X29" s="13" t="s">
        <v>9727</v>
      </c>
      <c r="Z29" s="13" t="s">
        <v>1363</v>
      </c>
      <c r="AA29" s="13" t="s">
        <v>9728</v>
      </c>
      <c r="AB29" s="13" t="s">
        <v>447</v>
      </c>
      <c r="AC29" s="21">
        <v>38047.689953703702</v>
      </c>
      <c r="AD29" s="21">
        <v>38047.689953703702</v>
      </c>
      <c r="AE29" s="13" t="s">
        <v>9629</v>
      </c>
      <c r="AF29" s="13" t="s">
        <v>9629</v>
      </c>
    </row>
    <row r="30" spans="1:32">
      <c r="A30" s="13" t="s">
        <v>9729</v>
      </c>
      <c r="B30" s="13" t="s">
        <v>1150</v>
      </c>
      <c r="C30" s="13" t="s">
        <v>1363</v>
      </c>
      <c r="D30" s="13" t="s">
        <v>1150</v>
      </c>
      <c r="E30" s="13" t="s">
        <v>1363</v>
      </c>
      <c r="F30" s="13" t="s">
        <v>1363</v>
      </c>
      <c r="G30" s="13" t="s">
        <v>1363</v>
      </c>
      <c r="H30" s="13" t="s">
        <v>1237</v>
      </c>
      <c r="I30" s="13" t="s">
        <v>9721</v>
      </c>
      <c r="J30" s="13" t="s">
        <v>1363</v>
      </c>
      <c r="K30" s="13" t="s">
        <v>1363</v>
      </c>
      <c r="L30" s="13" t="s">
        <v>1363</v>
      </c>
      <c r="M30" s="13" t="s">
        <v>1363</v>
      </c>
      <c r="N30" s="13" t="s">
        <v>9626</v>
      </c>
      <c r="P30" s="15">
        <v>367</v>
      </c>
      <c r="R30" s="13" t="s">
        <v>9722</v>
      </c>
      <c r="S30" s="13" t="s">
        <v>1363</v>
      </c>
      <c r="T30" s="13" t="s">
        <v>9730</v>
      </c>
      <c r="U30" s="13" t="s">
        <v>9724</v>
      </c>
      <c r="V30" s="13" t="s">
        <v>9725</v>
      </c>
      <c r="W30" s="13" t="s">
        <v>9726</v>
      </c>
      <c r="X30" s="13" t="s">
        <v>9727</v>
      </c>
      <c r="Z30" s="13" t="s">
        <v>1363</v>
      </c>
      <c r="AA30" s="13" t="s">
        <v>9728</v>
      </c>
      <c r="AB30" s="13" t="s">
        <v>447</v>
      </c>
      <c r="AC30" s="21">
        <v>38047.689953703702</v>
      </c>
      <c r="AD30" s="21">
        <v>38047.689953703702</v>
      </c>
      <c r="AE30" s="13" t="s">
        <v>9629</v>
      </c>
      <c r="AF30" s="13" t="s">
        <v>9629</v>
      </c>
    </row>
    <row r="31" spans="1:32">
      <c r="A31" s="13" t="s">
        <v>9731</v>
      </c>
      <c r="B31" s="13" t="s">
        <v>1150</v>
      </c>
      <c r="C31" s="13" t="s">
        <v>1363</v>
      </c>
      <c r="D31" s="13" t="s">
        <v>1150</v>
      </c>
      <c r="E31" s="13" t="s">
        <v>1363</v>
      </c>
      <c r="F31" s="13" t="s">
        <v>447</v>
      </c>
      <c r="G31" s="13" t="s">
        <v>447</v>
      </c>
      <c r="H31" s="13" t="s">
        <v>1150</v>
      </c>
      <c r="I31" s="13" t="s">
        <v>9732</v>
      </c>
      <c r="J31" s="13" t="s">
        <v>447</v>
      </c>
      <c r="K31" s="13" t="s">
        <v>1363</v>
      </c>
      <c r="L31" s="13" t="s">
        <v>447</v>
      </c>
      <c r="M31" s="13" t="s">
        <v>1363</v>
      </c>
      <c r="N31" s="13" t="s">
        <v>9626</v>
      </c>
      <c r="O31" s="13" t="s">
        <v>9667</v>
      </c>
      <c r="P31" s="15">
        <v>367</v>
      </c>
      <c r="R31" s="13" t="s">
        <v>9732</v>
      </c>
      <c r="S31" s="13" t="s">
        <v>447</v>
      </c>
      <c r="T31" s="13" t="s">
        <v>9733</v>
      </c>
      <c r="U31" s="13" t="s">
        <v>9734</v>
      </c>
      <c r="V31" s="13" t="s">
        <v>9735</v>
      </c>
      <c r="W31" s="13" t="s">
        <v>9736</v>
      </c>
      <c r="X31" s="13" t="s">
        <v>9658</v>
      </c>
      <c r="Z31" s="13" t="s">
        <v>1363</v>
      </c>
      <c r="AA31" s="13" t="s">
        <v>9737</v>
      </c>
      <c r="AB31" s="13" t="s">
        <v>447</v>
      </c>
      <c r="AC31" s="21">
        <v>38979.370393518519</v>
      </c>
      <c r="AD31" s="21">
        <v>42550.736192129632</v>
      </c>
      <c r="AE31" s="13" t="s">
        <v>9629</v>
      </c>
      <c r="AF31" s="13" t="s">
        <v>9634</v>
      </c>
    </row>
    <row r="32" spans="1:32">
      <c r="A32" s="13" t="s">
        <v>9738</v>
      </c>
      <c r="B32" s="13" t="s">
        <v>1150</v>
      </c>
      <c r="C32" s="13" t="s">
        <v>1363</v>
      </c>
      <c r="D32" s="13" t="s">
        <v>1150</v>
      </c>
      <c r="E32" s="13" t="s">
        <v>1363</v>
      </c>
      <c r="F32" s="13" t="s">
        <v>447</v>
      </c>
      <c r="G32" s="13" t="s">
        <v>1363</v>
      </c>
      <c r="H32" s="13" t="s">
        <v>1381</v>
      </c>
      <c r="I32" s="13" t="s">
        <v>9739</v>
      </c>
      <c r="J32" s="13" t="s">
        <v>447</v>
      </c>
      <c r="K32" s="13" t="s">
        <v>1363</v>
      </c>
      <c r="L32" s="13" t="s">
        <v>447</v>
      </c>
      <c r="M32" s="13" t="s">
        <v>1363</v>
      </c>
      <c r="N32" s="13" t="s">
        <v>9626</v>
      </c>
      <c r="P32" s="15">
        <v>367</v>
      </c>
      <c r="Q32" s="15">
        <v>42550</v>
      </c>
      <c r="R32" s="13" t="s">
        <v>9740</v>
      </c>
      <c r="S32" s="13" t="s">
        <v>447</v>
      </c>
      <c r="T32" s="13" t="s">
        <v>9741</v>
      </c>
      <c r="U32" s="13" t="s">
        <v>9734</v>
      </c>
      <c r="V32" s="13" t="s">
        <v>9735</v>
      </c>
      <c r="W32" s="13" t="s">
        <v>9736</v>
      </c>
      <c r="X32" s="13" t="s">
        <v>9658</v>
      </c>
      <c r="Z32" s="13" t="s">
        <v>1363</v>
      </c>
      <c r="AA32" s="13" t="s">
        <v>9737</v>
      </c>
      <c r="AB32" s="13" t="s">
        <v>447</v>
      </c>
      <c r="AC32" s="21">
        <v>39379.369675925926</v>
      </c>
      <c r="AD32" s="21">
        <v>42550.736840277779</v>
      </c>
      <c r="AE32" s="13" t="s">
        <v>9629</v>
      </c>
      <c r="AF32" s="13" t="s">
        <v>9634</v>
      </c>
    </row>
    <row r="33" spans="1:32">
      <c r="A33" s="13" t="s">
        <v>9742</v>
      </c>
      <c r="B33" s="13" t="s">
        <v>1150</v>
      </c>
      <c r="C33" s="13" t="s">
        <v>1363</v>
      </c>
      <c r="D33" s="13" t="s">
        <v>1150</v>
      </c>
      <c r="E33" s="13" t="s">
        <v>1363</v>
      </c>
      <c r="F33" s="13" t="s">
        <v>447</v>
      </c>
      <c r="G33" s="13" t="s">
        <v>447</v>
      </c>
      <c r="H33" s="13" t="s">
        <v>1150</v>
      </c>
      <c r="I33" s="13" t="s">
        <v>9743</v>
      </c>
      <c r="J33" s="13" t="s">
        <v>447</v>
      </c>
      <c r="K33" s="13" t="s">
        <v>1363</v>
      </c>
      <c r="L33" s="13" t="s">
        <v>447</v>
      </c>
      <c r="M33" s="13" t="s">
        <v>1363</v>
      </c>
      <c r="N33" s="13" t="s">
        <v>9626</v>
      </c>
      <c r="O33" s="13" t="s">
        <v>9667</v>
      </c>
      <c r="P33" s="15">
        <v>367</v>
      </c>
      <c r="R33" s="13" t="s">
        <v>9743</v>
      </c>
      <c r="S33" s="13" t="s">
        <v>447</v>
      </c>
      <c r="T33" s="13" t="s">
        <v>9744</v>
      </c>
      <c r="U33" s="13" t="s">
        <v>9734</v>
      </c>
      <c r="V33" s="13" t="s">
        <v>9735</v>
      </c>
      <c r="W33" s="13" t="s">
        <v>9736</v>
      </c>
      <c r="X33" s="13" t="s">
        <v>9658</v>
      </c>
      <c r="Z33" s="13" t="s">
        <v>1363</v>
      </c>
      <c r="AA33" s="13" t="s">
        <v>9737</v>
      </c>
      <c r="AB33" s="13" t="s">
        <v>447</v>
      </c>
      <c r="AC33" s="21">
        <v>38979.360405092593</v>
      </c>
      <c r="AD33" s="21">
        <v>42550.736203703702</v>
      </c>
      <c r="AE33" s="13" t="s">
        <v>9629</v>
      </c>
      <c r="AF33" s="13" t="s">
        <v>9634</v>
      </c>
    </row>
    <row r="34" spans="1:32">
      <c r="A34" s="13" t="s">
        <v>9745</v>
      </c>
      <c r="B34" s="13" t="s">
        <v>1150</v>
      </c>
      <c r="C34" s="13" t="s">
        <v>1363</v>
      </c>
      <c r="D34" s="13" t="s">
        <v>1150</v>
      </c>
      <c r="E34" s="13" t="s">
        <v>1363</v>
      </c>
      <c r="F34" s="13" t="s">
        <v>447</v>
      </c>
      <c r="G34" s="13" t="s">
        <v>1363</v>
      </c>
      <c r="H34" s="13" t="s">
        <v>1381</v>
      </c>
      <c r="I34" s="13" t="s">
        <v>9746</v>
      </c>
      <c r="J34" s="13" t="s">
        <v>447</v>
      </c>
      <c r="K34" s="13" t="s">
        <v>1363</v>
      </c>
      <c r="L34" s="13" t="s">
        <v>447</v>
      </c>
      <c r="M34" s="13" t="s">
        <v>1363</v>
      </c>
      <c r="N34" s="13" t="s">
        <v>9626</v>
      </c>
      <c r="P34" s="15">
        <v>367</v>
      </c>
      <c r="Q34" s="15">
        <v>42550</v>
      </c>
      <c r="R34" s="13" t="s">
        <v>9740</v>
      </c>
      <c r="S34" s="13" t="s">
        <v>447</v>
      </c>
      <c r="T34" s="13" t="s">
        <v>9747</v>
      </c>
      <c r="U34" s="13" t="s">
        <v>9734</v>
      </c>
      <c r="V34" s="13" t="s">
        <v>9735</v>
      </c>
      <c r="W34" s="13" t="s">
        <v>9736</v>
      </c>
      <c r="X34" s="13" t="s">
        <v>9658</v>
      </c>
      <c r="Z34" s="13" t="s">
        <v>1363</v>
      </c>
      <c r="AA34" s="13" t="s">
        <v>9737</v>
      </c>
      <c r="AB34" s="13" t="s">
        <v>447</v>
      </c>
      <c r="AC34" s="21">
        <v>39379.369687500002</v>
      </c>
      <c r="AD34" s="21">
        <v>42550.736851851849</v>
      </c>
      <c r="AE34" s="13" t="s">
        <v>9629</v>
      </c>
      <c r="AF34" s="13" t="s">
        <v>9634</v>
      </c>
    </row>
    <row r="35" spans="1:32">
      <c r="A35" s="13" t="s">
        <v>9748</v>
      </c>
      <c r="B35" s="13" t="s">
        <v>1150</v>
      </c>
      <c r="C35" s="13" t="s">
        <v>1363</v>
      </c>
      <c r="D35" s="13" t="s">
        <v>1150</v>
      </c>
      <c r="E35" s="13" t="s">
        <v>1363</v>
      </c>
      <c r="F35" s="13" t="s">
        <v>447</v>
      </c>
      <c r="G35" s="13" t="s">
        <v>1363</v>
      </c>
      <c r="H35" s="13" t="s">
        <v>1381</v>
      </c>
      <c r="I35" s="13" t="s">
        <v>9749</v>
      </c>
      <c r="J35" s="13" t="s">
        <v>447</v>
      </c>
      <c r="K35" s="13" t="s">
        <v>1363</v>
      </c>
      <c r="L35" s="13" t="s">
        <v>447</v>
      </c>
      <c r="M35" s="13" t="s">
        <v>1363</v>
      </c>
      <c r="N35" s="13" t="s">
        <v>9626</v>
      </c>
      <c r="P35" s="15">
        <v>367</v>
      </c>
      <c r="Q35" s="15">
        <v>42550</v>
      </c>
      <c r="R35" s="13" t="s">
        <v>9740</v>
      </c>
      <c r="S35" s="13" t="s">
        <v>447</v>
      </c>
      <c r="T35" s="13" t="s">
        <v>9750</v>
      </c>
      <c r="U35" s="13" t="s">
        <v>9734</v>
      </c>
      <c r="V35" s="13" t="s">
        <v>9735</v>
      </c>
      <c r="W35" s="13" t="s">
        <v>9736</v>
      </c>
      <c r="X35" s="13" t="s">
        <v>9658</v>
      </c>
      <c r="Z35" s="13" t="s">
        <v>1363</v>
      </c>
      <c r="AA35" s="13" t="s">
        <v>9737</v>
      </c>
      <c r="AB35" s="13" t="s">
        <v>447</v>
      </c>
      <c r="AC35" s="21">
        <v>39379.369687500002</v>
      </c>
      <c r="AD35" s="21">
        <v>42550.736851851849</v>
      </c>
      <c r="AE35" s="13" t="s">
        <v>9629</v>
      </c>
      <c r="AF35" s="13" t="s">
        <v>9634</v>
      </c>
    </row>
    <row r="36" spans="1:32">
      <c r="A36" s="13" t="s">
        <v>9751</v>
      </c>
      <c r="B36" s="13" t="s">
        <v>1150</v>
      </c>
      <c r="C36" s="13" t="s">
        <v>1363</v>
      </c>
      <c r="D36" s="13" t="s">
        <v>1150</v>
      </c>
      <c r="E36" s="13" t="s">
        <v>1363</v>
      </c>
      <c r="F36" s="13" t="s">
        <v>447</v>
      </c>
      <c r="G36" s="13" t="s">
        <v>1363</v>
      </c>
      <c r="H36" s="13" t="s">
        <v>1381</v>
      </c>
      <c r="I36" s="13" t="s">
        <v>9752</v>
      </c>
      <c r="J36" s="13" t="s">
        <v>447</v>
      </c>
      <c r="K36" s="13" t="s">
        <v>1363</v>
      </c>
      <c r="L36" s="13" t="s">
        <v>447</v>
      </c>
      <c r="M36" s="13" t="s">
        <v>1363</v>
      </c>
      <c r="N36" s="13" t="s">
        <v>9626</v>
      </c>
      <c r="P36" s="15">
        <v>367</v>
      </c>
      <c r="Q36" s="15">
        <v>42550</v>
      </c>
      <c r="R36" s="13" t="s">
        <v>9740</v>
      </c>
      <c r="S36" s="13" t="s">
        <v>447</v>
      </c>
      <c r="T36" s="13" t="s">
        <v>9753</v>
      </c>
      <c r="U36" s="13" t="s">
        <v>9734</v>
      </c>
      <c r="V36" s="13" t="s">
        <v>9735</v>
      </c>
      <c r="W36" s="13" t="s">
        <v>9736</v>
      </c>
      <c r="X36" s="13" t="s">
        <v>9658</v>
      </c>
      <c r="Z36" s="13" t="s">
        <v>1363</v>
      </c>
      <c r="AA36" s="13" t="s">
        <v>9737</v>
      </c>
      <c r="AB36" s="13" t="s">
        <v>447</v>
      </c>
      <c r="AC36" s="21">
        <v>39379.369687500002</v>
      </c>
      <c r="AD36" s="21">
        <v>42550.736863425926</v>
      </c>
      <c r="AE36" s="13" t="s">
        <v>9629</v>
      </c>
      <c r="AF36" s="13" t="s">
        <v>9634</v>
      </c>
    </row>
    <row r="37" spans="1:32">
      <c r="A37" s="13" t="s">
        <v>9754</v>
      </c>
      <c r="B37" s="13" t="s">
        <v>1150</v>
      </c>
      <c r="C37" s="13" t="s">
        <v>1363</v>
      </c>
      <c r="D37" s="13" t="s">
        <v>1150</v>
      </c>
      <c r="E37" s="13" t="s">
        <v>1363</v>
      </c>
      <c r="F37" s="13" t="s">
        <v>447</v>
      </c>
      <c r="G37" s="13" t="s">
        <v>1363</v>
      </c>
      <c r="H37" s="13" t="s">
        <v>1381</v>
      </c>
      <c r="I37" s="13" t="s">
        <v>9755</v>
      </c>
      <c r="J37" s="13" t="s">
        <v>447</v>
      </c>
      <c r="K37" s="13" t="s">
        <v>1363</v>
      </c>
      <c r="L37" s="13" t="s">
        <v>447</v>
      </c>
      <c r="M37" s="13" t="s">
        <v>1363</v>
      </c>
      <c r="N37" s="13" t="s">
        <v>9626</v>
      </c>
      <c r="P37" s="15">
        <v>367</v>
      </c>
      <c r="Q37" s="15">
        <v>42550</v>
      </c>
      <c r="R37" s="13" t="s">
        <v>9740</v>
      </c>
      <c r="S37" s="13" t="s">
        <v>447</v>
      </c>
      <c r="T37" s="13" t="s">
        <v>9756</v>
      </c>
      <c r="U37" s="13" t="s">
        <v>9734</v>
      </c>
      <c r="V37" s="13" t="s">
        <v>9735</v>
      </c>
      <c r="W37" s="13" t="s">
        <v>9736</v>
      </c>
      <c r="X37" s="13" t="s">
        <v>9658</v>
      </c>
      <c r="Z37" s="13" t="s">
        <v>1363</v>
      </c>
      <c r="AA37" s="13" t="s">
        <v>9737</v>
      </c>
      <c r="AB37" s="13" t="s">
        <v>447</v>
      </c>
      <c r="AC37" s="21">
        <v>39379.369687500002</v>
      </c>
      <c r="AD37" s="21">
        <v>42550.736863425926</v>
      </c>
      <c r="AE37" s="13" t="s">
        <v>9629</v>
      </c>
      <c r="AF37" s="13" t="s">
        <v>9634</v>
      </c>
    </row>
    <row r="38" spans="1:32">
      <c r="A38" s="13" t="s">
        <v>9757</v>
      </c>
      <c r="B38" s="13" t="s">
        <v>1150</v>
      </c>
      <c r="C38" s="13" t="s">
        <v>1363</v>
      </c>
      <c r="D38" s="13" t="s">
        <v>1150</v>
      </c>
      <c r="E38" s="13" t="s">
        <v>1363</v>
      </c>
      <c r="F38" s="13" t="s">
        <v>447</v>
      </c>
      <c r="G38" s="13" t="s">
        <v>1363</v>
      </c>
      <c r="H38" s="13" t="s">
        <v>1381</v>
      </c>
      <c r="I38" s="13" t="s">
        <v>9758</v>
      </c>
      <c r="J38" s="13" t="s">
        <v>447</v>
      </c>
      <c r="K38" s="13" t="s">
        <v>1363</v>
      </c>
      <c r="L38" s="13" t="s">
        <v>447</v>
      </c>
      <c r="M38" s="13" t="s">
        <v>1363</v>
      </c>
      <c r="N38" s="13" t="s">
        <v>9626</v>
      </c>
      <c r="P38" s="15">
        <v>367</v>
      </c>
      <c r="Q38" s="15">
        <v>42550</v>
      </c>
      <c r="R38" s="13" t="s">
        <v>9740</v>
      </c>
      <c r="S38" s="13" t="s">
        <v>447</v>
      </c>
      <c r="T38" s="13" t="s">
        <v>9759</v>
      </c>
      <c r="U38" s="13" t="s">
        <v>9734</v>
      </c>
      <c r="V38" s="13" t="s">
        <v>9735</v>
      </c>
      <c r="W38" s="13" t="s">
        <v>9736</v>
      </c>
      <c r="X38" s="13" t="s">
        <v>9658</v>
      </c>
      <c r="Z38" s="13" t="s">
        <v>1363</v>
      </c>
      <c r="AA38" s="13" t="s">
        <v>9737</v>
      </c>
      <c r="AB38" s="13" t="s">
        <v>447</v>
      </c>
      <c r="AC38" s="21">
        <v>39379.369699074072</v>
      </c>
      <c r="AD38" s="21">
        <v>42550.736863425926</v>
      </c>
      <c r="AE38" s="13" t="s">
        <v>9629</v>
      </c>
      <c r="AF38" s="13" t="s">
        <v>9634</v>
      </c>
    </row>
    <row r="39" spans="1:32">
      <c r="A39" s="13" t="s">
        <v>9760</v>
      </c>
      <c r="B39" s="13" t="s">
        <v>1150</v>
      </c>
      <c r="C39" s="13" t="s">
        <v>1363</v>
      </c>
      <c r="D39" s="13" t="s">
        <v>1150</v>
      </c>
      <c r="E39" s="13" t="s">
        <v>1363</v>
      </c>
      <c r="F39" s="13" t="s">
        <v>447</v>
      </c>
      <c r="G39" s="13" t="s">
        <v>1363</v>
      </c>
      <c r="H39" s="13" t="s">
        <v>1381</v>
      </c>
      <c r="I39" s="13" t="s">
        <v>9761</v>
      </c>
      <c r="J39" s="13" t="s">
        <v>447</v>
      </c>
      <c r="K39" s="13" t="s">
        <v>1363</v>
      </c>
      <c r="L39" s="13" t="s">
        <v>447</v>
      </c>
      <c r="M39" s="13" t="s">
        <v>1363</v>
      </c>
      <c r="N39" s="13" t="s">
        <v>9626</v>
      </c>
      <c r="P39" s="15">
        <v>367</v>
      </c>
      <c r="Q39" s="15">
        <v>42550</v>
      </c>
      <c r="R39" s="13" t="s">
        <v>9740</v>
      </c>
      <c r="S39" s="13" t="s">
        <v>447</v>
      </c>
      <c r="T39" s="13" t="s">
        <v>9762</v>
      </c>
      <c r="U39" s="13" t="s">
        <v>9734</v>
      </c>
      <c r="V39" s="13" t="s">
        <v>9735</v>
      </c>
      <c r="W39" s="13" t="s">
        <v>9736</v>
      </c>
      <c r="X39" s="13" t="s">
        <v>9658</v>
      </c>
      <c r="Z39" s="13" t="s">
        <v>1363</v>
      </c>
      <c r="AA39" s="13" t="s">
        <v>9737</v>
      </c>
      <c r="AB39" s="13" t="s">
        <v>447</v>
      </c>
      <c r="AC39" s="21">
        <v>39379.369699074072</v>
      </c>
      <c r="AD39" s="21">
        <v>42550.736863425926</v>
      </c>
      <c r="AE39" s="13" t="s">
        <v>9629</v>
      </c>
      <c r="AF39" s="13" t="s">
        <v>9634</v>
      </c>
    </row>
    <row r="40" spans="1:32">
      <c r="A40" s="13" t="s">
        <v>9763</v>
      </c>
      <c r="B40" s="13" t="s">
        <v>1150</v>
      </c>
      <c r="C40" s="13" t="s">
        <v>1363</v>
      </c>
      <c r="D40" s="13" t="s">
        <v>1150</v>
      </c>
      <c r="E40" s="13" t="s">
        <v>1363</v>
      </c>
      <c r="F40" s="13" t="s">
        <v>447</v>
      </c>
      <c r="G40" s="13" t="s">
        <v>1363</v>
      </c>
      <c r="H40" s="13" t="s">
        <v>1381</v>
      </c>
      <c r="I40" s="13" t="s">
        <v>9764</v>
      </c>
      <c r="J40" s="13" t="s">
        <v>447</v>
      </c>
      <c r="K40" s="13" t="s">
        <v>1363</v>
      </c>
      <c r="L40" s="13" t="s">
        <v>447</v>
      </c>
      <c r="M40" s="13" t="s">
        <v>1363</v>
      </c>
      <c r="N40" s="13" t="s">
        <v>9626</v>
      </c>
      <c r="P40" s="15">
        <v>367</v>
      </c>
      <c r="Q40" s="15">
        <v>42550</v>
      </c>
      <c r="R40" s="13" t="s">
        <v>9740</v>
      </c>
      <c r="S40" s="13" t="s">
        <v>447</v>
      </c>
      <c r="T40" s="13" t="s">
        <v>9765</v>
      </c>
      <c r="U40" s="13" t="s">
        <v>9734</v>
      </c>
      <c r="V40" s="13" t="s">
        <v>9735</v>
      </c>
      <c r="W40" s="13" t="s">
        <v>9736</v>
      </c>
      <c r="X40" s="13" t="s">
        <v>9658</v>
      </c>
      <c r="Z40" s="13" t="s">
        <v>1363</v>
      </c>
      <c r="AA40" s="13" t="s">
        <v>9737</v>
      </c>
      <c r="AB40" s="13" t="s">
        <v>447</v>
      </c>
      <c r="AC40" s="21">
        <v>39379.369710648149</v>
      </c>
      <c r="AD40" s="21">
        <v>42550.736863425926</v>
      </c>
      <c r="AE40" s="13" t="s">
        <v>9629</v>
      </c>
      <c r="AF40" s="13" t="s">
        <v>9634</v>
      </c>
    </row>
    <row r="41" spans="1:32">
      <c r="A41" s="13" t="s">
        <v>9766</v>
      </c>
      <c r="B41" s="13" t="s">
        <v>1150</v>
      </c>
      <c r="C41" s="13" t="s">
        <v>1363</v>
      </c>
      <c r="D41" s="13" t="s">
        <v>1150</v>
      </c>
      <c r="E41" s="13" t="s">
        <v>1363</v>
      </c>
      <c r="F41" s="13" t="s">
        <v>447</v>
      </c>
      <c r="G41" s="13" t="s">
        <v>1363</v>
      </c>
      <c r="H41" s="13" t="s">
        <v>1381</v>
      </c>
      <c r="I41" s="13" t="s">
        <v>9767</v>
      </c>
      <c r="J41" s="13" t="s">
        <v>447</v>
      </c>
      <c r="K41" s="13" t="s">
        <v>1363</v>
      </c>
      <c r="L41" s="13" t="s">
        <v>447</v>
      </c>
      <c r="M41" s="13" t="s">
        <v>1363</v>
      </c>
      <c r="N41" s="13" t="s">
        <v>9626</v>
      </c>
      <c r="P41" s="15">
        <v>367</v>
      </c>
      <c r="Q41" s="15">
        <v>42550</v>
      </c>
      <c r="R41" s="13" t="s">
        <v>9740</v>
      </c>
      <c r="S41" s="13" t="s">
        <v>447</v>
      </c>
      <c r="T41" s="13" t="s">
        <v>9768</v>
      </c>
      <c r="U41" s="13" t="s">
        <v>9734</v>
      </c>
      <c r="V41" s="13" t="s">
        <v>9735</v>
      </c>
      <c r="W41" s="13" t="s">
        <v>9736</v>
      </c>
      <c r="X41" s="13" t="s">
        <v>9658</v>
      </c>
      <c r="Z41" s="13" t="s">
        <v>1363</v>
      </c>
      <c r="AA41" s="13" t="s">
        <v>9737</v>
      </c>
      <c r="AB41" s="13" t="s">
        <v>447</v>
      </c>
      <c r="AC41" s="21">
        <v>39379.369710648149</v>
      </c>
      <c r="AD41" s="21">
        <v>42550.736863425926</v>
      </c>
      <c r="AE41" s="13" t="s">
        <v>9629</v>
      </c>
      <c r="AF41" s="13" t="s">
        <v>9634</v>
      </c>
    </row>
    <row r="42" spans="1:32">
      <c r="A42" s="13" t="s">
        <v>9769</v>
      </c>
      <c r="B42" s="13" t="s">
        <v>1150</v>
      </c>
      <c r="C42" s="13" t="s">
        <v>1363</v>
      </c>
      <c r="D42" s="13" t="s">
        <v>1150</v>
      </c>
      <c r="E42" s="13" t="s">
        <v>1363</v>
      </c>
      <c r="F42" s="13" t="s">
        <v>447</v>
      </c>
      <c r="G42" s="13" t="s">
        <v>1363</v>
      </c>
      <c r="H42" s="13" t="s">
        <v>1381</v>
      </c>
      <c r="I42" s="13" t="s">
        <v>9770</v>
      </c>
      <c r="J42" s="13" t="s">
        <v>447</v>
      </c>
      <c r="K42" s="13" t="s">
        <v>1363</v>
      </c>
      <c r="L42" s="13" t="s">
        <v>447</v>
      </c>
      <c r="M42" s="13" t="s">
        <v>1363</v>
      </c>
      <c r="N42" s="13" t="s">
        <v>9626</v>
      </c>
      <c r="P42" s="15">
        <v>367</v>
      </c>
      <c r="Q42" s="15">
        <v>42550</v>
      </c>
      <c r="R42" s="13" t="s">
        <v>9771</v>
      </c>
      <c r="S42" s="13" t="s">
        <v>447</v>
      </c>
      <c r="T42" s="13" t="s">
        <v>9772</v>
      </c>
      <c r="U42" s="13" t="s">
        <v>9734</v>
      </c>
      <c r="V42" s="13" t="s">
        <v>9735</v>
      </c>
      <c r="W42" s="13" t="s">
        <v>9736</v>
      </c>
      <c r="X42" s="13" t="s">
        <v>9658</v>
      </c>
      <c r="Z42" s="13" t="s">
        <v>1363</v>
      </c>
      <c r="AA42" s="13" t="s">
        <v>9737</v>
      </c>
      <c r="AB42" s="13" t="s">
        <v>447</v>
      </c>
      <c r="AC42" s="21">
        <v>39379.373842592591</v>
      </c>
      <c r="AD42" s="21">
        <v>42550.736863425926</v>
      </c>
      <c r="AE42" s="13" t="s">
        <v>9629</v>
      </c>
      <c r="AF42" s="13" t="s">
        <v>9634</v>
      </c>
    </row>
    <row r="43" spans="1:32">
      <c r="A43" s="13" t="s">
        <v>9773</v>
      </c>
      <c r="B43" s="13" t="s">
        <v>1150</v>
      </c>
      <c r="C43" s="13" t="s">
        <v>1363</v>
      </c>
      <c r="D43" s="13" t="s">
        <v>1150</v>
      </c>
      <c r="E43" s="13" t="s">
        <v>1363</v>
      </c>
      <c r="F43" s="13" t="s">
        <v>447</v>
      </c>
      <c r="G43" s="13" t="s">
        <v>1363</v>
      </c>
      <c r="H43" s="13" t="s">
        <v>1381</v>
      </c>
      <c r="I43" s="13" t="s">
        <v>9774</v>
      </c>
      <c r="J43" s="13" t="s">
        <v>447</v>
      </c>
      <c r="K43" s="13" t="s">
        <v>1363</v>
      </c>
      <c r="L43" s="13" t="s">
        <v>447</v>
      </c>
      <c r="M43" s="13" t="s">
        <v>1363</v>
      </c>
      <c r="N43" s="13" t="s">
        <v>9626</v>
      </c>
      <c r="P43" s="15">
        <v>367</v>
      </c>
      <c r="Q43" s="15">
        <v>42550</v>
      </c>
      <c r="R43" s="13" t="s">
        <v>9771</v>
      </c>
      <c r="S43" s="13" t="s">
        <v>447</v>
      </c>
      <c r="T43" s="13" t="s">
        <v>9775</v>
      </c>
      <c r="U43" s="13" t="s">
        <v>9734</v>
      </c>
      <c r="V43" s="13" t="s">
        <v>9735</v>
      </c>
      <c r="W43" s="13" t="s">
        <v>9736</v>
      </c>
      <c r="X43" s="13" t="s">
        <v>9658</v>
      </c>
      <c r="Z43" s="13" t="s">
        <v>1363</v>
      </c>
      <c r="AA43" s="13" t="s">
        <v>9737</v>
      </c>
      <c r="AB43" s="13" t="s">
        <v>447</v>
      </c>
      <c r="AC43" s="21">
        <v>39379.373842592591</v>
      </c>
      <c r="AD43" s="21">
        <v>42550.736863425926</v>
      </c>
      <c r="AE43" s="13" t="s">
        <v>9629</v>
      </c>
      <c r="AF43" s="13" t="s">
        <v>9634</v>
      </c>
    </row>
    <row r="44" spans="1:32">
      <c r="A44" s="13" t="s">
        <v>9776</v>
      </c>
      <c r="B44" s="13" t="s">
        <v>1150</v>
      </c>
      <c r="C44" s="13" t="s">
        <v>1363</v>
      </c>
      <c r="D44" s="13" t="s">
        <v>1150</v>
      </c>
      <c r="E44" s="13" t="s">
        <v>1363</v>
      </c>
      <c r="F44" s="13" t="s">
        <v>447</v>
      </c>
      <c r="G44" s="13" t="s">
        <v>1363</v>
      </c>
      <c r="H44" s="13" t="s">
        <v>1381</v>
      </c>
      <c r="I44" s="13" t="s">
        <v>9777</v>
      </c>
      <c r="J44" s="13" t="s">
        <v>447</v>
      </c>
      <c r="K44" s="13" t="s">
        <v>1363</v>
      </c>
      <c r="L44" s="13" t="s">
        <v>447</v>
      </c>
      <c r="M44" s="13" t="s">
        <v>1363</v>
      </c>
      <c r="N44" s="13" t="s">
        <v>9626</v>
      </c>
      <c r="P44" s="15">
        <v>367</v>
      </c>
      <c r="Q44" s="15">
        <v>42550</v>
      </c>
      <c r="R44" s="13" t="s">
        <v>9771</v>
      </c>
      <c r="S44" s="13" t="s">
        <v>447</v>
      </c>
      <c r="T44" s="13" t="s">
        <v>9778</v>
      </c>
      <c r="U44" s="13" t="s">
        <v>9734</v>
      </c>
      <c r="V44" s="13" t="s">
        <v>9735</v>
      </c>
      <c r="W44" s="13" t="s">
        <v>9736</v>
      </c>
      <c r="X44" s="13" t="s">
        <v>9658</v>
      </c>
      <c r="Z44" s="13" t="s">
        <v>1363</v>
      </c>
      <c r="AA44" s="13" t="s">
        <v>9737</v>
      </c>
      <c r="AB44" s="13" t="s">
        <v>447</v>
      </c>
      <c r="AC44" s="21">
        <v>39379.373854166668</v>
      </c>
      <c r="AD44" s="21">
        <v>42550.736863425926</v>
      </c>
      <c r="AE44" s="13" t="s">
        <v>9629</v>
      </c>
      <c r="AF44" s="13" t="s">
        <v>9634</v>
      </c>
    </row>
    <row r="45" spans="1:32">
      <c r="A45" s="13" t="s">
        <v>9779</v>
      </c>
      <c r="B45" s="13" t="s">
        <v>1150</v>
      </c>
      <c r="C45" s="13" t="s">
        <v>1363</v>
      </c>
      <c r="D45" s="13" t="s">
        <v>1150</v>
      </c>
      <c r="E45" s="13" t="s">
        <v>1363</v>
      </c>
      <c r="F45" s="13" t="s">
        <v>447</v>
      </c>
      <c r="G45" s="13" t="s">
        <v>1363</v>
      </c>
      <c r="H45" s="13" t="s">
        <v>1381</v>
      </c>
      <c r="I45" s="13" t="s">
        <v>9780</v>
      </c>
      <c r="J45" s="13" t="s">
        <v>447</v>
      </c>
      <c r="K45" s="13" t="s">
        <v>1363</v>
      </c>
      <c r="L45" s="13" t="s">
        <v>447</v>
      </c>
      <c r="M45" s="13" t="s">
        <v>1363</v>
      </c>
      <c r="N45" s="13" t="s">
        <v>9626</v>
      </c>
      <c r="P45" s="15">
        <v>367</v>
      </c>
      <c r="Q45" s="15">
        <v>42550</v>
      </c>
      <c r="R45" s="13" t="s">
        <v>9771</v>
      </c>
      <c r="S45" s="13" t="s">
        <v>447</v>
      </c>
      <c r="T45" s="13" t="s">
        <v>9781</v>
      </c>
      <c r="U45" s="13" t="s">
        <v>9734</v>
      </c>
      <c r="V45" s="13" t="s">
        <v>9735</v>
      </c>
      <c r="W45" s="13" t="s">
        <v>9736</v>
      </c>
      <c r="X45" s="13" t="s">
        <v>9658</v>
      </c>
      <c r="Z45" s="13" t="s">
        <v>1363</v>
      </c>
      <c r="AA45" s="13" t="s">
        <v>9737</v>
      </c>
      <c r="AB45" s="13" t="s">
        <v>447</v>
      </c>
      <c r="AC45" s="21">
        <v>39379.373854166668</v>
      </c>
      <c r="AD45" s="21">
        <v>42550.736875000002</v>
      </c>
      <c r="AE45" s="13" t="s">
        <v>9629</v>
      </c>
      <c r="AF45" s="13" t="s">
        <v>9634</v>
      </c>
    </row>
    <row r="46" spans="1:32">
      <c r="A46" s="13" t="s">
        <v>9782</v>
      </c>
      <c r="B46" s="13" t="s">
        <v>1150</v>
      </c>
      <c r="C46" s="13" t="s">
        <v>1363</v>
      </c>
      <c r="D46" s="13" t="s">
        <v>1150</v>
      </c>
      <c r="E46" s="13" t="s">
        <v>1363</v>
      </c>
      <c r="F46" s="13" t="s">
        <v>447</v>
      </c>
      <c r="G46" s="13" t="s">
        <v>1363</v>
      </c>
      <c r="H46" s="13" t="s">
        <v>1381</v>
      </c>
      <c r="I46" s="13" t="s">
        <v>9783</v>
      </c>
      <c r="J46" s="13" t="s">
        <v>447</v>
      </c>
      <c r="K46" s="13" t="s">
        <v>1363</v>
      </c>
      <c r="L46" s="13" t="s">
        <v>447</v>
      </c>
      <c r="M46" s="13" t="s">
        <v>1363</v>
      </c>
      <c r="N46" s="13" t="s">
        <v>9626</v>
      </c>
      <c r="P46" s="15">
        <v>367</v>
      </c>
      <c r="Q46" s="15">
        <v>42550</v>
      </c>
      <c r="R46" s="13" t="s">
        <v>9771</v>
      </c>
      <c r="S46" s="13" t="s">
        <v>447</v>
      </c>
      <c r="T46" s="13" t="s">
        <v>9784</v>
      </c>
      <c r="U46" s="13" t="s">
        <v>9734</v>
      </c>
      <c r="V46" s="13" t="s">
        <v>9735</v>
      </c>
      <c r="W46" s="13" t="s">
        <v>9736</v>
      </c>
      <c r="X46" s="13" t="s">
        <v>9658</v>
      </c>
      <c r="Z46" s="13" t="s">
        <v>1363</v>
      </c>
      <c r="AA46" s="13" t="s">
        <v>9737</v>
      </c>
      <c r="AB46" s="13" t="s">
        <v>447</v>
      </c>
      <c r="AC46" s="21">
        <v>39379.373854166668</v>
      </c>
      <c r="AD46" s="21">
        <v>42550.736875000002</v>
      </c>
      <c r="AE46" s="13" t="s">
        <v>9629</v>
      </c>
      <c r="AF46" s="13" t="s">
        <v>9634</v>
      </c>
    </row>
    <row r="47" spans="1:32">
      <c r="A47" s="13" t="s">
        <v>9785</v>
      </c>
      <c r="B47" s="13" t="s">
        <v>1150</v>
      </c>
      <c r="C47" s="13" t="s">
        <v>1363</v>
      </c>
      <c r="D47" s="13" t="s">
        <v>1150</v>
      </c>
      <c r="E47" s="13" t="s">
        <v>1363</v>
      </c>
      <c r="F47" s="13" t="s">
        <v>447</v>
      </c>
      <c r="G47" s="13" t="s">
        <v>1363</v>
      </c>
      <c r="H47" s="13" t="s">
        <v>1381</v>
      </c>
      <c r="I47" s="13" t="s">
        <v>9786</v>
      </c>
      <c r="J47" s="13" t="s">
        <v>447</v>
      </c>
      <c r="K47" s="13" t="s">
        <v>1363</v>
      </c>
      <c r="L47" s="13" t="s">
        <v>447</v>
      </c>
      <c r="M47" s="13" t="s">
        <v>1363</v>
      </c>
      <c r="N47" s="13" t="s">
        <v>9626</v>
      </c>
      <c r="P47" s="15">
        <v>367</v>
      </c>
      <c r="Q47" s="15">
        <v>42550</v>
      </c>
      <c r="R47" s="13" t="s">
        <v>9771</v>
      </c>
      <c r="S47" s="13" t="s">
        <v>447</v>
      </c>
      <c r="T47" s="13" t="s">
        <v>9787</v>
      </c>
      <c r="U47" s="13" t="s">
        <v>9734</v>
      </c>
      <c r="V47" s="13" t="s">
        <v>9735</v>
      </c>
      <c r="W47" s="13" t="s">
        <v>9736</v>
      </c>
      <c r="X47" s="13" t="s">
        <v>9658</v>
      </c>
      <c r="Z47" s="13" t="s">
        <v>1363</v>
      </c>
      <c r="AA47" s="13" t="s">
        <v>9737</v>
      </c>
      <c r="AB47" s="13" t="s">
        <v>447</v>
      </c>
      <c r="AC47" s="21">
        <v>39379.373854166668</v>
      </c>
      <c r="AD47" s="21">
        <v>42550.736875000002</v>
      </c>
      <c r="AE47" s="13" t="s">
        <v>9629</v>
      </c>
      <c r="AF47" s="13" t="s">
        <v>9634</v>
      </c>
    </row>
    <row r="48" spans="1:32">
      <c r="A48" s="13" t="s">
        <v>9788</v>
      </c>
      <c r="B48" s="13" t="s">
        <v>1150</v>
      </c>
      <c r="C48" s="13" t="s">
        <v>1363</v>
      </c>
      <c r="D48" s="13" t="s">
        <v>1150</v>
      </c>
      <c r="E48" s="13" t="s">
        <v>447</v>
      </c>
      <c r="F48" s="13" t="s">
        <v>447</v>
      </c>
      <c r="G48" s="13" t="s">
        <v>447</v>
      </c>
      <c r="H48" s="13" t="s">
        <v>1415</v>
      </c>
      <c r="I48" s="13" t="s">
        <v>9789</v>
      </c>
      <c r="J48" s="13" t="s">
        <v>447</v>
      </c>
      <c r="K48" s="13" t="s">
        <v>1363</v>
      </c>
      <c r="L48" s="13" t="s">
        <v>447</v>
      </c>
      <c r="M48" s="13" t="s">
        <v>1363</v>
      </c>
      <c r="N48" s="13" t="s">
        <v>9626</v>
      </c>
      <c r="O48" s="13" t="s">
        <v>9790</v>
      </c>
      <c r="P48" s="15">
        <v>38483</v>
      </c>
      <c r="R48" s="13" t="s">
        <v>9789</v>
      </c>
      <c r="S48" s="13" t="s">
        <v>1363</v>
      </c>
      <c r="X48" s="13" t="s">
        <v>9675</v>
      </c>
      <c r="Z48" s="13" t="s">
        <v>1363</v>
      </c>
      <c r="AB48" s="13" t="s">
        <v>447</v>
      </c>
      <c r="AC48" s="21">
        <v>38502.5940625</v>
      </c>
      <c r="AD48" s="21">
        <v>38502.5940625</v>
      </c>
      <c r="AE48" s="13" t="s">
        <v>9634</v>
      </c>
      <c r="AF48" s="13" t="s">
        <v>9634</v>
      </c>
    </row>
    <row r="49" spans="1:32">
      <c r="A49" s="13" t="s">
        <v>9791</v>
      </c>
      <c r="B49" s="13" t="s">
        <v>1150</v>
      </c>
      <c r="C49" s="13" t="s">
        <v>1363</v>
      </c>
      <c r="D49" s="13" t="s">
        <v>1150</v>
      </c>
      <c r="E49" s="13" t="s">
        <v>1363</v>
      </c>
      <c r="F49" s="13" t="s">
        <v>447</v>
      </c>
      <c r="G49" s="13" t="s">
        <v>1363</v>
      </c>
      <c r="H49" s="13" t="s">
        <v>1415</v>
      </c>
      <c r="I49" s="13" t="s">
        <v>9792</v>
      </c>
      <c r="J49" s="13" t="s">
        <v>1363</v>
      </c>
      <c r="K49" s="13" t="s">
        <v>1363</v>
      </c>
      <c r="L49" s="13" t="s">
        <v>447</v>
      </c>
      <c r="M49" s="13" t="s">
        <v>1363</v>
      </c>
      <c r="N49" s="13" t="s">
        <v>9626</v>
      </c>
      <c r="O49" s="13" t="s">
        <v>9793</v>
      </c>
      <c r="P49" s="15">
        <v>38169</v>
      </c>
      <c r="R49" s="13" t="s">
        <v>9794</v>
      </c>
      <c r="S49" s="13" t="s">
        <v>1363</v>
      </c>
      <c r="X49" s="13" t="s">
        <v>9628</v>
      </c>
      <c r="Z49" s="13" t="s">
        <v>1363</v>
      </c>
      <c r="AB49" s="13" t="s">
        <v>447</v>
      </c>
      <c r="AC49" s="21">
        <v>38539.548703703702</v>
      </c>
      <c r="AD49" s="21">
        <v>38539.548703703702</v>
      </c>
      <c r="AE49" s="13" t="s">
        <v>9795</v>
      </c>
      <c r="AF49" s="13" t="s">
        <v>9795</v>
      </c>
    </row>
    <row r="50" spans="1:32">
      <c r="A50" s="13" t="s">
        <v>9796</v>
      </c>
      <c r="B50" s="13" t="s">
        <v>1150</v>
      </c>
      <c r="C50" s="13" t="s">
        <v>1363</v>
      </c>
      <c r="D50" s="13" t="s">
        <v>1150</v>
      </c>
      <c r="E50" s="13" t="s">
        <v>1363</v>
      </c>
      <c r="F50" s="13" t="s">
        <v>447</v>
      </c>
      <c r="G50" s="13" t="s">
        <v>447</v>
      </c>
      <c r="H50" s="13" t="s">
        <v>1415</v>
      </c>
      <c r="I50" s="13" t="s">
        <v>9797</v>
      </c>
      <c r="J50" s="13" t="s">
        <v>447</v>
      </c>
      <c r="K50" s="13" t="s">
        <v>1363</v>
      </c>
      <c r="L50" s="13" t="s">
        <v>447</v>
      </c>
      <c r="M50" s="13" t="s">
        <v>1363</v>
      </c>
      <c r="N50" s="13" t="s">
        <v>9626</v>
      </c>
      <c r="O50" s="13" t="s">
        <v>9798</v>
      </c>
      <c r="P50" s="15">
        <v>38566</v>
      </c>
      <c r="R50" s="13" t="s">
        <v>9796</v>
      </c>
      <c r="S50" s="13" t="s">
        <v>1363</v>
      </c>
      <c r="X50" s="13" t="s">
        <v>9628</v>
      </c>
      <c r="Z50" s="13" t="s">
        <v>1363</v>
      </c>
      <c r="AB50" s="13" t="s">
        <v>447</v>
      </c>
      <c r="AC50" s="21">
        <v>38566.582997685182</v>
      </c>
      <c r="AD50" s="21">
        <v>38566.582997685182</v>
      </c>
      <c r="AE50" s="13" t="s">
        <v>9634</v>
      </c>
      <c r="AF50" s="13" t="s">
        <v>9634</v>
      </c>
    </row>
    <row r="51" spans="1:32">
      <c r="A51" s="13" t="s">
        <v>9799</v>
      </c>
      <c r="B51" s="13" t="s">
        <v>1438</v>
      </c>
      <c r="C51" s="13" t="s">
        <v>1363</v>
      </c>
      <c r="D51" s="13" t="s">
        <v>1150</v>
      </c>
      <c r="E51" s="13" t="s">
        <v>1363</v>
      </c>
      <c r="F51" s="13" t="s">
        <v>447</v>
      </c>
      <c r="G51" s="13" t="s">
        <v>1363</v>
      </c>
      <c r="H51" s="13" t="s">
        <v>1415</v>
      </c>
      <c r="I51" s="13" t="s">
        <v>9800</v>
      </c>
      <c r="J51" s="13" t="s">
        <v>447</v>
      </c>
      <c r="K51" s="13" t="s">
        <v>1363</v>
      </c>
      <c r="L51" s="13" t="s">
        <v>447</v>
      </c>
      <c r="M51" s="13" t="s">
        <v>447</v>
      </c>
      <c r="N51" s="13" t="s">
        <v>9626</v>
      </c>
      <c r="O51" s="13" t="s">
        <v>9801</v>
      </c>
      <c r="P51" s="15">
        <v>367</v>
      </c>
      <c r="R51" s="13" t="s">
        <v>9800</v>
      </c>
      <c r="S51" s="13" t="s">
        <v>1363</v>
      </c>
      <c r="X51" s="13" t="s">
        <v>9628</v>
      </c>
      <c r="Z51" s="13" t="s">
        <v>447</v>
      </c>
      <c r="AB51" s="13" t="s">
        <v>447</v>
      </c>
      <c r="AC51" s="21">
        <v>38047.689953703702</v>
      </c>
      <c r="AD51" s="21">
        <v>43570.760995370372</v>
      </c>
      <c r="AE51" s="13" t="s">
        <v>9795</v>
      </c>
      <c r="AF51" s="13" t="s">
        <v>9629</v>
      </c>
    </row>
    <row r="52" spans="1:32">
      <c r="A52" s="13" t="s">
        <v>9802</v>
      </c>
      <c r="B52" s="13" t="s">
        <v>1150</v>
      </c>
      <c r="C52" s="13" t="s">
        <v>1363</v>
      </c>
      <c r="D52" s="13" t="s">
        <v>1150</v>
      </c>
      <c r="E52" s="13" t="s">
        <v>447</v>
      </c>
      <c r="F52" s="13" t="s">
        <v>447</v>
      </c>
      <c r="G52" s="13" t="s">
        <v>447</v>
      </c>
      <c r="H52" s="13" t="s">
        <v>1415</v>
      </c>
      <c r="I52" s="13" t="s">
        <v>9803</v>
      </c>
      <c r="J52" s="13" t="s">
        <v>447</v>
      </c>
      <c r="K52" s="13" t="s">
        <v>1363</v>
      </c>
      <c r="L52" s="13" t="s">
        <v>447</v>
      </c>
      <c r="M52" s="13" t="s">
        <v>447</v>
      </c>
      <c r="N52" s="13" t="s">
        <v>9626</v>
      </c>
      <c r="O52" s="13" t="s">
        <v>9804</v>
      </c>
      <c r="P52" s="15">
        <v>38565</v>
      </c>
      <c r="R52" s="13" t="s">
        <v>9803</v>
      </c>
      <c r="S52" s="13" t="s">
        <v>1363</v>
      </c>
      <c r="X52" s="13" t="s">
        <v>9628</v>
      </c>
      <c r="Z52" s="13" t="s">
        <v>1363</v>
      </c>
      <c r="AB52" s="13" t="s">
        <v>447</v>
      </c>
      <c r="AC52" s="21">
        <v>38567.607881944445</v>
      </c>
      <c r="AD52" s="21">
        <v>44634.583252314813</v>
      </c>
      <c r="AE52" s="13" t="s">
        <v>9795</v>
      </c>
      <c r="AF52" s="13" t="s">
        <v>9634</v>
      </c>
    </row>
    <row r="53" spans="1:32">
      <c r="A53" s="13" t="s">
        <v>1231</v>
      </c>
      <c r="B53" s="13" t="s">
        <v>1438</v>
      </c>
      <c r="C53" s="13" t="s">
        <v>1363</v>
      </c>
      <c r="D53" s="13" t="s">
        <v>1150</v>
      </c>
      <c r="E53" s="13" t="s">
        <v>1363</v>
      </c>
      <c r="F53" s="13" t="s">
        <v>447</v>
      </c>
      <c r="G53" s="13" t="s">
        <v>447</v>
      </c>
      <c r="H53" s="13" t="s">
        <v>1415</v>
      </c>
      <c r="I53" s="13" t="s">
        <v>9805</v>
      </c>
      <c r="J53" s="13" t="s">
        <v>1363</v>
      </c>
      <c r="K53" s="13" t="s">
        <v>1363</v>
      </c>
      <c r="L53" s="13" t="s">
        <v>447</v>
      </c>
      <c r="M53" s="13" t="s">
        <v>1363</v>
      </c>
      <c r="N53" s="13" t="s">
        <v>9626</v>
      </c>
      <c r="O53" s="13" t="s">
        <v>9806</v>
      </c>
      <c r="P53" s="15">
        <v>368</v>
      </c>
      <c r="R53" s="13" t="s">
        <v>9807</v>
      </c>
      <c r="S53" s="13" t="s">
        <v>1363</v>
      </c>
      <c r="X53" s="13" t="s">
        <v>9628</v>
      </c>
      <c r="Z53" s="13" t="s">
        <v>1363</v>
      </c>
      <c r="AB53" s="13" t="s">
        <v>447</v>
      </c>
      <c r="AC53" s="21">
        <v>38776.67796296296</v>
      </c>
      <c r="AD53" s="21">
        <v>38791.521226851852</v>
      </c>
      <c r="AE53" s="13" t="s">
        <v>9634</v>
      </c>
      <c r="AF53" s="13" t="s">
        <v>9634</v>
      </c>
    </row>
    <row r="54" spans="1:32">
      <c r="A54" s="13" t="s">
        <v>25</v>
      </c>
      <c r="B54" s="13" t="s">
        <v>1150</v>
      </c>
      <c r="C54" s="13" t="s">
        <v>1363</v>
      </c>
      <c r="D54" s="13" t="s">
        <v>1150</v>
      </c>
      <c r="E54" s="13" t="s">
        <v>1363</v>
      </c>
      <c r="F54" s="13" t="s">
        <v>447</v>
      </c>
      <c r="G54" s="13" t="s">
        <v>447</v>
      </c>
      <c r="H54" s="13" t="s">
        <v>1415</v>
      </c>
      <c r="I54" s="13" t="s">
        <v>9808</v>
      </c>
      <c r="J54" s="13" t="s">
        <v>1363</v>
      </c>
      <c r="K54" s="13" t="s">
        <v>1363</v>
      </c>
      <c r="L54" s="13" t="s">
        <v>1363</v>
      </c>
      <c r="M54" s="13" t="s">
        <v>447</v>
      </c>
      <c r="N54" s="13" t="s">
        <v>9626</v>
      </c>
      <c r="O54" s="13" t="s">
        <v>9809</v>
      </c>
      <c r="P54" s="15">
        <v>367</v>
      </c>
      <c r="R54" s="13" t="s">
        <v>25</v>
      </c>
      <c r="S54" s="13" t="s">
        <v>1363</v>
      </c>
      <c r="X54" s="13" t="s">
        <v>9810</v>
      </c>
      <c r="Z54" s="13" t="s">
        <v>447</v>
      </c>
      <c r="AB54" s="13" t="s">
        <v>447</v>
      </c>
      <c r="AC54" s="21">
        <v>38799.523842592593</v>
      </c>
      <c r="AD54" s="21">
        <v>39401.661458333336</v>
      </c>
      <c r="AE54" s="13" t="s">
        <v>9634</v>
      </c>
      <c r="AF54" s="13" t="s">
        <v>9634</v>
      </c>
    </row>
    <row r="55" spans="1:32">
      <c r="A55" s="13" t="s">
        <v>9811</v>
      </c>
      <c r="B55" s="13" t="s">
        <v>1150</v>
      </c>
      <c r="C55" s="13" t="s">
        <v>1363</v>
      </c>
      <c r="D55" s="13" t="s">
        <v>1150</v>
      </c>
      <c r="E55" s="13" t="s">
        <v>1363</v>
      </c>
      <c r="F55" s="13" t="s">
        <v>447</v>
      </c>
      <c r="G55" s="13" t="s">
        <v>1363</v>
      </c>
      <c r="H55" s="13" t="s">
        <v>1415</v>
      </c>
      <c r="I55" s="13" t="s">
        <v>9812</v>
      </c>
      <c r="J55" s="13" t="s">
        <v>1363</v>
      </c>
      <c r="K55" s="13" t="s">
        <v>1363</v>
      </c>
      <c r="L55" s="13" t="s">
        <v>1363</v>
      </c>
      <c r="M55" s="13" t="s">
        <v>447</v>
      </c>
      <c r="N55" s="13" t="s">
        <v>9626</v>
      </c>
      <c r="O55" s="13" t="s">
        <v>9813</v>
      </c>
      <c r="P55" s="15">
        <v>367</v>
      </c>
      <c r="R55" s="13" t="s">
        <v>9812</v>
      </c>
      <c r="S55" s="13" t="s">
        <v>1363</v>
      </c>
      <c r="X55" s="13" t="s">
        <v>9810</v>
      </c>
      <c r="Z55" s="13" t="s">
        <v>1363</v>
      </c>
      <c r="AB55" s="13" t="s">
        <v>447</v>
      </c>
      <c r="AC55" s="21">
        <v>38799.572766203702</v>
      </c>
      <c r="AD55" s="21">
        <v>39405.667534722219</v>
      </c>
      <c r="AE55" s="13" t="s">
        <v>9814</v>
      </c>
      <c r="AF55" s="13" t="s">
        <v>9634</v>
      </c>
    </row>
    <row r="56" spans="1:32">
      <c r="A56" s="13" t="s">
        <v>9815</v>
      </c>
      <c r="B56" s="13" t="s">
        <v>1150</v>
      </c>
      <c r="C56" s="13" t="s">
        <v>1363</v>
      </c>
      <c r="D56" s="13" t="s">
        <v>1150</v>
      </c>
      <c r="E56" s="13" t="s">
        <v>1363</v>
      </c>
      <c r="F56" s="13" t="s">
        <v>447</v>
      </c>
      <c r="G56" s="13" t="s">
        <v>1363</v>
      </c>
      <c r="H56" s="13" t="s">
        <v>1381</v>
      </c>
      <c r="I56" s="13" t="s">
        <v>9816</v>
      </c>
      <c r="J56" s="13" t="s">
        <v>447</v>
      </c>
      <c r="K56" s="13" t="s">
        <v>1363</v>
      </c>
      <c r="L56" s="13" t="s">
        <v>447</v>
      </c>
      <c r="M56" s="13" t="s">
        <v>1363</v>
      </c>
      <c r="N56" s="13" t="s">
        <v>9626</v>
      </c>
      <c r="P56" s="15">
        <v>367</v>
      </c>
      <c r="Q56" s="15">
        <v>42550</v>
      </c>
      <c r="R56" s="13" t="s">
        <v>9771</v>
      </c>
      <c r="S56" s="13" t="s">
        <v>447</v>
      </c>
      <c r="T56" s="13" t="s">
        <v>9817</v>
      </c>
      <c r="U56" s="13" t="s">
        <v>9734</v>
      </c>
      <c r="V56" s="13" t="s">
        <v>9735</v>
      </c>
      <c r="W56" s="13" t="s">
        <v>9736</v>
      </c>
      <c r="X56" s="13" t="s">
        <v>9658</v>
      </c>
      <c r="Z56" s="13" t="s">
        <v>1363</v>
      </c>
      <c r="AA56" s="13" t="s">
        <v>9737</v>
      </c>
      <c r="AB56" s="13" t="s">
        <v>447</v>
      </c>
      <c r="AC56" s="21">
        <v>39379.373865740738</v>
      </c>
      <c r="AD56" s="21">
        <v>42550.736875000002</v>
      </c>
      <c r="AE56" s="13" t="s">
        <v>9629</v>
      </c>
      <c r="AF56" s="13" t="s">
        <v>9634</v>
      </c>
    </row>
    <row r="57" spans="1:32">
      <c r="A57" s="13" t="s">
        <v>9818</v>
      </c>
      <c r="B57" s="13" t="s">
        <v>1150</v>
      </c>
      <c r="C57" s="13" t="s">
        <v>1363</v>
      </c>
      <c r="D57" s="13" t="s">
        <v>1150</v>
      </c>
      <c r="E57" s="13" t="s">
        <v>1363</v>
      </c>
      <c r="F57" s="13" t="s">
        <v>447</v>
      </c>
      <c r="G57" s="13" t="s">
        <v>1363</v>
      </c>
      <c r="H57" s="13" t="s">
        <v>1381</v>
      </c>
      <c r="I57" s="13" t="s">
        <v>9819</v>
      </c>
      <c r="J57" s="13" t="s">
        <v>447</v>
      </c>
      <c r="K57" s="13" t="s">
        <v>1363</v>
      </c>
      <c r="L57" s="13" t="s">
        <v>447</v>
      </c>
      <c r="M57" s="13" t="s">
        <v>1363</v>
      </c>
      <c r="N57" s="13" t="s">
        <v>9626</v>
      </c>
      <c r="P57" s="15">
        <v>367</v>
      </c>
      <c r="Q57" s="15">
        <v>42550</v>
      </c>
      <c r="R57" s="13" t="s">
        <v>9771</v>
      </c>
      <c r="S57" s="13" t="s">
        <v>447</v>
      </c>
      <c r="T57" s="13" t="s">
        <v>9820</v>
      </c>
      <c r="U57" s="13" t="s">
        <v>9734</v>
      </c>
      <c r="V57" s="13" t="s">
        <v>9735</v>
      </c>
      <c r="W57" s="13" t="s">
        <v>9736</v>
      </c>
      <c r="X57" s="13" t="s">
        <v>9658</v>
      </c>
      <c r="Z57" s="13" t="s">
        <v>1363</v>
      </c>
      <c r="AA57" s="13" t="s">
        <v>9737</v>
      </c>
      <c r="AB57" s="13" t="s">
        <v>447</v>
      </c>
      <c r="AC57" s="21">
        <v>39379.373865740738</v>
      </c>
      <c r="AD57" s="21">
        <v>42550.736875000002</v>
      </c>
      <c r="AE57" s="13" t="s">
        <v>9629</v>
      </c>
      <c r="AF57" s="13" t="s">
        <v>9634</v>
      </c>
    </row>
    <row r="58" spans="1:32">
      <c r="A58" s="13" t="s">
        <v>9821</v>
      </c>
      <c r="B58" s="13" t="s">
        <v>1150</v>
      </c>
      <c r="C58" s="13" t="s">
        <v>1363</v>
      </c>
      <c r="D58" s="13" t="s">
        <v>1150</v>
      </c>
      <c r="E58" s="13" t="s">
        <v>1363</v>
      </c>
      <c r="F58" s="13" t="s">
        <v>447</v>
      </c>
      <c r="G58" s="13" t="s">
        <v>1363</v>
      </c>
      <c r="H58" s="13" t="s">
        <v>1381</v>
      </c>
      <c r="I58" s="13" t="s">
        <v>9822</v>
      </c>
      <c r="J58" s="13" t="s">
        <v>447</v>
      </c>
      <c r="K58" s="13" t="s">
        <v>1363</v>
      </c>
      <c r="L58" s="13" t="s">
        <v>447</v>
      </c>
      <c r="M58" s="13" t="s">
        <v>1363</v>
      </c>
      <c r="N58" s="13" t="s">
        <v>9626</v>
      </c>
      <c r="P58" s="15">
        <v>367</v>
      </c>
      <c r="Q58" s="15">
        <v>42550</v>
      </c>
      <c r="R58" s="13" t="s">
        <v>9771</v>
      </c>
      <c r="S58" s="13" t="s">
        <v>447</v>
      </c>
      <c r="T58" s="13" t="s">
        <v>9823</v>
      </c>
      <c r="U58" s="13" t="s">
        <v>9734</v>
      </c>
      <c r="V58" s="13" t="s">
        <v>9735</v>
      </c>
      <c r="W58" s="13" t="s">
        <v>9736</v>
      </c>
      <c r="X58" s="13" t="s">
        <v>9658</v>
      </c>
      <c r="Z58" s="13" t="s">
        <v>1363</v>
      </c>
      <c r="AA58" s="13" t="s">
        <v>9737</v>
      </c>
      <c r="AB58" s="13" t="s">
        <v>447</v>
      </c>
      <c r="AC58" s="21">
        <v>39379.373865740738</v>
      </c>
      <c r="AD58" s="21">
        <v>42550.736875000002</v>
      </c>
      <c r="AE58" s="13" t="s">
        <v>9629</v>
      </c>
      <c r="AF58" s="13" t="s">
        <v>9634</v>
      </c>
    </row>
    <row r="59" spans="1:32">
      <c r="A59" s="13" t="s">
        <v>9824</v>
      </c>
      <c r="B59" s="13" t="s">
        <v>1150</v>
      </c>
      <c r="C59" s="13" t="s">
        <v>1363</v>
      </c>
      <c r="D59" s="13" t="s">
        <v>1150</v>
      </c>
      <c r="E59" s="13" t="s">
        <v>1363</v>
      </c>
      <c r="F59" s="13" t="s">
        <v>447</v>
      </c>
      <c r="G59" s="13" t="s">
        <v>1363</v>
      </c>
      <c r="H59" s="13" t="s">
        <v>1381</v>
      </c>
      <c r="I59" s="13" t="s">
        <v>9825</v>
      </c>
      <c r="J59" s="13" t="s">
        <v>447</v>
      </c>
      <c r="K59" s="13" t="s">
        <v>1363</v>
      </c>
      <c r="L59" s="13" t="s">
        <v>447</v>
      </c>
      <c r="M59" s="13" t="s">
        <v>1363</v>
      </c>
      <c r="N59" s="13" t="s">
        <v>9626</v>
      </c>
      <c r="P59" s="15">
        <v>367</v>
      </c>
      <c r="Q59" s="15">
        <v>42550</v>
      </c>
      <c r="R59" s="13" t="s">
        <v>9771</v>
      </c>
      <c r="S59" s="13" t="s">
        <v>447</v>
      </c>
      <c r="T59" s="13" t="s">
        <v>9826</v>
      </c>
      <c r="U59" s="13" t="s">
        <v>9734</v>
      </c>
      <c r="V59" s="13" t="s">
        <v>9735</v>
      </c>
      <c r="W59" s="13" t="s">
        <v>9736</v>
      </c>
      <c r="X59" s="13" t="s">
        <v>9658</v>
      </c>
      <c r="Z59" s="13" t="s">
        <v>1363</v>
      </c>
      <c r="AA59" s="13" t="s">
        <v>9737</v>
      </c>
      <c r="AB59" s="13" t="s">
        <v>447</v>
      </c>
      <c r="AC59" s="21">
        <v>39379.373865740738</v>
      </c>
      <c r="AD59" s="21">
        <v>42550.736875000002</v>
      </c>
      <c r="AE59" s="13" t="s">
        <v>9629</v>
      </c>
      <c r="AF59" s="13" t="s">
        <v>9634</v>
      </c>
    </row>
    <row r="60" spans="1:32">
      <c r="A60" s="13" t="s">
        <v>9827</v>
      </c>
      <c r="B60" s="13" t="s">
        <v>1150</v>
      </c>
      <c r="C60" s="13" t="s">
        <v>1363</v>
      </c>
      <c r="D60" s="13" t="s">
        <v>1150</v>
      </c>
      <c r="E60" s="13" t="s">
        <v>1363</v>
      </c>
      <c r="F60" s="13" t="s">
        <v>447</v>
      </c>
      <c r="G60" s="13" t="s">
        <v>1363</v>
      </c>
      <c r="H60" s="13" t="s">
        <v>1381</v>
      </c>
      <c r="I60" s="13" t="s">
        <v>9828</v>
      </c>
      <c r="J60" s="13" t="s">
        <v>447</v>
      </c>
      <c r="K60" s="13" t="s">
        <v>1363</v>
      </c>
      <c r="L60" s="13" t="s">
        <v>447</v>
      </c>
      <c r="M60" s="13" t="s">
        <v>1363</v>
      </c>
      <c r="N60" s="13" t="s">
        <v>9626</v>
      </c>
      <c r="P60" s="15">
        <v>367</v>
      </c>
      <c r="Q60" s="15">
        <v>42550</v>
      </c>
      <c r="R60" s="13" t="s">
        <v>9771</v>
      </c>
      <c r="S60" s="13" t="s">
        <v>447</v>
      </c>
      <c r="T60" s="13" t="s">
        <v>9829</v>
      </c>
      <c r="U60" s="13" t="s">
        <v>9734</v>
      </c>
      <c r="V60" s="13" t="s">
        <v>9735</v>
      </c>
      <c r="W60" s="13" t="s">
        <v>9736</v>
      </c>
      <c r="X60" s="13" t="s">
        <v>9658</v>
      </c>
      <c r="Z60" s="13" t="s">
        <v>1363</v>
      </c>
      <c r="AA60" s="13" t="s">
        <v>9737</v>
      </c>
      <c r="AB60" s="13" t="s">
        <v>447</v>
      </c>
      <c r="AC60" s="21">
        <v>39379.373865740738</v>
      </c>
      <c r="AD60" s="21">
        <v>42550.736875000002</v>
      </c>
      <c r="AE60" s="13" t="s">
        <v>9629</v>
      </c>
      <c r="AF60" s="13" t="s">
        <v>9634</v>
      </c>
    </row>
    <row r="61" spans="1:32">
      <c r="A61" s="13" t="s">
        <v>9830</v>
      </c>
      <c r="B61" s="13" t="s">
        <v>1150</v>
      </c>
      <c r="C61" s="13" t="s">
        <v>1363</v>
      </c>
      <c r="D61" s="13" t="s">
        <v>1150</v>
      </c>
      <c r="E61" s="13" t="s">
        <v>1363</v>
      </c>
      <c r="F61" s="13" t="s">
        <v>447</v>
      </c>
      <c r="G61" s="13" t="s">
        <v>1363</v>
      </c>
      <c r="H61" s="13" t="s">
        <v>1381</v>
      </c>
      <c r="I61" s="13" t="s">
        <v>9831</v>
      </c>
      <c r="J61" s="13" t="s">
        <v>447</v>
      </c>
      <c r="K61" s="13" t="s">
        <v>1363</v>
      </c>
      <c r="L61" s="13" t="s">
        <v>447</v>
      </c>
      <c r="M61" s="13" t="s">
        <v>1363</v>
      </c>
      <c r="N61" s="13" t="s">
        <v>9626</v>
      </c>
      <c r="P61" s="15">
        <v>367</v>
      </c>
      <c r="Q61" s="15">
        <v>42550</v>
      </c>
      <c r="R61" s="13" t="s">
        <v>9771</v>
      </c>
      <c r="S61" s="13" t="s">
        <v>447</v>
      </c>
      <c r="T61" s="13" t="s">
        <v>9832</v>
      </c>
      <c r="U61" s="13" t="s">
        <v>9734</v>
      </c>
      <c r="V61" s="13" t="s">
        <v>9735</v>
      </c>
      <c r="W61" s="13" t="s">
        <v>9736</v>
      </c>
      <c r="X61" s="13" t="s">
        <v>9658</v>
      </c>
      <c r="Z61" s="13" t="s">
        <v>1363</v>
      </c>
      <c r="AA61" s="13" t="s">
        <v>9737</v>
      </c>
      <c r="AB61" s="13" t="s">
        <v>447</v>
      </c>
      <c r="AC61" s="21">
        <v>39379.373877314814</v>
      </c>
      <c r="AD61" s="21">
        <v>42550.736875000002</v>
      </c>
      <c r="AE61" s="13" t="s">
        <v>9629</v>
      </c>
      <c r="AF61" s="13" t="s">
        <v>9634</v>
      </c>
    </row>
    <row r="62" spans="1:32">
      <c r="A62" s="13" t="s">
        <v>9833</v>
      </c>
      <c r="B62" s="13" t="s">
        <v>1150</v>
      </c>
      <c r="C62" s="13" t="s">
        <v>1363</v>
      </c>
      <c r="D62" s="13" t="s">
        <v>1150</v>
      </c>
      <c r="E62" s="13" t="s">
        <v>1363</v>
      </c>
      <c r="F62" s="13" t="s">
        <v>447</v>
      </c>
      <c r="G62" s="13" t="s">
        <v>1363</v>
      </c>
      <c r="H62" s="13" t="s">
        <v>1381</v>
      </c>
      <c r="I62" s="13" t="s">
        <v>9834</v>
      </c>
      <c r="J62" s="13" t="s">
        <v>447</v>
      </c>
      <c r="K62" s="13" t="s">
        <v>1363</v>
      </c>
      <c r="L62" s="13" t="s">
        <v>447</v>
      </c>
      <c r="M62" s="13" t="s">
        <v>1363</v>
      </c>
      <c r="N62" s="13" t="s">
        <v>9626</v>
      </c>
      <c r="P62" s="15">
        <v>367</v>
      </c>
      <c r="Q62" s="15">
        <v>42550</v>
      </c>
      <c r="R62" s="13" t="s">
        <v>9771</v>
      </c>
      <c r="S62" s="13" t="s">
        <v>447</v>
      </c>
      <c r="T62" s="13" t="s">
        <v>9835</v>
      </c>
      <c r="U62" s="13" t="s">
        <v>9734</v>
      </c>
      <c r="V62" s="13" t="s">
        <v>9735</v>
      </c>
      <c r="W62" s="13" t="s">
        <v>9736</v>
      </c>
      <c r="X62" s="13" t="s">
        <v>9658</v>
      </c>
      <c r="Z62" s="13" t="s">
        <v>1363</v>
      </c>
      <c r="AA62" s="13" t="s">
        <v>9737</v>
      </c>
      <c r="AB62" s="13" t="s">
        <v>447</v>
      </c>
      <c r="AC62" s="21">
        <v>39379.373877314814</v>
      </c>
      <c r="AD62" s="21">
        <v>42550.736875000002</v>
      </c>
      <c r="AE62" s="13" t="s">
        <v>9629</v>
      </c>
      <c r="AF62" s="13" t="s">
        <v>9634</v>
      </c>
    </row>
    <row r="63" spans="1:32">
      <c r="A63" s="13" t="s">
        <v>9836</v>
      </c>
      <c r="B63" s="13" t="s">
        <v>1150</v>
      </c>
      <c r="C63" s="13" t="s">
        <v>1363</v>
      </c>
      <c r="D63" s="13" t="s">
        <v>1150</v>
      </c>
      <c r="E63" s="13" t="s">
        <v>1363</v>
      </c>
      <c r="F63" s="13" t="s">
        <v>447</v>
      </c>
      <c r="G63" s="13" t="s">
        <v>1363</v>
      </c>
      <c r="H63" s="13" t="s">
        <v>1381</v>
      </c>
      <c r="I63" s="13" t="s">
        <v>9837</v>
      </c>
      <c r="J63" s="13" t="s">
        <v>447</v>
      </c>
      <c r="K63" s="13" t="s">
        <v>1363</v>
      </c>
      <c r="L63" s="13" t="s">
        <v>447</v>
      </c>
      <c r="M63" s="13" t="s">
        <v>1363</v>
      </c>
      <c r="N63" s="13" t="s">
        <v>9626</v>
      </c>
      <c r="P63" s="15">
        <v>367</v>
      </c>
      <c r="Q63" s="15">
        <v>42550</v>
      </c>
      <c r="R63" s="13" t="s">
        <v>9771</v>
      </c>
      <c r="S63" s="13" t="s">
        <v>447</v>
      </c>
      <c r="T63" s="13" t="s">
        <v>9838</v>
      </c>
      <c r="U63" s="13" t="s">
        <v>9734</v>
      </c>
      <c r="V63" s="13" t="s">
        <v>9735</v>
      </c>
      <c r="W63" s="13" t="s">
        <v>9736</v>
      </c>
      <c r="X63" s="13" t="s">
        <v>9658</v>
      </c>
      <c r="Z63" s="13" t="s">
        <v>1363</v>
      </c>
      <c r="AA63" s="13" t="s">
        <v>9737</v>
      </c>
      <c r="AB63" s="13" t="s">
        <v>447</v>
      </c>
      <c r="AC63" s="21">
        <v>39379.373877314814</v>
      </c>
      <c r="AD63" s="21">
        <v>42550.736886574072</v>
      </c>
      <c r="AE63" s="13" t="s">
        <v>9629</v>
      </c>
      <c r="AF63" s="13" t="s">
        <v>9634</v>
      </c>
    </row>
    <row r="64" spans="1:32">
      <c r="A64" s="13" t="s">
        <v>9839</v>
      </c>
      <c r="B64" s="13" t="s">
        <v>1150</v>
      </c>
      <c r="C64" s="13" t="s">
        <v>1363</v>
      </c>
      <c r="D64" s="13" t="s">
        <v>1150</v>
      </c>
      <c r="E64" s="13" t="s">
        <v>1363</v>
      </c>
      <c r="F64" s="13" t="s">
        <v>447</v>
      </c>
      <c r="G64" s="13" t="s">
        <v>1363</v>
      </c>
      <c r="H64" s="13" t="s">
        <v>1381</v>
      </c>
      <c r="I64" s="13" t="s">
        <v>9840</v>
      </c>
      <c r="J64" s="13" t="s">
        <v>447</v>
      </c>
      <c r="K64" s="13" t="s">
        <v>1363</v>
      </c>
      <c r="L64" s="13" t="s">
        <v>447</v>
      </c>
      <c r="M64" s="13" t="s">
        <v>1363</v>
      </c>
      <c r="N64" s="13" t="s">
        <v>9626</v>
      </c>
      <c r="P64" s="15">
        <v>367</v>
      </c>
      <c r="Q64" s="15">
        <v>42550</v>
      </c>
      <c r="R64" s="13" t="s">
        <v>9771</v>
      </c>
      <c r="S64" s="13" t="s">
        <v>447</v>
      </c>
      <c r="T64" s="13" t="s">
        <v>9841</v>
      </c>
      <c r="U64" s="13" t="s">
        <v>9734</v>
      </c>
      <c r="V64" s="13" t="s">
        <v>9735</v>
      </c>
      <c r="W64" s="13" t="s">
        <v>9736</v>
      </c>
      <c r="X64" s="13" t="s">
        <v>9658</v>
      </c>
      <c r="Z64" s="13" t="s">
        <v>1363</v>
      </c>
      <c r="AA64" s="13" t="s">
        <v>9737</v>
      </c>
      <c r="AB64" s="13" t="s">
        <v>447</v>
      </c>
      <c r="AC64" s="21">
        <v>39379.373877314814</v>
      </c>
      <c r="AD64" s="21">
        <v>42550.736886574072</v>
      </c>
      <c r="AE64" s="13" t="s">
        <v>9629</v>
      </c>
      <c r="AF64" s="13" t="s">
        <v>9634</v>
      </c>
    </row>
    <row r="65" spans="1:32">
      <c r="A65" s="13" t="s">
        <v>9842</v>
      </c>
      <c r="B65" s="13" t="s">
        <v>1150</v>
      </c>
      <c r="C65" s="13" t="s">
        <v>1363</v>
      </c>
      <c r="D65" s="13" t="s">
        <v>1150</v>
      </c>
      <c r="E65" s="13" t="s">
        <v>1363</v>
      </c>
      <c r="F65" s="13" t="s">
        <v>447</v>
      </c>
      <c r="G65" s="13" t="s">
        <v>1363</v>
      </c>
      <c r="H65" s="13" t="s">
        <v>1381</v>
      </c>
      <c r="I65" s="13" t="s">
        <v>9843</v>
      </c>
      <c r="J65" s="13" t="s">
        <v>447</v>
      </c>
      <c r="K65" s="13" t="s">
        <v>1363</v>
      </c>
      <c r="L65" s="13" t="s">
        <v>447</v>
      </c>
      <c r="M65" s="13" t="s">
        <v>1363</v>
      </c>
      <c r="N65" s="13" t="s">
        <v>9626</v>
      </c>
      <c r="P65" s="15">
        <v>367</v>
      </c>
      <c r="Q65" s="15">
        <v>42550</v>
      </c>
      <c r="R65" s="13" t="s">
        <v>9844</v>
      </c>
      <c r="S65" s="13" t="s">
        <v>447</v>
      </c>
      <c r="T65" s="13" t="s">
        <v>9845</v>
      </c>
      <c r="U65" s="13" t="s">
        <v>9734</v>
      </c>
      <c r="V65" s="13" t="s">
        <v>9735</v>
      </c>
      <c r="W65" s="13" t="s">
        <v>9736</v>
      </c>
      <c r="X65" s="13" t="s">
        <v>9658</v>
      </c>
      <c r="Z65" s="13" t="s">
        <v>1363</v>
      </c>
      <c r="AA65" s="13" t="s">
        <v>9737</v>
      </c>
      <c r="AB65" s="13" t="s">
        <v>447</v>
      </c>
      <c r="AC65" s="21">
        <v>39379.376493055555</v>
      </c>
      <c r="AD65" s="21">
        <v>42550.736886574072</v>
      </c>
      <c r="AE65" s="13" t="s">
        <v>9629</v>
      </c>
      <c r="AF65" s="13" t="s">
        <v>9634</v>
      </c>
    </row>
    <row r="66" spans="1:32">
      <c r="A66" s="13" t="s">
        <v>9846</v>
      </c>
      <c r="B66" s="13" t="s">
        <v>1150</v>
      </c>
      <c r="C66" s="13" t="s">
        <v>1363</v>
      </c>
      <c r="D66" s="13" t="s">
        <v>1150</v>
      </c>
      <c r="E66" s="13" t="s">
        <v>1363</v>
      </c>
      <c r="F66" s="13" t="s">
        <v>447</v>
      </c>
      <c r="G66" s="13" t="s">
        <v>1363</v>
      </c>
      <c r="H66" s="13" t="s">
        <v>1381</v>
      </c>
      <c r="I66" s="13" t="s">
        <v>9847</v>
      </c>
      <c r="J66" s="13" t="s">
        <v>447</v>
      </c>
      <c r="K66" s="13" t="s">
        <v>1363</v>
      </c>
      <c r="L66" s="13" t="s">
        <v>447</v>
      </c>
      <c r="M66" s="13" t="s">
        <v>1363</v>
      </c>
      <c r="N66" s="13" t="s">
        <v>9626</v>
      </c>
      <c r="P66" s="15">
        <v>367</v>
      </c>
      <c r="Q66" s="15">
        <v>42550</v>
      </c>
      <c r="R66" s="13" t="s">
        <v>9844</v>
      </c>
      <c r="S66" s="13" t="s">
        <v>447</v>
      </c>
      <c r="T66" s="13" t="s">
        <v>9848</v>
      </c>
      <c r="U66" s="13" t="s">
        <v>9734</v>
      </c>
      <c r="V66" s="13" t="s">
        <v>9735</v>
      </c>
      <c r="W66" s="13" t="s">
        <v>9736</v>
      </c>
      <c r="X66" s="13" t="s">
        <v>9658</v>
      </c>
      <c r="Z66" s="13" t="s">
        <v>1363</v>
      </c>
      <c r="AA66" s="13" t="s">
        <v>9737</v>
      </c>
      <c r="AB66" s="13" t="s">
        <v>447</v>
      </c>
      <c r="AC66" s="21">
        <v>39379.376504629632</v>
      </c>
      <c r="AD66" s="21">
        <v>42550.736886574072</v>
      </c>
      <c r="AE66" s="13" t="s">
        <v>9629</v>
      </c>
      <c r="AF66" s="13" t="s">
        <v>9634</v>
      </c>
    </row>
    <row r="67" spans="1:32">
      <c r="A67" s="13" t="s">
        <v>9849</v>
      </c>
      <c r="B67" s="13" t="s">
        <v>1150</v>
      </c>
      <c r="C67" s="13" t="s">
        <v>1363</v>
      </c>
      <c r="D67" s="13" t="s">
        <v>1150</v>
      </c>
      <c r="E67" s="13" t="s">
        <v>1363</v>
      </c>
      <c r="F67" s="13" t="s">
        <v>447</v>
      </c>
      <c r="G67" s="13" t="s">
        <v>1363</v>
      </c>
      <c r="H67" s="13" t="s">
        <v>1381</v>
      </c>
      <c r="I67" s="13" t="s">
        <v>9850</v>
      </c>
      <c r="J67" s="13" t="s">
        <v>447</v>
      </c>
      <c r="K67" s="13" t="s">
        <v>1363</v>
      </c>
      <c r="L67" s="13" t="s">
        <v>447</v>
      </c>
      <c r="M67" s="13" t="s">
        <v>1363</v>
      </c>
      <c r="N67" s="13" t="s">
        <v>9626</v>
      </c>
      <c r="P67" s="15">
        <v>367</v>
      </c>
      <c r="Q67" s="15">
        <v>42550</v>
      </c>
      <c r="R67" s="13" t="s">
        <v>9771</v>
      </c>
      <c r="S67" s="13" t="s">
        <v>447</v>
      </c>
      <c r="T67" s="13" t="s">
        <v>9851</v>
      </c>
      <c r="U67" s="13" t="s">
        <v>9734</v>
      </c>
      <c r="V67" s="13" t="s">
        <v>9735</v>
      </c>
      <c r="W67" s="13" t="s">
        <v>9736</v>
      </c>
      <c r="X67" s="13" t="s">
        <v>9658</v>
      </c>
      <c r="Z67" s="13" t="s">
        <v>1363</v>
      </c>
      <c r="AA67" s="13" t="s">
        <v>9737</v>
      </c>
      <c r="AB67" s="13" t="s">
        <v>447</v>
      </c>
      <c r="AC67" s="21">
        <v>39379.373831018522</v>
      </c>
      <c r="AD67" s="21">
        <v>42550.736886574072</v>
      </c>
      <c r="AE67" s="13" t="s">
        <v>9629</v>
      </c>
      <c r="AF67" s="13" t="s">
        <v>9634</v>
      </c>
    </row>
    <row r="68" spans="1:32">
      <c r="A68" s="13" t="s">
        <v>9852</v>
      </c>
      <c r="B68" s="13" t="s">
        <v>1150</v>
      </c>
      <c r="C68" s="13" t="s">
        <v>1363</v>
      </c>
      <c r="D68" s="13" t="s">
        <v>1150</v>
      </c>
      <c r="E68" s="13" t="s">
        <v>1363</v>
      </c>
      <c r="F68" s="13" t="s">
        <v>447</v>
      </c>
      <c r="G68" s="13" t="s">
        <v>1363</v>
      </c>
      <c r="H68" s="13" t="s">
        <v>1381</v>
      </c>
      <c r="I68" s="13" t="s">
        <v>9853</v>
      </c>
      <c r="J68" s="13" t="s">
        <v>447</v>
      </c>
      <c r="K68" s="13" t="s">
        <v>1363</v>
      </c>
      <c r="L68" s="13" t="s">
        <v>447</v>
      </c>
      <c r="M68" s="13" t="s">
        <v>1363</v>
      </c>
      <c r="N68" s="13" t="s">
        <v>9626</v>
      </c>
      <c r="P68" s="15">
        <v>367</v>
      </c>
      <c r="Q68" s="15">
        <v>42550</v>
      </c>
      <c r="R68" s="13" t="s">
        <v>9771</v>
      </c>
      <c r="S68" s="13" t="s">
        <v>447</v>
      </c>
      <c r="T68" s="13" t="s">
        <v>9854</v>
      </c>
      <c r="U68" s="13" t="s">
        <v>9734</v>
      </c>
      <c r="V68" s="13" t="s">
        <v>9735</v>
      </c>
      <c r="W68" s="13" t="s">
        <v>9736</v>
      </c>
      <c r="X68" s="13" t="s">
        <v>9658</v>
      </c>
      <c r="Z68" s="13" t="s">
        <v>1363</v>
      </c>
      <c r="AA68" s="13" t="s">
        <v>9737</v>
      </c>
      <c r="AB68" s="13" t="s">
        <v>447</v>
      </c>
      <c r="AC68" s="21">
        <v>39379.373842592591</v>
      </c>
      <c r="AD68" s="21">
        <v>42550.736886574072</v>
      </c>
      <c r="AE68" s="13" t="s">
        <v>9629</v>
      </c>
      <c r="AF68" s="13" t="s">
        <v>9634</v>
      </c>
    </row>
    <row r="69" spans="1:32">
      <c r="A69" s="13" t="s">
        <v>9855</v>
      </c>
      <c r="B69" s="13" t="s">
        <v>1150</v>
      </c>
      <c r="C69" s="13" t="s">
        <v>1363</v>
      </c>
      <c r="D69" s="13" t="s">
        <v>1150</v>
      </c>
      <c r="E69" s="13" t="s">
        <v>1363</v>
      </c>
      <c r="F69" s="13" t="s">
        <v>447</v>
      </c>
      <c r="G69" s="13" t="s">
        <v>1363</v>
      </c>
      <c r="H69" s="13" t="s">
        <v>1381</v>
      </c>
      <c r="I69" s="13" t="s">
        <v>9856</v>
      </c>
      <c r="J69" s="13" t="s">
        <v>447</v>
      </c>
      <c r="K69" s="13" t="s">
        <v>1363</v>
      </c>
      <c r="L69" s="13" t="s">
        <v>447</v>
      </c>
      <c r="M69" s="13" t="s">
        <v>1363</v>
      </c>
      <c r="N69" s="13" t="s">
        <v>9626</v>
      </c>
      <c r="P69" s="15">
        <v>367</v>
      </c>
      <c r="Q69" s="15">
        <v>42550</v>
      </c>
      <c r="R69" s="13" t="s">
        <v>9771</v>
      </c>
      <c r="S69" s="13" t="s">
        <v>447</v>
      </c>
      <c r="T69" s="13" t="s">
        <v>9857</v>
      </c>
      <c r="U69" s="13" t="s">
        <v>9734</v>
      </c>
      <c r="V69" s="13" t="s">
        <v>9735</v>
      </c>
      <c r="W69" s="13" t="s">
        <v>9736</v>
      </c>
      <c r="X69" s="13" t="s">
        <v>9658</v>
      </c>
      <c r="Z69" s="13" t="s">
        <v>1363</v>
      </c>
      <c r="AA69" s="13" t="s">
        <v>9737</v>
      </c>
      <c r="AB69" s="13" t="s">
        <v>447</v>
      </c>
      <c r="AC69" s="21">
        <v>39379.373842592591</v>
      </c>
      <c r="AD69" s="21">
        <v>42550.736886574072</v>
      </c>
      <c r="AE69" s="13" t="s">
        <v>9629</v>
      </c>
      <c r="AF69" s="13" t="s">
        <v>9634</v>
      </c>
    </row>
    <row r="70" spans="1:32">
      <c r="A70" s="13" t="s">
        <v>2592</v>
      </c>
      <c r="B70" s="13" t="s">
        <v>1150</v>
      </c>
      <c r="C70" s="13" t="s">
        <v>1363</v>
      </c>
      <c r="D70" s="13" t="s">
        <v>1150</v>
      </c>
      <c r="E70" s="13" t="s">
        <v>1363</v>
      </c>
      <c r="F70" s="13" t="s">
        <v>447</v>
      </c>
      <c r="G70" s="13" t="s">
        <v>1363</v>
      </c>
      <c r="H70" s="13" t="s">
        <v>1415</v>
      </c>
      <c r="I70" s="13" t="s">
        <v>9858</v>
      </c>
      <c r="J70" s="13" t="s">
        <v>447</v>
      </c>
      <c r="K70" s="13" t="s">
        <v>447</v>
      </c>
      <c r="L70" s="13" t="s">
        <v>447</v>
      </c>
      <c r="M70" s="13" t="s">
        <v>447</v>
      </c>
      <c r="N70" s="13" t="s">
        <v>9626</v>
      </c>
      <c r="O70" s="13" t="s">
        <v>9859</v>
      </c>
      <c r="P70" s="15">
        <v>367</v>
      </c>
      <c r="R70" s="13" t="s">
        <v>9858</v>
      </c>
      <c r="S70" s="13" t="s">
        <v>1363</v>
      </c>
      <c r="X70" s="13" t="s">
        <v>9628</v>
      </c>
      <c r="Z70" s="13" t="s">
        <v>447</v>
      </c>
      <c r="AB70" s="13" t="s">
        <v>447</v>
      </c>
      <c r="AC70" s="21">
        <v>38047.689953703702</v>
      </c>
      <c r="AD70" s="21">
        <v>42276.370532407411</v>
      </c>
      <c r="AE70" s="13" t="s">
        <v>9860</v>
      </c>
      <c r="AF70" s="13" t="s">
        <v>9629</v>
      </c>
    </row>
    <row r="71" spans="1:32">
      <c r="A71" s="13" t="s">
        <v>9861</v>
      </c>
      <c r="B71" s="13" t="s">
        <v>1150</v>
      </c>
      <c r="C71" s="13" t="s">
        <v>1363</v>
      </c>
      <c r="D71" s="13" t="s">
        <v>1150</v>
      </c>
      <c r="E71" s="13" t="s">
        <v>1363</v>
      </c>
      <c r="F71" s="13" t="s">
        <v>447</v>
      </c>
      <c r="G71" s="13" t="s">
        <v>1363</v>
      </c>
      <c r="H71" s="13" t="s">
        <v>1415</v>
      </c>
      <c r="I71" s="13" t="s">
        <v>9862</v>
      </c>
      <c r="J71" s="13" t="s">
        <v>1363</v>
      </c>
      <c r="K71" s="13" t="s">
        <v>1363</v>
      </c>
      <c r="L71" s="13" t="s">
        <v>447</v>
      </c>
      <c r="M71" s="13" t="s">
        <v>1363</v>
      </c>
      <c r="N71" s="13" t="s">
        <v>9626</v>
      </c>
      <c r="O71" s="13" t="s">
        <v>9863</v>
      </c>
      <c r="P71" s="15">
        <v>367</v>
      </c>
      <c r="R71" s="13" t="s">
        <v>9862</v>
      </c>
      <c r="S71" s="13" t="s">
        <v>1363</v>
      </c>
      <c r="X71" s="13" t="s">
        <v>9628</v>
      </c>
      <c r="Z71" s="13" t="s">
        <v>1363</v>
      </c>
      <c r="AB71" s="13" t="s">
        <v>447</v>
      </c>
      <c r="AC71" s="21">
        <v>38047.689953703702</v>
      </c>
      <c r="AD71" s="21">
        <v>38047.689953703702</v>
      </c>
      <c r="AE71" s="13" t="s">
        <v>9629</v>
      </c>
      <c r="AF71" s="13" t="s">
        <v>9629</v>
      </c>
    </row>
    <row r="72" spans="1:32">
      <c r="A72" s="13" t="s">
        <v>3862</v>
      </c>
      <c r="B72" s="13" t="s">
        <v>1150</v>
      </c>
      <c r="C72" s="13" t="s">
        <v>1363</v>
      </c>
      <c r="D72" s="13" t="s">
        <v>1150</v>
      </c>
      <c r="E72" s="13" t="s">
        <v>447</v>
      </c>
      <c r="F72" s="13" t="s">
        <v>447</v>
      </c>
      <c r="G72" s="13" t="s">
        <v>1363</v>
      </c>
      <c r="H72" s="13" t="s">
        <v>1415</v>
      </c>
      <c r="I72" s="13" t="s">
        <v>9864</v>
      </c>
      <c r="J72" s="13" t="s">
        <v>447</v>
      </c>
      <c r="K72" s="13" t="s">
        <v>1363</v>
      </c>
      <c r="L72" s="13" t="s">
        <v>447</v>
      </c>
      <c r="M72" s="13" t="s">
        <v>1363</v>
      </c>
      <c r="N72" s="13" t="s">
        <v>9626</v>
      </c>
      <c r="O72" s="13" t="s">
        <v>9865</v>
      </c>
      <c r="P72" s="15">
        <v>367</v>
      </c>
      <c r="R72" s="13" t="s">
        <v>9864</v>
      </c>
      <c r="S72" s="13" t="s">
        <v>1363</v>
      </c>
      <c r="X72" s="13" t="s">
        <v>9628</v>
      </c>
      <c r="Z72" s="13" t="s">
        <v>1363</v>
      </c>
      <c r="AB72" s="13" t="s">
        <v>447</v>
      </c>
      <c r="AC72" s="21">
        <v>38047.689953703702</v>
      </c>
      <c r="AD72" s="21">
        <v>38047.689953703702</v>
      </c>
      <c r="AE72" s="13" t="s">
        <v>9629</v>
      </c>
      <c r="AF72" s="13" t="s">
        <v>9629</v>
      </c>
    </row>
    <row r="73" spans="1:32">
      <c r="A73" s="13" t="s">
        <v>9866</v>
      </c>
      <c r="B73" s="13" t="s">
        <v>1150</v>
      </c>
      <c r="C73" s="13" t="s">
        <v>1363</v>
      </c>
      <c r="D73" s="13" t="s">
        <v>1150</v>
      </c>
      <c r="E73" s="13" t="s">
        <v>1363</v>
      </c>
      <c r="F73" s="13" t="s">
        <v>447</v>
      </c>
      <c r="G73" s="13" t="s">
        <v>1363</v>
      </c>
      <c r="H73" s="13" t="s">
        <v>1381</v>
      </c>
      <c r="I73" s="13" t="s">
        <v>9867</v>
      </c>
      <c r="J73" s="13" t="s">
        <v>447</v>
      </c>
      <c r="K73" s="13" t="s">
        <v>1363</v>
      </c>
      <c r="L73" s="13" t="s">
        <v>447</v>
      </c>
      <c r="M73" s="13" t="s">
        <v>1363</v>
      </c>
      <c r="N73" s="13" t="s">
        <v>9626</v>
      </c>
      <c r="P73" s="15">
        <v>367</v>
      </c>
      <c r="Q73" s="15">
        <v>42550</v>
      </c>
      <c r="R73" s="13" t="s">
        <v>9740</v>
      </c>
      <c r="S73" s="13" t="s">
        <v>447</v>
      </c>
      <c r="T73" s="13" t="s">
        <v>9868</v>
      </c>
      <c r="U73" s="13" t="s">
        <v>9734</v>
      </c>
      <c r="V73" s="13" t="s">
        <v>9735</v>
      </c>
      <c r="W73" s="13" t="s">
        <v>9736</v>
      </c>
      <c r="X73" s="13" t="s">
        <v>9658</v>
      </c>
      <c r="Z73" s="13" t="s">
        <v>1363</v>
      </c>
      <c r="AA73" s="13" t="s">
        <v>9737</v>
      </c>
      <c r="AB73" s="13" t="s">
        <v>447</v>
      </c>
      <c r="AC73" s="21">
        <v>39379.369571759256</v>
      </c>
      <c r="AD73" s="21">
        <v>42550.736886574072</v>
      </c>
      <c r="AE73" s="13" t="s">
        <v>9629</v>
      </c>
      <c r="AF73" s="13" t="s">
        <v>9634</v>
      </c>
    </row>
    <row r="74" spans="1:32">
      <c r="A74" s="13" t="s">
        <v>9869</v>
      </c>
      <c r="B74" s="13" t="s">
        <v>1150</v>
      </c>
      <c r="C74" s="13" t="s">
        <v>1363</v>
      </c>
      <c r="D74" s="13" t="s">
        <v>1150</v>
      </c>
      <c r="E74" s="13" t="s">
        <v>1363</v>
      </c>
      <c r="F74" s="13" t="s">
        <v>447</v>
      </c>
      <c r="G74" s="13" t="s">
        <v>1363</v>
      </c>
      <c r="H74" s="13" t="s">
        <v>1381</v>
      </c>
      <c r="I74" s="13" t="s">
        <v>9870</v>
      </c>
      <c r="J74" s="13" t="s">
        <v>447</v>
      </c>
      <c r="K74" s="13" t="s">
        <v>1363</v>
      </c>
      <c r="L74" s="13" t="s">
        <v>447</v>
      </c>
      <c r="M74" s="13" t="s">
        <v>1363</v>
      </c>
      <c r="N74" s="13" t="s">
        <v>9626</v>
      </c>
      <c r="P74" s="15">
        <v>367</v>
      </c>
      <c r="Q74" s="15">
        <v>42550</v>
      </c>
      <c r="R74" s="13" t="s">
        <v>9740</v>
      </c>
      <c r="S74" s="13" t="s">
        <v>447</v>
      </c>
      <c r="T74" s="13" t="s">
        <v>9871</v>
      </c>
      <c r="U74" s="13" t="s">
        <v>9734</v>
      </c>
      <c r="V74" s="13" t="s">
        <v>9735</v>
      </c>
      <c r="W74" s="13" t="s">
        <v>9736</v>
      </c>
      <c r="X74" s="13" t="s">
        <v>9658</v>
      </c>
      <c r="Z74" s="13" t="s">
        <v>1363</v>
      </c>
      <c r="AA74" s="13" t="s">
        <v>9737</v>
      </c>
      <c r="AB74" s="13" t="s">
        <v>447</v>
      </c>
      <c r="AC74" s="21">
        <v>39379.369571759256</v>
      </c>
      <c r="AD74" s="21">
        <v>42550.736898148149</v>
      </c>
      <c r="AE74" s="13" t="s">
        <v>9629</v>
      </c>
      <c r="AF74" s="13" t="s">
        <v>9634</v>
      </c>
    </row>
    <row r="75" spans="1:32">
      <c r="A75" s="13" t="s">
        <v>9872</v>
      </c>
      <c r="B75" s="13" t="s">
        <v>1150</v>
      </c>
      <c r="C75" s="13" t="s">
        <v>1363</v>
      </c>
      <c r="D75" s="13" t="s">
        <v>1150</v>
      </c>
      <c r="E75" s="13" t="s">
        <v>1363</v>
      </c>
      <c r="F75" s="13" t="s">
        <v>447</v>
      </c>
      <c r="G75" s="13" t="s">
        <v>1363</v>
      </c>
      <c r="H75" s="13" t="s">
        <v>1381</v>
      </c>
      <c r="I75" s="13" t="s">
        <v>9873</v>
      </c>
      <c r="J75" s="13" t="s">
        <v>447</v>
      </c>
      <c r="K75" s="13" t="s">
        <v>1363</v>
      </c>
      <c r="L75" s="13" t="s">
        <v>447</v>
      </c>
      <c r="M75" s="13" t="s">
        <v>1363</v>
      </c>
      <c r="N75" s="13" t="s">
        <v>9626</v>
      </c>
      <c r="P75" s="15">
        <v>367</v>
      </c>
      <c r="Q75" s="15">
        <v>42550</v>
      </c>
      <c r="R75" s="13" t="s">
        <v>9740</v>
      </c>
      <c r="S75" s="13" t="s">
        <v>447</v>
      </c>
      <c r="T75" s="13" t="s">
        <v>9874</v>
      </c>
      <c r="U75" s="13" t="s">
        <v>9734</v>
      </c>
      <c r="V75" s="13" t="s">
        <v>9735</v>
      </c>
      <c r="W75" s="13" t="s">
        <v>9736</v>
      </c>
      <c r="X75" s="13" t="s">
        <v>9658</v>
      </c>
      <c r="Z75" s="13" t="s">
        <v>1363</v>
      </c>
      <c r="AA75" s="13" t="s">
        <v>9737</v>
      </c>
      <c r="AB75" s="13" t="s">
        <v>447</v>
      </c>
      <c r="AC75" s="21">
        <v>39379.369583333333</v>
      </c>
      <c r="AD75" s="21">
        <v>42550.736898148149</v>
      </c>
      <c r="AE75" s="13" t="s">
        <v>9629</v>
      </c>
      <c r="AF75" s="13" t="s">
        <v>9634</v>
      </c>
    </row>
    <row r="76" spans="1:32">
      <c r="A76" s="13" t="s">
        <v>9875</v>
      </c>
      <c r="B76" s="13" t="s">
        <v>1150</v>
      </c>
      <c r="C76" s="13" t="s">
        <v>1363</v>
      </c>
      <c r="D76" s="13" t="s">
        <v>1150</v>
      </c>
      <c r="E76" s="13" t="s">
        <v>1363</v>
      </c>
      <c r="F76" s="13" t="s">
        <v>447</v>
      </c>
      <c r="G76" s="13" t="s">
        <v>1363</v>
      </c>
      <c r="H76" s="13" t="s">
        <v>1381</v>
      </c>
      <c r="I76" s="13" t="s">
        <v>9876</v>
      </c>
      <c r="J76" s="13" t="s">
        <v>447</v>
      </c>
      <c r="K76" s="13" t="s">
        <v>1363</v>
      </c>
      <c r="L76" s="13" t="s">
        <v>447</v>
      </c>
      <c r="M76" s="13" t="s">
        <v>1363</v>
      </c>
      <c r="N76" s="13" t="s">
        <v>9626</v>
      </c>
      <c r="P76" s="15">
        <v>367</v>
      </c>
      <c r="Q76" s="15">
        <v>42550</v>
      </c>
      <c r="R76" s="13" t="s">
        <v>9740</v>
      </c>
      <c r="S76" s="13" t="s">
        <v>447</v>
      </c>
      <c r="T76" s="13" t="s">
        <v>9877</v>
      </c>
      <c r="U76" s="13" t="s">
        <v>9734</v>
      </c>
      <c r="V76" s="13" t="s">
        <v>9735</v>
      </c>
      <c r="W76" s="13" t="s">
        <v>9736</v>
      </c>
      <c r="X76" s="13" t="s">
        <v>9658</v>
      </c>
      <c r="Z76" s="13" t="s">
        <v>1363</v>
      </c>
      <c r="AA76" s="13" t="s">
        <v>9737</v>
      </c>
      <c r="AB76" s="13" t="s">
        <v>447</v>
      </c>
      <c r="AC76" s="21">
        <v>39379.369583333333</v>
      </c>
      <c r="AD76" s="21">
        <v>42550.736898148149</v>
      </c>
      <c r="AE76" s="13" t="s">
        <v>9629</v>
      </c>
      <c r="AF76" s="13" t="s">
        <v>9634</v>
      </c>
    </row>
    <row r="77" spans="1:32">
      <c r="A77" s="13" t="s">
        <v>9878</v>
      </c>
      <c r="B77" s="13" t="s">
        <v>1150</v>
      </c>
      <c r="C77" s="13" t="s">
        <v>1363</v>
      </c>
      <c r="D77" s="13" t="s">
        <v>1150</v>
      </c>
      <c r="E77" s="13" t="s">
        <v>1363</v>
      </c>
      <c r="F77" s="13" t="s">
        <v>447</v>
      </c>
      <c r="G77" s="13" t="s">
        <v>1363</v>
      </c>
      <c r="H77" s="13" t="s">
        <v>1381</v>
      </c>
      <c r="I77" s="13" t="s">
        <v>9879</v>
      </c>
      <c r="J77" s="13" t="s">
        <v>447</v>
      </c>
      <c r="K77" s="13" t="s">
        <v>1363</v>
      </c>
      <c r="L77" s="13" t="s">
        <v>447</v>
      </c>
      <c r="M77" s="13" t="s">
        <v>1363</v>
      </c>
      <c r="N77" s="13" t="s">
        <v>9626</v>
      </c>
      <c r="P77" s="15">
        <v>367</v>
      </c>
      <c r="Q77" s="15">
        <v>42550</v>
      </c>
      <c r="R77" s="13" t="s">
        <v>9740</v>
      </c>
      <c r="S77" s="13" t="s">
        <v>447</v>
      </c>
      <c r="T77" s="13" t="s">
        <v>9880</v>
      </c>
      <c r="U77" s="13" t="s">
        <v>9734</v>
      </c>
      <c r="V77" s="13" t="s">
        <v>9735</v>
      </c>
      <c r="W77" s="13" t="s">
        <v>9736</v>
      </c>
      <c r="X77" s="13" t="s">
        <v>9658</v>
      </c>
      <c r="Z77" s="13" t="s">
        <v>1363</v>
      </c>
      <c r="AA77" s="13" t="s">
        <v>9737</v>
      </c>
      <c r="AB77" s="13" t="s">
        <v>447</v>
      </c>
      <c r="AC77" s="21">
        <v>39379.369583333333</v>
      </c>
      <c r="AD77" s="21">
        <v>42550.736898148149</v>
      </c>
      <c r="AE77" s="13" t="s">
        <v>9629</v>
      </c>
      <c r="AF77" s="13" t="s">
        <v>9634</v>
      </c>
    </row>
    <row r="78" spans="1:32">
      <c r="A78" s="13" t="s">
        <v>9881</v>
      </c>
      <c r="B78" s="13" t="s">
        <v>1150</v>
      </c>
      <c r="C78" s="13" t="s">
        <v>1363</v>
      </c>
      <c r="D78" s="13" t="s">
        <v>1150</v>
      </c>
      <c r="E78" s="13" t="s">
        <v>1363</v>
      </c>
      <c r="F78" s="13" t="s">
        <v>447</v>
      </c>
      <c r="G78" s="13" t="s">
        <v>1363</v>
      </c>
      <c r="H78" s="13" t="s">
        <v>1381</v>
      </c>
      <c r="I78" s="13" t="s">
        <v>9882</v>
      </c>
      <c r="J78" s="13" t="s">
        <v>447</v>
      </c>
      <c r="K78" s="13" t="s">
        <v>1363</v>
      </c>
      <c r="L78" s="13" t="s">
        <v>447</v>
      </c>
      <c r="M78" s="13" t="s">
        <v>1363</v>
      </c>
      <c r="N78" s="13" t="s">
        <v>9626</v>
      </c>
      <c r="P78" s="15">
        <v>367</v>
      </c>
      <c r="Q78" s="15">
        <v>42550</v>
      </c>
      <c r="R78" s="13" t="s">
        <v>9740</v>
      </c>
      <c r="S78" s="13" t="s">
        <v>447</v>
      </c>
      <c r="T78" s="13" t="s">
        <v>9883</v>
      </c>
      <c r="U78" s="13" t="s">
        <v>9734</v>
      </c>
      <c r="V78" s="13" t="s">
        <v>9735</v>
      </c>
      <c r="W78" s="13" t="s">
        <v>9736</v>
      </c>
      <c r="X78" s="13" t="s">
        <v>9658</v>
      </c>
      <c r="Z78" s="13" t="s">
        <v>1363</v>
      </c>
      <c r="AA78" s="13" t="s">
        <v>9737</v>
      </c>
      <c r="AB78" s="13" t="s">
        <v>447</v>
      </c>
      <c r="AC78" s="21">
        <v>39379.36959490741</v>
      </c>
      <c r="AD78" s="21">
        <v>42550.736898148149</v>
      </c>
      <c r="AE78" s="13" t="s">
        <v>9629</v>
      </c>
      <c r="AF78" s="13" t="s">
        <v>9634</v>
      </c>
    </row>
    <row r="79" spans="1:32">
      <c r="A79" s="13" t="s">
        <v>9884</v>
      </c>
      <c r="B79" s="13" t="s">
        <v>1150</v>
      </c>
      <c r="C79" s="13" t="s">
        <v>1363</v>
      </c>
      <c r="D79" s="13" t="s">
        <v>1150</v>
      </c>
      <c r="E79" s="13" t="s">
        <v>1363</v>
      </c>
      <c r="F79" s="13" t="s">
        <v>447</v>
      </c>
      <c r="G79" s="13" t="s">
        <v>1363</v>
      </c>
      <c r="H79" s="13" t="s">
        <v>1381</v>
      </c>
      <c r="I79" s="13" t="s">
        <v>9885</v>
      </c>
      <c r="J79" s="13" t="s">
        <v>447</v>
      </c>
      <c r="K79" s="13" t="s">
        <v>1363</v>
      </c>
      <c r="L79" s="13" t="s">
        <v>447</v>
      </c>
      <c r="M79" s="13" t="s">
        <v>1363</v>
      </c>
      <c r="N79" s="13" t="s">
        <v>9626</v>
      </c>
      <c r="P79" s="15">
        <v>367</v>
      </c>
      <c r="Q79" s="15">
        <v>42550</v>
      </c>
      <c r="R79" s="13" t="s">
        <v>9740</v>
      </c>
      <c r="S79" s="13" t="s">
        <v>447</v>
      </c>
      <c r="T79" s="13" t="s">
        <v>9886</v>
      </c>
      <c r="U79" s="13" t="s">
        <v>9734</v>
      </c>
      <c r="V79" s="13" t="s">
        <v>9735</v>
      </c>
      <c r="W79" s="13" t="s">
        <v>9736</v>
      </c>
      <c r="X79" s="13" t="s">
        <v>9658</v>
      </c>
      <c r="Z79" s="13" t="s">
        <v>1363</v>
      </c>
      <c r="AA79" s="13" t="s">
        <v>9737</v>
      </c>
      <c r="AB79" s="13" t="s">
        <v>447</v>
      </c>
      <c r="AC79" s="21">
        <v>39379.36959490741</v>
      </c>
      <c r="AD79" s="21">
        <v>42550.736898148149</v>
      </c>
      <c r="AE79" s="13" t="s">
        <v>9629</v>
      </c>
      <c r="AF79" s="13" t="s">
        <v>9634</v>
      </c>
    </row>
    <row r="80" spans="1:32">
      <c r="A80" s="13" t="s">
        <v>9887</v>
      </c>
      <c r="B80" s="13" t="s">
        <v>1150</v>
      </c>
      <c r="C80" s="13" t="s">
        <v>1363</v>
      </c>
      <c r="D80" s="13" t="s">
        <v>1150</v>
      </c>
      <c r="E80" s="13" t="s">
        <v>1363</v>
      </c>
      <c r="F80" s="13" t="s">
        <v>447</v>
      </c>
      <c r="G80" s="13" t="s">
        <v>1363</v>
      </c>
      <c r="H80" s="13" t="s">
        <v>1381</v>
      </c>
      <c r="I80" s="13" t="s">
        <v>9888</v>
      </c>
      <c r="J80" s="13" t="s">
        <v>447</v>
      </c>
      <c r="K80" s="13" t="s">
        <v>1363</v>
      </c>
      <c r="L80" s="13" t="s">
        <v>447</v>
      </c>
      <c r="M80" s="13" t="s">
        <v>1363</v>
      </c>
      <c r="N80" s="13" t="s">
        <v>9626</v>
      </c>
      <c r="P80" s="15">
        <v>367</v>
      </c>
      <c r="Q80" s="15">
        <v>42550</v>
      </c>
      <c r="R80" s="13" t="s">
        <v>9740</v>
      </c>
      <c r="S80" s="13" t="s">
        <v>447</v>
      </c>
      <c r="T80" s="13" t="s">
        <v>9889</v>
      </c>
      <c r="U80" s="13" t="s">
        <v>9734</v>
      </c>
      <c r="V80" s="13" t="s">
        <v>9735</v>
      </c>
      <c r="W80" s="13" t="s">
        <v>9736</v>
      </c>
      <c r="X80" s="13" t="s">
        <v>9658</v>
      </c>
      <c r="Z80" s="13" t="s">
        <v>1363</v>
      </c>
      <c r="AA80" s="13" t="s">
        <v>9737</v>
      </c>
      <c r="AB80" s="13" t="s">
        <v>447</v>
      </c>
      <c r="AC80" s="21">
        <v>39379.36959490741</v>
      </c>
      <c r="AD80" s="21">
        <v>42550.736898148149</v>
      </c>
      <c r="AE80" s="13" t="s">
        <v>9629</v>
      </c>
      <c r="AF80" s="13" t="s">
        <v>9634</v>
      </c>
    </row>
    <row r="81" spans="1:32">
      <c r="A81" s="13" t="s">
        <v>9890</v>
      </c>
      <c r="B81" s="13" t="s">
        <v>1150</v>
      </c>
      <c r="C81" s="13" t="s">
        <v>1363</v>
      </c>
      <c r="D81" s="13" t="s">
        <v>1150</v>
      </c>
      <c r="E81" s="13" t="s">
        <v>1363</v>
      </c>
      <c r="F81" s="13" t="s">
        <v>447</v>
      </c>
      <c r="G81" s="13" t="s">
        <v>1363</v>
      </c>
      <c r="H81" s="13" t="s">
        <v>1381</v>
      </c>
      <c r="I81" s="13" t="s">
        <v>9891</v>
      </c>
      <c r="J81" s="13" t="s">
        <v>447</v>
      </c>
      <c r="K81" s="13" t="s">
        <v>1363</v>
      </c>
      <c r="L81" s="13" t="s">
        <v>447</v>
      </c>
      <c r="M81" s="13" t="s">
        <v>1363</v>
      </c>
      <c r="N81" s="13" t="s">
        <v>9626</v>
      </c>
      <c r="P81" s="15">
        <v>367</v>
      </c>
      <c r="Q81" s="15">
        <v>42550</v>
      </c>
      <c r="R81" s="13" t="s">
        <v>9740</v>
      </c>
      <c r="S81" s="13" t="s">
        <v>447</v>
      </c>
      <c r="T81" s="13" t="s">
        <v>9892</v>
      </c>
      <c r="U81" s="13" t="s">
        <v>9734</v>
      </c>
      <c r="V81" s="13" t="s">
        <v>9735</v>
      </c>
      <c r="W81" s="13" t="s">
        <v>9736</v>
      </c>
      <c r="X81" s="13" t="s">
        <v>9658</v>
      </c>
      <c r="Z81" s="13" t="s">
        <v>1363</v>
      </c>
      <c r="AA81" s="13" t="s">
        <v>9737</v>
      </c>
      <c r="AB81" s="13" t="s">
        <v>447</v>
      </c>
      <c r="AC81" s="21">
        <v>39379.369606481479</v>
      </c>
      <c r="AD81" s="21">
        <v>42550.736909722225</v>
      </c>
      <c r="AE81" s="13" t="s">
        <v>9629</v>
      </c>
      <c r="AF81" s="13" t="s">
        <v>9634</v>
      </c>
    </row>
    <row r="82" spans="1:32">
      <c r="A82" s="13" t="s">
        <v>9893</v>
      </c>
      <c r="B82" s="13" t="s">
        <v>1150</v>
      </c>
      <c r="C82" s="13" t="s">
        <v>1363</v>
      </c>
      <c r="D82" s="13" t="s">
        <v>1150</v>
      </c>
      <c r="E82" s="13" t="s">
        <v>1363</v>
      </c>
      <c r="F82" s="13" t="s">
        <v>447</v>
      </c>
      <c r="G82" s="13" t="s">
        <v>1363</v>
      </c>
      <c r="H82" s="13" t="s">
        <v>1381</v>
      </c>
      <c r="I82" s="13" t="s">
        <v>9894</v>
      </c>
      <c r="J82" s="13" t="s">
        <v>447</v>
      </c>
      <c r="K82" s="13" t="s">
        <v>1363</v>
      </c>
      <c r="L82" s="13" t="s">
        <v>447</v>
      </c>
      <c r="M82" s="13" t="s">
        <v>1363</v>
      </c>
      <c r="N82" s="13" t="s">
        <v>9626</v>
      </c>
      <c r="P82" s="15">
        <v>367</v>
      </c>
      <c r="Q82" s="15">
        <v>42550</v>
      </c>
      <c r="R82" s="13" t="s">
        <v>9740</v>
      </c>
      <c r="S82" s="13" t="s">
        <v>447</v>
      </c>
      <c r="T82" s="13" t="s">
        <v>9895</v>
      </c>
      <c r="U82" s="13" t="s">
        <v>9734</v>
      </c>
      <c r="V82" s="13" t="s">
        <v>9735</v>
      </c>
      <c r="W82" s="13" t="s">
        <v>9736</v>
      </c>
      <c r="X82" s="13" t="s">
        <v>9658</v>
      </c>
      <c r="Z82" s="13" t="s">
        <v>1363</v>
      </c>
      <c r="AA82" s="13" t="s">
        <v>9737</v>
      </c>
      <c r="AB82" s="13" t="s">
        <v>447</v>
      </c>
      <c r="AC82" s="21">
        <v>39379.369606481479</v>
      </c>
      <c r="AD82" s="21">
        <v>42550.736909722225</v>
      </c>
      <c r="AE82" s="13" t="s">
        <v>9629</v>
      </c>
      <c r="AF82" s="13" t="s">
        <v>9634</v>
      </c>
    </row>
    <row r="83" spans="1:32">
      <c r="A83" s="13" t="s">
        <v>9896</v>
      </c>
      <c r="B83" s="13" t="s">
        <v>1150</v>
      </c>
      <c r="C83" s="13" t="s">
        <v>1363</v>
      </c>
      <c r="D83" s="13" t="s">
        <v>1150</v>
      </c>
      <c r="E83" s="13" t="s">
        <v>1363</v>
      </c>
      <c r="F83" s="13" t="s">
        <v>447</v>
      </c>
      <c r="G83" s="13" t="s">
        <v>1363</v>
      </c>
      <c r="H83" s="13" t="s">
        <v>1381</v>
      </c>
      <c r="I83" s="13" t="s">
        <v>9897</v>
      </c>
      <c r="J83" s="13" t="s">
        <v>447</v>
      </c>
      <c r="K83" s="13" t="s">
        <v>1363</v>
      </c>
      <c r="L83" s="13" t="s">
        <v>447</v>
      </c>
      <c r="M83" s="13" t="s">
        <v>1363</v>
      </c>
      <c r="N83" s="13" t="s">
        <v>9626</v>
      </c>
      <c r="P83" s="15">
        <v>367</v>
      </c>
      <c r="Q83" s="15">
        <v>42550</v>
      </c>
      <c r="R83" s="13" t="s">
        <v>9740</v>
      </c>
      <c r="S83" s="13" t="s">
        <v>447</v>
      </c>
      <c r="T83" s="13" t="s">
        <v>9898</v>
      </c>
      <c r="U83" s="13" t="s">
        <v>9734</v>
      </c>
      <c r="V83" s="13" t="s">
        <v>9735</v>
      </c>
      <c r="W83" s="13" t="s">
        <v>9736</v>
      </c>
      <c r="X83" s="13" t="s">
        <v>9658</v>
      </c>
      <c r="Z83" s="13" t="s">
        <v>1363</v>
      </c>
      <c r="AA83" s="13" t="s">
        <v>9737</v>
      </c>
      <c r="AB83" s="13" t="s">
        <v>447</v>
      </c>
      <c r="AC83" s="21">
        <v>39379.369606481479</v>
      </c>
      <c r="AD83" s="21">
        <v>42550.736909722225</v>
      </c>
      <c r="AE83" s="13" t="s">
        <v>9629</v>
      </c>
      <c r="AF83" s="13" t="s">
        <v>9634</v>
      </c>
    </row>
    <row r="84" spans="1:32">
      <c r="A84" s="13" t="s">
        <v>9899</v>
      </c>
      <c r="B84" s="13" t="s">
        <v>1150</v>
      </c>
      <c r="C84" s="13" t="s">
        <v>1363</v>
      </c>
      <c r="D84" s="13" t="s">
        <v>1150</v>
      </c>
      <c r="E84" s="13" t="s">
        <v>1363</v>
      </c>
      <c r="F84" s="13" t="s">
        <v>447</v>
      </c>
      <c r="G84" s="13" t="s">
        <v>1363</v>
      </c>
      <c r="H84" s="13" t="s">
        <v>1381</v>
      </c>
      <c r="I84" s="13" t="s">
        <v>9900</v>
      </c>
      <c r="J84" s="13" t="s">
        <v>447</v>
      </c>
      <c r="K84" s="13" t="s">
        <v>1363</v>
      </c>
      <c r="L84" s="13" t="s">
        <v>447</v>
      </c>
      <c r="M84" s="13" t="s">
        <v>1363</v>
      </c>
      <c r="N84" s="13" t="s">
        <v>9626</v>
      </c>
      <c r="P84" s="15">
        <v>367</v>
      </c>
      <c r="Q84" s="15">
        <v>42550</v>
      </c>
      <c r="R84" s="13" t="s">
        <v>9740</v>
      </c>
      <c r="S84" s="13" t="s">
        <v>447</v>
      </c>
      <c r="T84" s="13" t="s">
        <v>9901</v>
      </c>
      <c r="U84" s="13" t="s">
        <v>9734</v>
      </c>
      <c r="V84" s="13" t="s">
        <v>9735</v>
      </c>
      <c r="W84" s="13" t="s">
        <v>9736</v>
      </c>
      <c r="X84" s="13" t="s">
        <v>9658</v>
      </c>
      <c r="Z84" s="13" t="s">
        <v>1363</v>
      </c>
      <c r="AA84" s="13" t="s">
        <v>9737</v>
      </c>
      <c r="AB84" s="13" t="s">
        <v>447</v>
      </c>
      <c r="AC84" s="21">
        <v>39379.369618055556</v>
      </c>
      <c r="AD84" s="21">
        <v>42550.736909722225</v>
      </c>
      <c r="AE84" s="13" t="s">
        <v>9629</v>
      </c>
      <c r="AF84" s="13" t="s">
        <v>9634</v>
      </c>
    </row>
    <row r="85" spans="1:32">
      <c r="A85" s="13" t="s">
        <v>9902</v>
      </c>
      <c r="B85" s="13" t="s">
        <v>1150</v>
      </c>
      <c r="C85" s="13" t="s">
        <v>1363</v>
      </c>
      <c r="D85" s="13" t="s">
        <v>1150</v>
      </c>
      <c r="E85" s="13" t="s">
        <v>1363</v>
      </c>
      <c r="F85" s="13" t="s">
        <v>447</v>
      </c>
      <c r="G85" s="13" t="s">
        <v>1363</v>
      </c>
      <c r="H85" s="13" t="s">
        <v>1415</v>
      </c>
      <c r="I85" s="13" t="s">
        <v>9903</v>
      </c>
      <c r="J85" s="13" t="s">
        <v>1363</v>
      </c>
      <c r="K85" s="13" t="s">
        <v>1363</v>
      </c>
      <c r="L85" s="13" t="s">
        <v>1363</v>
      </c>
      <c r="M85" s="13" t="s">
        <v>1363</v>
      </c>
      <c r="N85" s="13" t="s">
        <v>9626</v>
      </c>
      <c r="O85" s="13" t="s">
        <v>9904</v>
      </c>
      <c r="P85" s="15">
        <v>368</v>
      </c>
      <c r="R85" s="13" t="s">
        <v>9905</v>
      </c>
      <c r="S85" s="13" t="s">
        <v>1363</v>
      </c>
      <c r="X85" s="13" t="s">
        <v>9628</v>
      </c>
      <c r="Z85" s="13" t="s">
        <v>1363</v>
      </c>
      <c r="AB85" s="13" t="s">
        <v>447</v>
      </c>
      <c r="AC85" s="21">
        <v>38194.50476851852</v>
      </c>
      <c r="AD85" s="21">
        <v>39402.448680555557</v>
      </c>
      <c r="AE85" s="13" t="s">
        <v>9634</v>
      </c>
      <c r="AF85" s="13" t="s">
        <v>9634</v>
      </c>
    </row>
    <row r="86" spans="1:32">
      <c r="A86" s="13" t="s">
        <v>9906</v>
      </c>
      <c r="B86" s="13" t="s">
        <v>1150</v>
      </c>
      <c r="C86" s="13" t="s">
        <v>1363</v>
      </c>
      <c r="D86" s="13" t="s">
        <v>1150</v>
      </c>
      <c r="E86" s="13" t="s">
        <v>1363</v>
      </c>
      <c r="F86" s="13" t="s">
        <v>447</v>
      </c>
      <c r="G86" s="13" t="s">
        <v>1363</v>
      </c>
      <c r="H86" s="13" t="s">
        <v>1415</v>
      </c>
      <c r="I86" s="13" t="s">
        <v>9907</v>
      </c>
      <c r="J86" s="13" t="s">
        <v>1363</v>
      </c>
      <c r="K86" s="13" t="s">
        <v>1363</v>
      </c>
      <c r="L86" s="13" t="s">
        <v>1363</v>
      </c>
      <c r="M86" s="13" t="s">
        <v>1363</v>
      </c>
      <c r="N86" s="13" t="s">
        <v>9626</v>
      </c>
      <c r="O86" s="13" t="s">
        <v>9908</v>
      </c>
      <c r="P86" s="15">
        <v>368</v>
      </c>
      <c r="R86" s="13" t="s">
        <v>9909</v>
      </c>
      <c r="S86" s="13" t="s">
        <v>1363</v>
      </c>
      <c r="X86" s="13" t="s">
        <v>9628</v>
      </c>
      <c r="Z86" s="13" t="s">
        <v>1363</v>
      </c>
      <c r="AB86" s="13" t="s">
        <v>447</v>
      </c>
      <c r="AC86" s="21">
        <v>38194.522997685184</v>
      </c>
      <c r="AD86" s="21">
        <v>39402.448194444441</v>
      </c>
      <c r="AE86" s="13" t="s">
        <v>9634</v>
      </c>
      <c r="AF86" s="13" t="s">
        <v>9634</v>
      </c>
    </row>
    <row r="87" spans="1:32">
      <c r="A87" s="13" t="s">
        <v>9910</v>
      </c>
      <c r="B87" s="13" t="s">
        <v>1150</v>
      </c>
      <c r="C87" s="13" t="s">
        <v>1363</v>
      </c>
      <c r="D87" s="13" t="s">
        <v>1150</v>
      </c>
      <c r="E87" s="13" t="s">
        <v>1363</v>
      </c>
      <c r="F87" s="13" t="s">
        <v>447</v>
      </c>
      <c r="G87" s="13" t="s">
        <v>1363</v>
      </c>
      <c r="H87" s="13" t="s">
        <v>1381</v>
      </c>
      <c r="I87" s="13" t="s">
        <v>9911</v>
      </c>
      <c r="J87" s="13" t="s">
        <v>447</v>
      </c>
      <c r="K87" s="13" t="s">
        <v>1363</v>
      </c>
      <c r="L87" s="13" t="s">
        <v>447</v>
      </c>
      <c r="M87" s="13" t="s">
        <v>1363</v>
      </c>
      <c r="N87" s="13" t="s">
        <v>9626</v>
      </c>
      <c r="P87" s="15">
        <v>367</v>
      </c>
      <c r="Q87" s="15">
        <v>42550</v>
      </c>
      <c r="R87" s="13" t="s">
        <v>9740</v>
      </c>
      <c r="S87" s="13" t="s">
        <v>447</v>
      </c>
      <c r="T87" s="13" t="s">
        <v>9912</v>
      </c>
      <c r="U87" s="13" t="s">
        <v>9734</v>
      </c>
      <c r="V87" s="13" t="s">
        <v>9735</v>
      </c>
      <c r="W87" s="13" t="s">
        <v>9736</v>
      </c>
      <c r="X87" s="13" t="s">
        <v>9658</v>
      </c>
      <c r="Z87" s="13" t="s">
        <v>1363</v>
      </c>
      <c r="AA87" s="13" t="s">
        <v>9737</v>
      </c>
      <c r="AB87" s="13" t="s">
        <v>447</v>
      </c>
      <c r="AC87" s="21">
        <v>39379.369618055556</v>
      </c>
      <c r="AD87" s="21">
        <v>42550.736909722225</v>
      </c>
      <c r="AE87" s="13" t="s">
        <v>9629</v>
      </c>
      <c r="AF87" s="13" t="s">
        <v>9634</v>
      </c>
    </row>
    <row r="88" spans="1:32">
      <c r="A88" s="13" t="s">
        <v>9913</v>
      </c>
      <c r="B88" s="13" t="s">
        <v>1150</v>
      </c>
      <c r="C88" s="13" t="s">
        <v>1363</v>
      </c>
      <c r="D88" s="13" t="s">
        <v>1150</v>
      </c>
      <c r="E88" s="13" t="s">
        <v>1363</v>
      </c>
      <c r="F88" s="13" t="s">
        <v>447</v>
      </c>
      <c r="G88" s="13" t="s">
        <v>1363</v>
      </c>
      <c r="H88" s="13" t="s">
        <v>1381</v>
      </c>
      <c r="I88" s="13" t="s">
        <v>9914</v>
      </c>
      <c r="J88" s="13" t="s">
        <v>447</v>
      </c>
      <c r="K88" s="13" t="s">
        <v>1363</v>
      </c>
      <c r="L88" s="13" t="s">
        <v>447</v>
      </c>
      <c r="M88" s="13" t="s">
        <v>1363</v>
      </c>
      <c r="N88" s="13" t="s">
        <v>9626</v>
      </c>
      <c r="P88" s="15">
        <v>367</v>
      </c>
      <c r="Q88" s="15">
        <v>42550</v>
      </c>
      <c r="R88" s="13" t="s">
        <v>9740</v>
      </c>
      <c r="S88" s="13" t="s">
        <v>447</v>
      </c>
      <c r="T88" s="13" t="s">
        <v>9915</v>
      </c>
      <c r="U88" s="13" t="s">
        <v>9734</v>
      </c>
      <c r="V88" s="13" t="s">
        <v>9735</v>
      </c>
      <c r="W88" s="13" t="s">
        <v>9736</v>
      </c>
      <c r="X88" s="13" t="s">
        <v>9658</v>
      </c>
      <c r="Z88" s="13" t="s">
        <v>1363</v>
      </c>
      <c r="AA88" s="13" t="s">
        <v>9737</v>
      </c>
      <c r="AB88" s="13" t="s">
        <v>447</v>
      </c>
      <c r="AC88" s="21">
        <v>39379.369618055556</v>
      </c>
      <c r="AD88" s="21">
        <v>42550.736909722225</v>
      </c>
      <c r="AE88" s="13" t="s">
        <v>9629</v>
      </c>
      <c r="AF88" s="13" t="s">
        <v>9634</v>
      </c>
    </row>
    <row r="89" spans="1:32">
      <c r="A89" s="13" t="s">
        <v>9916</v>
      </c>
      <c r="B89" s="13" t="s">
        <v>1150</v>
      </c>
      <c r="C89" s="13" t="s">
        <v>1363</v>
      </c>
      <c r="D89" s="13" t="s">
        <v>1150</v>
      </c>
      <c r="E89" s="13" t="s">
        <v>1363</v>
      </c>
      <c r="F89" s="13" t="s">
        <v>447</v>
      </c>
      <c r="G89" s="13" t="s">
        <v>1363</v>
      </c>
      <c r="H89" s="13" t="s">
        <v>1381</v>
      </c>
      <c r="I89" s="13" t="s">
        <v>9917</v>
      </c>
      <c r="J89" s="13" t="s">
        <v>447</v>
      </c>
      <c r="K89" s="13" t="s">
        <v>1363</v>
      </c>
      <c r="L89" s="13" t="s">
        <v>447</v>
      </c>
      <c r="M89" s="13" t="s">
        <v>1363</v>
      </c>
      <c r="N89" s="13" t="s">
        <v>9626</v>
      </c>
      <c r="P89" s="15">
        <v>367</v>
      </c>
      <c r="Q89" s="15">
        <v>42550</v>
      </c>
      <c r="R89" s="13" t="s">
        <v>9740</v>
      </c>
      <c r="S89" s="13" t="s">
        <v>447</v>
      </c>
      <c r="T89" s="13" t="s">
        <v>9918</v>
      </c>
      <c r="U89" s="13" t="s">
        <v>9734</v>
      </c>
      <c r="V89" s="13" t="s">
        <v>9735</v>
      </c>
      <c r="W89" s="13" t="s">
        <v>9736</v>
      </c>
      <c r="X89" s="13" t="s">
        <v>9658</v>
      </c>
      <c r="Z89" s="13" t="s">
        <v>1363</v>
      </c>
      <c r="AA89" s="13" t="s">
        <v>9737</v>
      </c>
      <c r="AB89" s="13" t="s">
        <v>447</v>
      </c>
      <c r="AC89" s="21">
        <v>39379.369629629633</v>
      </c>
      <c r="AD89" s="21">
        <v>42550.736909722225</v>
      </c>
      <c r="AE89" s="13" t="s">
        <v>9629</v>
      </c>
      <c r="AF89" s="13" t="s">
        <v>9634</v>
      </c>
    </row>
    <row r="90" spans="1:32">
      <c r="A90" s="13" t="s">
        <v>9919</v>
      </c>
      <c r="B90" s="13" t="s">
        <v>1150</v>
      </c>
      <c r="C90" s="13" t="s">
        <v>1363</v>
      </c>
      <c r="D90" s="13" t="s">
        <v>1150</v>
      </c>
      <c r="E90" s="13" t="s">
        <v>1363</v>
      </c>
      <c r="F90" s="13" t="s">
        <v>447</v>
      </c>
      <c r="G90" s="13" t="s">
        <v>1363</v>
      </c>
      <c r="H90" s="13" t="s">
        <v>1381</v>
      </c>
      <c r="I90" s="13" t="s">
        <v>9920</v>
      </c>
      <c r="J90" s="13" t="s">
        <v>447</v>
      </c>
      <c r="K90" s="13" t="s">
        <v>1363</v>
      </c>
      <c r="L90" s="13" t="s">
        <v>447</v>
      </c>
      <c r="M90" s="13" t="s">
        <v>1363</v>
      </c>
      <c r="N90" s="13" t="s">
        <v>9626</v>
      </c>
      <c r="P90" s="15">
        <v>367</v>
      </c>
      <c r="Q90" s="15">
        <v>42550</v>
      </c>
      <c r="R90" s="13" t="s">
        <v>9740</v>
      </c>
      <c r="S90" s="13" t="s">
        <v>447</v>
      </c>
      <c r="T90" s="13" t="s">
        <v>9921</v>
      </c>
      <c r="U90" s="13" t="s">
        <v>9734</v>
      </c>
      <c r="V90" s="13" t="s">
        <v>9735</v>
      </c>
      <c r="W90" s="13" t="s">
        <v>9736</v>
      </c>
      <c r="X90" s="13" t="s">
        <v>9658</v>
      </c>
      <c r="Z90" s="13" t="s">
        <v>1363</v>
      </c>
      <c r="AA90" s="13" t="s">
        <v>9737</v>
      </c>
      <c r="AB90" s="13" t="s">
        <v>447</v>
      </c>
      <c r="AC90" s="21">
        <v>39379.369629629633</v>
      </c>
      <c r="AD90" s="21">
        <v>42550.736909722225</v>
      </c>
      <c r="AE90" s="13" t="s">
        <v>9629</v>
      </c>
      <c r="AF90" s="13" t="s">
        <v>9634</v>
      </c>
    </row>
    <row r="91" spans="1:32">
      <c r="A91" s="13" t="s">
        <v>9922</v>
      </c>
      <c r="B91" s="13" t="s">
        <v>1150</v>
      </c>
      <c r="C91" s="13" t="s">
        <v>1363</v>
      </c>
      <c r="D91" s="13" t="s">
        <v>1150</v>
      </c>
      <c r="E91" s="13" t="s">
        <v>1363</v>
      </c>
      <c r="F91" s="13" t="s">
        <v>447</v>
      </c>
      <c r="G91" s="13" t="s">
        <v>1363</v>
      </c>
      <c r="H91" s="13" t="s">
        <v>1381</v>
      </c>
      <c r="I91" s="13" t="s">
        <v>9923</v>
      </c>
      <c r="J91" s="13" t="s">
        <v>447</v>
      </c>
      <c r="K91" s="13" t="s">
        <v>1363</v>
      </c>
      <c r="L91" s="13" t="s">
        <v>447</v>
      </c>
      <c r="M91" s="13" t="s">
        <v>1363</v>
      </c>
      <c r="N91" s="13" t="s">
        <v>9626</v>
      </c>
      <c r="P91" s="15">
        <v>367</v>
      </c>
      <c r="Q91" s="15">
        <v>42550</v>
      </c>
      <c r="R91" s="13" t="s">
        <v>9740</v>
      </c>
      <c r="S91" s="13" t="s">
        <v>447</v>
      </c>
      <c r="T91" s="13" t="s">
        <v>9924</v>
      </c>
      <c r="U91" s="13" t="s">
        <v>9734</v>
      </c>
      <c r="V91" s="13" t="s">
        <v>9735</v>
      </c>
      <c r="W91" s="13" t="s">
        <v>9736</v>
      </c>
      <c r="X91" s="13" t="s">
        <v>9658</v>
      </c>
      <c r="Z91" s="13" t="s">
        <v>1363</v>
      </c>
      <c r="AA91" s="13" t="s">
        <v>9737</v>
      </c>
      <c r="AB91" s="13" t="s">
        <v>447</v>
      </c>
      <c r="AC91" s="21">
        <v>39379.369629629633</v>
      </c>
      <c r="AD91" s="21">
        <v>42550.736921296295</v>
      </c>
      <c r="AE91" s="13" t="s">
        <v>9629</v>
      </c>
      <c r="AF91" s="13" t="s">
        <v>9634</v>
      </c>
    </row>
    <row r="92" spans="1:32">
      <c r="A92" s="13" t="s">
        <v>9925</v>
      </c>
      <c r="B92" s="13" t="s">
        <v>1150</v>
      </c>
      <c r="C92" s="13" t="s">
        <v>1363</v>
      </c>
      <c r="D92" s="13" t="s">
        <v>1150</v>
      </c>
      <c r="E92" s="13" t="s">
        <v>1363</v>
      </c>
      <c r="F92" s="13" t="s">
        <v>447</v>
      </c>
      <c r="G92" s="13" t="s">
        <v>1363</v>
      </c>
      <c r="H92" s="13" t="s">
        <v>1381</v>
      </c>
      <c r="I92" s="13" t="s">
        <v>9926</v>
      </c>
      <c r="J92" s="13" t="s">
        <v>447</v>
      </c>
      <c r="K92" s="13" t="s">
        <v>1363</v>
      </c>
      <c r="L92" s="13" t="s">
        <v>447</v>
      </c>
      <c r="M92" s="13" t="s">
        <v>1363</v>
      </c>
      <c r="N92" s="13" t="s">
        <v>9626</v>
      </c>
      <c r="P92" s="15">
        <v>367</v>
      </c>
      <c r="Q92" s="15">
        <v>42550</v>
      </c>
      <c r="R92" s="13" t="s">
        <v>9740</v>
      </c>
      <c r="S92" s="13" t="s">
        <v>447</v>
      </c>
      <c r="T92" s="13" t="s">
        <v>9927</v>
      </c>
      <c r="U92" s="13" t="s">
        <v>9734</v>
      </c>
      <c r="V92" s="13" t="s">
        <v>9735</v>
      </c>
      <c r="W92" s="13" t="s">
        <v>9736</v>
      </c>
      <c r="X92" s="13" t="s">
        <v>9658</v>
      </c>
      <c r="Z92" s="13" t="s">
        <v>1363</v>
      </c>
      <c r="AA92" s="13" t="s">
        <v>9737</v>
      </c>
      <c r="AB92" s="13" t="s">
        <v>447</v>
      </c>
      <c r="AC92" s="21">
        <v>39379.369641203702</v>
      </c>
      <c r="AD92" s="21">
        <v>42550.736921296295</v>
      </c>
      <c r="AE92" s="13" t="s">
        <v>9629</v>
      </c>
      <c r="AF92" s="13" t="s">
        <v>9634</v>
      </c>
    </row>
    <row r="93" spans="1:32">
      <c r="A93" s="13" t="s">
        <v>9928</v>
      </c>
      <c r="B93" s="13" t="s">
        <v>1150</v>
      </c>
      <c r="C93" s="13" t="s">
        <v>1363</v>
      </c>
      <c r="D93" s="13" t="s">
        <v>1150</v>
      </c>
      <c r="E93" s="13" t="s">
        <v>1363</v>
      </c>
      <c r="F93" s="13" t="s">
        <v>447</v>
      </c>
      <c r="G93" s="13" t="s">
        <v>1363</v>
      </c>
      <c r="H93" s="13" t="s">
        <v>1381</v>
      </c>
      <c r="I93" s="13" t="s">
        <v>9929</v>
      </c>
      <c r="J93" s="13" t="s">
        <v>447</v>
      </c>
      <c r="K93" s="13" t="s">
        <v>1363</v>
      </c>
      <c r="L93" s="13" t="s">
        <v>447</v>
      </c>
      <c r="M93" s="13" t="s">
        <v>1363</v>
      </c>
      <c r="N93" s="13" t="s">
        <v>9626</v>
      </c>
      <c r="P93" s="15">
        <v>367</v>
      </c>
      <c r="Q93" s="15">
        <v>42550</v>
      </c>
      <c r="R93" s="13" t="s">
        <v>9740</v>
      </c>
      <c r="S93" s="13" t="s">
        <v>447</v>
      </c>
      <c r="T93" s="13" t="s">
        <v>9930</v>
      </c>
      <c r="U93" s="13" t="s">
        <v>9734</v>
      </c>
      <c r="V93" s="13" t="s">
        <v>9735</v>
      </c>
      <c r="W93" s="13" t="s">
        <v>9736</v>
      </c>
      <c r="X93" s="13" t="s">
        <v>9658</v>
      </c>
      <c r="Z93" s="13" t="s">
        <v>1363</v>
      </c>
      <c r="AA93" s="13" t="s">
        <v>9737</v>
      </c>
      <c r="AB93" s="13" t="s">
        <v>447</v>
      </c>
      <c r="AC93" s="21">
        <v>39379.369641203702</v>
      </c>
      <c r="AD93" s="21">
        <v>42550.736921296295</v>
      </c>
      <c r="AE93" s="13" t="s">
        <v>9629</v>
      </c>
      <c r="AF93" s="13" t="s">
        <v>9634</v>
      </c>
    </row>
    <row r="94" spans="1:32">
      <c r="A94" s="13" t="s">
        <v>9931</v>
      </c>
      <c r="B94" s="13" t="s">
        <v>1150</v>
      </c>
      <c r="C94" s="13" t="s">
        <v>1363</v>
      </c>
      <c r="D94" s="13" t="s">
        <v>1150</v>
      </c>
      <c r="E94" s="13" t="s">
        <v>1363</v>
      </c>
      <c r="F94" s="13" t="s">
        <v>447</v>
      </c>
      <c r="G94" s="13" t="s">
        <v>1363</v>
      </c>
      <c r="H94" s="13" t="s">
        <v>1381</v>
      </c>
      <c r="I94" s="13" t="s">
        <v>9932</v>
      </c>
      <c r="J94" s="13" t="s">
        <v>447</v>
      </c>
      <c r="K94" s="13" t="s">
        <v>1363</v>
      </c>
      <c r="L94" s="13" t="s">
        <v>447</v>
      </c>
      <c r="M94" s="13" t="s">
        <v>1363</v>
      </c>
      <c r="N94" s="13" t="s">
        <v>9626</v>
      </c>
      <c r="P94" s="15">
        <v>367</v>
      </c>
      <c r="Q94" s="15">
        <v>42550</v>
      </c>
      <c r="R94" s="13" t="s">
        <v>9740</v>
      </c>
      <c r="S94" s="13" t="s">
        <v>447</v>
      </c>
      <c r="T94" s="13" t="s">
        <v>9933</v>
      </c>
      <c r="U94" s="13" t="s">
        <v>9734</v>
      </c>
      <c r="V94" s="13" t="s">
        <v>9735</v>
      </c>
      <c r="W94" s="13" t="s">
        <v>9736</v>
      </c>
      <c r="X94" s="13" t="s">
        <v>9658</v>
      </c>
      <c r="Z94" s="13" t="s">
        <v>1363</v>
      </c>
      <c r="AA94" s="13" t="s">
        <v>9737</v>
      </c>
      <c r="AB94" s="13" t="s">
        <v>447</v>
      </c>
      <c r="AC94" s="21">
        <v>39379.369641203702</v>
      </c>
      <c r="AD94" s="21">
        <v>42550.736921296295</v>
      </c>
      <c r="AE94" s="13" t="s">
        <v>9629</v>
      </c>
      <c r="AF94" s="13" t="s">
        <v>9634</v>
      </c>
    </row>
    <row r="95" spans="1:32">
      <c r="A95" s="13" t="s">
        <v>9934</v>
      </c>
      <c r="B95" s="13" t="s">
        <v>1150</v>
      </c>
      <c r="C95" s="13" t="s">
        <v>1363</v>
      </c>
      <c r="D95" s="13" t="s">
        <v>1150</v>
      </c>
      <c r="E95" s="13" t="s">
        <v>1363</v>
      </c>
      <c r="F95" s="13" t="s">
        <v>447</v>
      </c>
      <c r="G95" s="13" t="s">
        <v>1363</v>
      </c>
      <c r="H95" s="13" t="s">
        <v>1381</v>
      </c>
      <c r="I95" s="13" t="s">
        <v>9935</v>
      </c>
      <c r="J95" s="13" t="s">
        <v>447</v>
      </c>
      <c r="K95" s="13" t="s">
        <v>1363</v>
      </c>
      <c r="L95" s="13" t="s">
        <v>447</v>
      </c>
      <c r="M95" s="13" t="s">
        <v>1363</v>
      </c>
      <c r="N95" s="13" t="s">
        <v>9626</v>
      </c>
      <c r="P95" s="15">
        <v>367</v>
      </c>
      <c r="Q95" s="15">
        <v>42550</v>
      </c>
      <c r="R95" s="13" t="s">
        <v>9740</v>
      </c>
      <c r="S95" s="13" t="s">
        <v>447</v>
      </c>
      <c r="T95" s="13" t="s">
        <v>9936</v>
      </c>
      <c r="U95" s="13" t="s">
        <v>9734</v>
      </c>
      <c r="V95" s="13" t="s">
        <v>9735</v>
      </c>
      <c r="W95" s="13" t="s">
        <v>9736</v>
      </c>
      <c r="X95" s="13" t="s">
        <v>9658</v>
      </c>
      <c r="Z95" s="13" t="s">
        <v>1363</v>
      </c>
      <c r="AA95" s="13" t="s">
        <v>9737</v>
      </c>
      <c r="AB95" s="13" t="s">
        <v>447</v>
      </c>
      <c r="AC95" s="21">
        <v>39379.369652777779</v>
      </c>
      <c r="AD95" s="21">
        <v>42550.736921296295</v>
      </c>
      <c r="AE95" s="13" t="s">
        <v>9629</v>
      </c>
      <c r="AF95" s="13" t="s">
        <v>9634</v>
      </c>
    </row>
    <row r="96" spans="1:32">
      <c r="A96" s="13" t="s">
        <v>9937</v>
      </c>
      <c r="B96" s="13" t="s">
        <v>1150</v>
      </c>
      <c r="C96" s="13" t="s">
        <v>1363</v>
      </c>
      <c r="D96" s="13" t="s">
        <v>1150</v>
      </c>
      <c r="E96" s="13" t="s">
        <v>1363</v>
      </c>
      <c r="F96" s="13" t="s">
        <v>447</v>
      </c>
      <c r="G96" s="13" t="s">
        <v>1363</v>
      </c>
      <c r="H96" s="13" t="s">
        <v>1381</v>
      </c>
      <c r="I96" s="13" t="s">
        <v>9938</v>
      </c>
      <c r="J96" s="13" t="s">
        <v>447</v>
      </c>
      <c r="K96" s="13" t="s">
        <v>1363</v>
      </c>
      <c r="L96" s="13" t="s">
        <v>447</v>
      </c>
      <c r="M96" s="13" t="s">
        <v>1363</v>
      </c>
      <c r="N96" s="13" t="s">
        <v>9626</v>
      </c>
      <c r="P96" s="15">
        <v>367</v>
      </c>
      <c r="Q96" s="15">
        <v>42550</v>
      </c>
      <c r="R96" s="13" t="s">
        <v>9740</v>
      </c>
      <c r="S96" s="13" t="s">
        <v>447</v>
      </c>
      <c r="T96" s="13" t="s">
        <v>9939</v>
      </c>
      <c r="U96" s="13" t="s">
        <v>9734</v>
      </c>
      <c r="V96" s="13" t="s">
        <v>9735</v>
      </c>
      <c r="W96" s="13" t="s">
        <v>9736</v>
      </c>
      <c r="X96" s="13" t="s">
        <v>9658</v>
      </c>
      <c r="Z96" s="13" t="s">
        <v>1363</v>
      </c>
      <c r="AA96" s="13" t="s">
        <v>9737</v>
      </c>
      <c r="AB96" s="13" t="s">
        <v>447</v>
      </c>
      <c r="AC96" s="21">
        <v>39379.369652777779</v>
      </c>
      <c r="AD96" s="21">
        <v>42550.736921296295</v>
      </c>
      <c r="AE96" s="13" t="s">
        <v>9629</v>
      </c>
      <c r="AF96" s="13" t="s">
        <v>9634</v>
      </c>
    </row>
    <row r="97" spans="1:32">
      <c r="A97" s="13" t="s">
        <v>9940</v>
      </c>
      <c r="B97" s="13" t="s">
        <v>1150</v>
      </c>
      <c r="C97" s="13" t="s">
        <v>1363</v>
      </c>
      <c r="D97" s="13" t="s">
        <v>1150</v>
      </c>
      <c r="E97" s="13" t="s">
        <v>1363</v>
      </c>
      <c r="F97" s="13" t="s">
        <v>447</v>
      </c>
      <c r="G97" s="13" t="s">
        <v>1363</v>
      </c>
      <c r="H97" s="13" t="s">
        <v>1381</v>
      </c>
      <c r="I97" s="13" t="s">
        <v>9941</v>
      </c>
      <c r="J97" s="13" t="s">
        <v>447</v>
      </c>
      <c r="K97" s="13" t="s">
        <v>1363</v>
      </c>
      <c r="L97" s="13" t="s">
        <v>447</v>
      </c>
      <c r="M97" s="13" t="s">
        <v>1363</v>
      </c>
      <c r="N97" s="13" t="s">
        <v>9626</v>
      </c>
      <c r="P97" s="15">
        <v>367</v>
      </c>
      <c r="Q97" s="15">
        <v>42550</v>
      </c>
      <c r="R97" s="13" t="s">
        <v>9740</v>
      </c>
      <c r="S97" s="13" t="s">
        <v>447</v>
      </c>
      <c r="T97" s="13" t="s">
        <v>9942</v>
      </c>
      <c r="U97" s="13" t="s">
        <v>9734</v>
      </c>
      <c r="V97" s="13" t="s">
        <v>9735</v>
      </c>
      <c r="W97" s="13" t="s">
        <v>9736</v>
      </c>
      <c r="X97" s="13" t="s">
        <v>9658</v>
      </c>
      <c r="Z97" s="13" t="s">
        <v>1363</v>
      </c>
      <c r="AA97" s="13" t="s">
        <v>9737</v>
      </c>
      <c r="AB97" s="13" t="s">
        <v>447</v>
      </c>
      <c r="AC97" s="21">
        <v>39379.369652777779</v>
      </c>
      <c r="AD97" s="21">
        <v>42550.736921296295</v>
      </c>
      <c r="AE97" s="13" t="s">
        <v>9629</v>
      </c>
      <c r="AF97" s="13" t="s">
        <v>9634</v>
      </c>
    </row>
    <row r="98" spans="1:32">
      <c r="A98" s="13" t="s">
        <v>9943</v>
      </c>
      <c r="B98" s="13" t="s">
        <v>1150</v>
      </c>
      <c r="C98" s="13" t="s">
        <v>1363</v>
      </c>
      <c r="D98" s="13" t="s">
        <v>1150</v>
      </c>
      <c r="E98" s="13" t="s">
        <v>1363</v>
      </c>
      <c r="F98" s="13" t="s">
        <v>447</v>
      </c>
      <c r="G98" s="13" t="s">
        <v>1363</v>
      </c>
      <c r="H98" s="13" t="s">
        <v>1381</v>
      </c>
      <c r="I98" s="13" t="s">
        <v>9944</v>
      </c>
      <c r="J98" s="13" t="s">
        <v>447</v>
      </c>
      <c r="K98" s="13" t="s">
        <v>1363</v>
      </c>
      <c r="L98" s="13" t="s">
        <v>447</v>
      </c>
      <c r="M98" s="13" t="s">
        <v>1363</v>
      </c>
      <c r="N98" s="13" t="s">
        <v>9626</v>
      </c>
      <c r="P98" s="15">
        <v>367</v>
      </c>
      <c r="Q98" s="15">
        <v>42550</v>
      </c>
      <c r="R98" s="13" t="s">
        <v>9740</v>
      </c>
      <c r="S98" s="13" t="s">
        <v>447</v>
      </c>
      <c r="T98" s="13" t="s">
        <v>9945</v>
      </c>
      <c r="U98" s="13" t="s">
        <v>9734</v>
      </c>
      <c r="V98" s="13" t="s">
        <v>9735</v>
      </c>
      <c r="W98" s="13" t="s">
        <v>9736</v>
      </c>
      <c r="X98" s="13" t="s">
        <v>9658</v>
      </c>
      <c r="Z98" s="13" t="s">
        <v>1363</v>
      </c>
      <c r="AA98" s="13" t="s">
        <v>9737</v>
      </c>
      <c r="AB98" s="13" t="s">
        <v>447</v>
      </c>
      <c r="AC98" s="21">
        <v>39379.369652777779</v>
      </c>
      <c r="AD98" s="21">
        <v>42550.736921296295</v>
      </c>
      <c r="AE98" s="13" t="s">
        <v>9629</v>
      </c>
      <c r="AF98" s="13" t="s">
        <v>9634</v>
      </c>
    </row>
    <row r="99" spans="1:32">
      <c r="A99" s="13" t="s">
        <v>9946</v>
      </c>
      <c r="B99" s="13" t="s">
        <v>1150</v>
      </c>
      <c r="C99" s="13" t="s">
        <v>1363</v>
      </c>
      <c r="D99" s="13" t="s">
        <v>1150</v>
      </c>
      <c r="E99" s="13" t="s">
        <v>1363</v>
      </c>
      <c r="F99" s="13" t="s">
        <v>447</v>
      </c>
      <c r="G99" s="13" t="s">
        <v>1363</v>
      </c>
      <c r="H99" s="13" t="s">
        <v>1381</v>
      </c>
      <c r="I99" s="13" t="s">
        <v>9947</v>
      </c>
      <c r="J99" s="13" t="s">
        <v>447</v>
      </c>
      <c r="K99" s="13" t="s">
        <v>1363</v>
      </c>
      <c r="L99" s="13" t="s">
        <v>447</v>
      </c>
      <c r="M99" s="13" t="s">
        <v>1363</v>
      </c>
      <c r="N99" s="13" t="s">
        <v>9626</v>
      </c>
      <c r="P99" s="15">
        <v>367</v>
      </c>
      <c r="Q99" s="15">
        <v>42550</v>
      </c>
      <c r="R99" s="13" t="s">
        <v>9740</v>
      </c>
      <c r="S99" s="13" t="s">
        <v>447</v>
      </c>
      <c r="T99" s="13" t="s">
        <v>9948</v>
      </c>
      <c r="U99" s="13" t="s">
        <v>9734</v>
      </c>
      <c r="V99" s="13" t="s">
        <v>9735</v>
      </c>
      <c r="W99" s="13" t="s">
        <v>9736</v>
      </c>
      <c r="X99" s="13" t="s">
        <v>9658</v>
      </c>
      <c r="Z99" s="13" t="s">
        <v>1363</v>
      </c>
      <c r="AA99" s="13" t="s">
        <v>9737</v>
      </c>
      <c r="AB99" s="13" t="s">
        <v>447</v>
      </c>
      <c r="AC99" s="21">
        <v>39379.369664351849</v>
      </c>
      <c r="AD99" s="21">
        <v>42550.736932870372</v>
      </c>
      <c r="AE99" s="13" t="s">
        <v>9629</v>
      </c>
      <c r="AF99" s="13" t="s">
        <v>9634</v>
      </c>
    </row>
    <row r="100" spans="1:32">
      <c r="A100" s="13" t="s">
        <v>9949</v>
      </c>
      <c r="B100" s="13" t="s">
        <v>1150</v>
      </c>
      <c r="C100" s="13" t="s">
        <v>1363</v>
      </c>
      <c r="D100" s="13" t="s">
        <v>1150</v>
      </c>
      <c r="E100" s="13" t="s">
        <v>1363</v>
      </c>
      <c r="F100" s="13" t="s">
        <v>447</v>
      </c>
      <c r="G100" s="13" t="s">
        <v>1363</v>
      </c>
      <c r="H100" s="13" t="s">
        <v>1381</v>
      </c>
      <c r="I100" s="13" t="s">
        <v>9950</v>
      </c>
      <c r="J100" s="13" t="s">
        <v>447</v>
      </c>
      <c r="K100" s="13" t="s">
        <v>1363</v>
      </c>
      <c r="L100" s="13" t="s">
        <v>447</v>
      </c>
      <c r="M100" s="13" t="s">
        <v>1363</v>
      </c>
      <c r="N100" s="13" t="s">
        <v>9626</v>
      </c>
      <c r="P100" s="15">
        <v>367</v>
      </c>
      <c r="Q100" s="15">
        <v>42550</v>
      </c>
      <c r="R100" s="13" t="s">
        <v>9740</v>
      </c>
      <c r="S100" s="13" t="s">
        <v>447</v>
      </c>
      <c r="T100" s="13" t="s">
        <v>9951</v>
      </c>
      <c r="U100" s="13" t="s">
        <v>9734</v>
      </c>
      <c r="V100" s="13" t="s">
        <v>9735</v>
      </c>
      <c r="W100" s="13" t="s">
        <v>9736</v>
      </c>
      <c r="X100" s="13" t="s">
        <v>9658</v>
      </c>
      <c r="Z100" s="13" t="s">
        <v>1363</v>
      </c>
      <c r="AA100" s="13" t="s">
        <v>9737</v>
      </c>
      <c r="AB100" s="13" t="s">
        <v>447</v>
      </c>
      <c r="AC100" s="21">
        <v>39379.369664351849</v>
      </c>
      <c r="AD100" s="21">
        <v>42550.736932870372</v>
      </c>
      <c r="AE100" s="13" t="s">
        <v>9629</v>
      </c>
      <c r="AF100" s="13" t="s">
        <v>9634</v>
      </c>
    </row>
    <row r="101" spans="1:32">
      <c r="A101" s="13" t="s">
        <v>9952</v>
      </c>
      <c r="B101" s="13" t="s">
        <v>1150</v>
      </c>
      <c r="C101" s="13" t="s">
        <v>1363</v>
      </c>
      <c r="D101" s="13" t="s">
        <v>1150</v>
      </c>
      <c r="E101" s="13" t="s">
        <v>1363</v>
      </c>
      <c r="F101" s="13" t="s">
        <v>447</v>
      </c>
      <c r="G101" s="13" t="s">
        <v>1363</v>
      </c>
      <c r="H101" s="13" t="s">
        <v>1381</v>
      </c>
      <c r="I101" s="13" t="s">
        <v>9953</v>
      </c>
      <c r="J101" s="13" t="s">
        <v>447</v>
      </c>
      <c r="K101" s="13" t="s">
        <v>1363</v>
      </c>
      <c r="L101" s="13" t="s">
        <v>447</v>
      </c>
      <c r="M101" s="13" t="s">
        <v>1363</v>
      </c>
      <c r="N101" s="13" t="s">
        <v>9626</v>
      </c>
      <c r="P101" s="15">
        <v>367</v>
      </c>
      <c r="Q101" s="15">
        <v>42550</v>
      </c>
      <c r="R101" s="13" t="s">
        <v>9740</v>
      </c>
      <c r="S101" s="13" t="s">
        <v>447</v>
      </c>
      <c r="T101" s="13" t="s">
        <v>9954</v>
      </c>
      <c r="U101" s="13" t="s">
        <v>9734</v>
      </c>
      <c r="V101" s="13" t="s">
        <v>9735</v>
      </c>
      <c r="W101" s="13" t="s">
        <v>9736</v>
      </c>
      <c r="X101" s="13" t="s">
        <v>9658</v>
      </c>
      <c r="Z101" s="13" t="s">
        <v>1363</v>
      </c>
      <c r="AA101" s="13" t="s">
        <v>9737</v>
      </c>
      <c r="AB101" s="13" t="s">
        <v>447</v>
      </c>
      <c r="AC101" s="21">
        <v>39379.369664351849</v>
      </c>
      <c r="AD101" s="21">
        <v>42550.736932870372</v>
      </c>
      <c r="AE101" s="13" t="s">
        <v>9629</v>
      </c>
      <c r="AF101" s="13" t="s">
        <v>9634</v>
      </c>
    </row>
    <row r="102" spans="1:32">
      <c r="A102" s="13" t="s">
        <v>9955</v>
      </c>
      <c r="B102" s="13" t="s">
        <v>1150</v>
      </c>
      <c r="C102" s="13" t="s">
        <v>1363</v>
      </c>
      <c r="D102" s="13" t="s">
        <v>1150</v>
      </c>
      <c r="E102" s="13" t="s">
        <v>1363</v>
      </c>
      <c r="F102" s="13" t="s">
        <v>447</v>
      </c>
      <c r="G102" s="13" t="s">
        <v>1363</v>
      </c>
      <c r="H102" s="13" t="s">
        <v>1381</v>
      </c>
      <c r="I102" s="13" t="s">
        <v>9956</v>
      </c>
      <c r="J102" s="13" t="s">
        <v>447</v>
      </c>
      <c r="K102" s="13" t="s">
        <v>1363</v>
      </c>
      <c r="L102" s="13" t="s">
        <v>447</v>
      </c>
      <c r="M102" s="13" t="s">
        <v>1363</v>
      </c>
      <c r="N102" s="13" t="s">
        <v>9626</v>
      </c>
      <c r="P102" s="15">
        <v>367</v>
      </c>
      <c r="Q102" s="15">
        <v>42550</v>
      </c>
      <c r="R102" s="13" t="s">
        <v>9740</v>
      </c>
      <c r="S102" s="13" t="s">
        <v>447</v>
      </c>
      <c r="T102" s="13" t="s">
        <v>9957</v>
      </c>
      <c r="U102" s="13" t="s">
        <v>9734</v>
      </c>
      <c r="V102" s="13" t="s">
        <v>9735</v>
      </c>
      <c r="W102" s="13" t="s">
        <v>9736</v>
      </c>
      <c r="X102" s="13" t="s">
        <v>9658</v>
      </c>
      <c r="Z102" s="13" t="s">
        <v>1363</v>
      </c>
      <c r="AA102" s="13" t="s">
        <v>9737</v>
      </c>
      <c r="AB102" s="13" t="s">
        <v>447</v>
      </c>
      <c r="AC102" s="21">
        <v>39379.369675925926</v>
      </c>
      <c r="AD102" s="21">
        <v>42550.736932870372</v>
      </c>
      <c r="AE102" s="13" t="s">
        <v>9629</v>
      </c>
      <c r="AF102" s="13" t="s">
        <v>9634</v>
      </c>
    </row>
    <row r="103" spans="1:32">
      <c r="A103" s="13" t="s">
        <v>9958</v>
      </c>
      <c r="B103" s="13" t="s">
        <v>1150</v>
      </c>
      <c r="C103" s="13" t="s">
        <v>1363</v>
      </c>
      <c r="D103" s="13" t="s">
        <v>1150</v>
      </c>
      <c r="E103" s="13" t="s">
        <v>1363</v>
      </c>
      <c r="F103" s="13" t="s">
        <v>447</v>
      </c>
      <c r="G103" s="13" t="s">
        <v>1363</v>
      </c>
      <c r="H103" s="13" t="s">
        <v>1381</v>
      </c>
      <c r="I103" s="13" t="s">
        <v>9959</v>
      </c>
      <c r="J103" s="13" t="s">
        <v>447</v>
      </c>
      <c r="K103" s="13" t="s">
        <v>1363</v>
      </c>
      <c r="L103" s="13" t="s">
        <v>447</v>
      </c>
      <c r="M103" s="13" t="s">
        <v>1363</v>
      </c>
      <c r="N103" s="13" t="s">
        <v>9626</v>
      </c>
      <c r="P103" s="15">
        <v>367</v>
      </c>
      <c r="Q103" s="15">
        <v>42550</v>
      </c>
      <c r="R103" s="13" t="s">
        <v>9740</v>
      </c>
      <c r="S103" s="13" t="s">
        <v>447</v>
      </c>
      <c r="T103" s="13" t="s">
        <v>9960</v>
      </c>
      <c r="U103" s="13" t="s">
        <v>9734</v>
      </c>
      <c r="V103" s="13" t="s">
        <v>9735</v>
      </c>
      <c r="W103" s="13" t="s">
        <v>9736</v>
      </c>
      <c r="X103" s="13" t="s">
        <v>9658</v>
      </c>
      <c r="Z103" s="13" t="s">
        <v>1363</v>
      </c>
      <c r="AA103" s="13" t="s">
        <v>9737</v>
      </c>
      <c r="AB103" s="13" t="s">
        <v>447</v>
      </c>
      <c r="AC103" s="21">
        <v>39379.369675925926</v>
      </c>
      <c r="AD103" s="21">
        <v>42550.736932870372</v>
      </c>
      <c r="AE103" s="13" t="s">
        <v>9629</v>
      </c>
      <c r="AF103" s="13" t="s">
        <v>9634</v>
      </c>
    </row>
    <row r="104" spans="1:32">
      <c r="A104" s="13" t="s">
        <v>9961</v>
      </c>
      <c r="B104" s="13" t="s">
        <v>1150</v>
      </c>
      <c r="C104" s="13" t="s">
        <v>1363</v>
      </c>
      <c r="D104" s="13" t="s">
        <v>1150</v>
      </c>
      <c r="E104" s="13" t="s">
        <v>1363</v>
      </c>
      <c r="F104" s="13" t="s">
        <v>447</v>
      </c>
      <c r="G104" s="13" t="s">
        <v>1363</v>
      </c>
      <c r="H104" s="13" t="s">
        <v>1381</v>
      </c>
      <c r="I104" s="13" t="s">
        <v>9962</v>
      </c>
      <c r="J104" s="13" t="s">
        <v>447</v>
      </c>
      <c r="K104" s="13" t="s">
        <v>1363</v>
      </c>
      <c r="L104" s="13" t="s">
        <v>447</v>
      </c>
      <c r="M104" s="13" t="s">
        <v>1363</v>
      </c>
      <c r="N104" s="13" t="s">
        <v>9626</v>
      </c>
      <c r="P104" s="15">
        <v>367</v>
      </c>
      <c r="Q104" s="15">
        <v>42550</v>
      </c>
      <c r="R104" s="13" t="s">
        <v>9740</v>
      </c>
      <c r="S104" s="13" t="s">
        <v>447</v>
      </c>
      <c r="T104" s="13" t="s">
        <v>9963</v>
      </c>
      <c r="U104" s="13" t="s">
        <v>9734</v>
      </c>
      <c r="V104" s="13" t="s">
        <v>9735</v>
      </c>
      <c r="W104" s="13" t="s">
        <v>9736</v>
      </c>
      <c r="X104" s="13" t="s">
        <v>9658</v>
      </c>
      <c r="Z104" s="13" t="s">
        <v>1363</v>
      </c>
      <c r="AA104" s="13" t="s">
        <v>9737</v>
      </c>
      <c r="AB104" s="13" t="s">
        <v>447</v>
      </c>
      <c r="AC104" s="21">
        <v>39379.369571759256</v>
      </c>
      <c r="AD104" s="21">
        <v>42550.736932870372</v>
      </c>
      <c r="AE104" s="13" t="s">
        <v>9629</v>
      </c>
      <c r="AF104" s="13" t="s">
        <v>9634</v>
      </c>
    </row>
    <row r="105" spans="1:32">
      <c r="A105" s="13" t="s">
        <v>9964</v>
      </c>
      <c r="B105" s="13" t="s">
        <v>1150</v>
      </c>
      <c r="C105" s="13" t="s">
        <v>1363</v>
      </c>
      <c r="D105" s="13" t="s">
        <v>1150</v>
      </c>
      <c r="E105" s="13" t="s">
        <v>1363</v>
      </c>
      <c r="F105" s="13" t="s">
        <v>447</v>
      </c>
      <c r="G105" s="13" t="s">
        <v>447</v>
      </c>
      <c r="H105" s="13" t="s">
        <v>1150</v>
      </c>
      <c r="I105" s="13" t="s">
        <v>9965</v>
      </c>
      <c r="J105" s="13" t="s">
        <v>447</v>
      </c>
      <c r="K105" s="13" t="s">
        <v>1363</v>
      </c>
      <c r="L105" s="13" t="s">
        <v>447</v>
      </c>
      <c r="M105" s="13" t="s">
        <v>1363</v>
      </c>
      <c r="N105" s="13" t="s">
        <v>9626</v>
      </c>
      <c r="O105" s="13" t="s">
        <v>9664</v>
      </c>
      <c r="P105" s="15">
        <v>367</v>
      </c>
      <c r="R105" s="13" t="s">
        <v>9965</v>
      </c>
      <c r="S105" s="13" t="s">
        <v>447</v>
      </c>
      <c r="T105" s="13" t="s">
        <v>9966</v>
      </c>
      <c r="U105" s="13" t="s">
        <v>9734</v>
      </c>
      <c r="V105" s="13" t="s">
        <v>9735</v>
      </c>
      <c r="W105" s="13" t="s">
        <v>9736</v>
      </c>
      <c r="X105" s="13" t="s">
        <v>9658</v>
      </c>
      <c r="Z105" s="13" t="s">
        <v>1363</v>
      </c>
      <c r="AA105" s="13" t="s">
        <v>9737</v>
      </c>
      <c r="AB105" s="13" t="s">
        <v>447</v>
      </c>
      <c r="AC105" s="21">
        <v>38978.54383101852</v>
      </c>
      <c r="AD105" s="21">
        <v>42550.736250000002</v>
      </c>
      <c r="AE105" s="13" t="s">
        <v>9629</v>
      </c>
      <c r="AF105" s="13" t="s">
        <v>9634</v>
      </c>
    </row>
    <row r="106" spans="1:32">
      <c r="A106" s="13" t="s">
        <v>9967</v>
      </c>
      <c r="B106" s="13" t="s">
        <v>1150</v>
      </c>
      <c r="C106" s="13" t="s">
        <v>1363</v>
      </c>
      <c r="D106" s="13" t="s">
        <v>1150</v>
      </c>
      <c r="E106" s="13" t="s">
        <v>1363</v>
      </c>
      <c r="F106" s="13" t="s">
        <v>447</v>
      </c>
      <c r="G106" s="13" t="s">
        <v>447</v>
      </c>
      <c r="H106" s="13" t="s">
        <v>1150</v>
      </c>
      <c r="I106" s="13" t="s">
        <v>9968</v>
      </c>
      <c r="J106" s="13" t="s">
        <v>447</v>
      </c>
      <c r="K106" s="13" t="s">
        <v>1363</v>
      </c>
      <c r="L106" s="13" t="s">
        <v>447</v>
      </c>
      <c r="M106" s="13" t="s">
        <v>1363</v>
      </c>
      <c r="N106" s="13" t="s">
        <v>9626</v>
      </c>
      <c r="O106" s="13" t="s">
        <v>9664</v>
      </c>
      <c r="P106" s="15">
        <v>367</v>
      </c>
      <c r="R106" s="13" t="s">
        <v>9968</v>
      </c>
      <c r="S106" s="13" t="s">
        <v>447</v>
      </c>
      <c r="T106" s="13" t="s">
        <v>9969</v>
      </c>
      <c r="U106" s="13" t="s">
        <v>9734</v>
      </c>
      <c r="V106" s="13" t="s">
        <v>9735</v>
      </c>
      <c r="W106" s="13" t="s">
        <v>9736</v>
      </c>
      <c r="X106" s="13" t="s">
        <v>9658</v>
      </c>
      <c r="Z106" s="13" t="s">
        <v>1363</v>
      </c>
      <c r="AA106" s="13" t="s">
        <v>9737</v>
      </c>
      <c r="AB106" s="13" t="s">
        <v>447</v>
      </c>
      <c r="AC106" s="21">
        <v>38978.54383101852</v>
      </c>
      <c r="AD106" s="21">
        <v>42550.736250000002</v>
      </c>
      <c r="AE106" s="13" t="s">
        <v>9629</v>
      </c>
      <c r="AF106" s="13" t="s">
        <v>9634</v>
      </c>
    </row>
    <row r="107" spans="1:32">
      <c r="A107" s="13" t="s">
        <v>9970</v>
      </c>
      <c r="B107" s="13" t="s">
        <v>1150</v>
      </c>
      <c r="C107" s="13" t="s">
        <v>1363</v>
      </c>
      <c r="D107" s="13" t="s">
        <v>1150</v>
      </c>
      <c r="E107" s="13" t="s">
        <v>1363</v>
      </c>
      <c r="F107" s="13" t="s">
        <v>447</v>
      </c>
      <c r="G107" s="13" t="s">
        <v>1363</v>
      </c>
      <c r="H107" s="13" t="s">
        <v>1381</v>
      </c>
      <c r="I107" s="13" t="s">
        <v>9971</v>
      </c>
      <c r="J107" s="13" t="s">
        <v>447</v>
      </c>
      <c r="K107" s="13" t="s">
        <v>1363</v>
      </c>
      <c r="L107" s="13" t="s">
        <v>447</v>
      </c>
      <c r="M107" s="13" t="s">
        <v>1363</v>
      </c>
      <c r="N107" s="13" t="s">
        <v>9626</v>
      </c>
      <c r="P107" s="15">
        <v>367</v>
      </c>
      <c r="Q107" s="15">
        <v>42550</v>
      </c>
      <c r="R107" s="13" t="s">
        <v>9740</v>
      </c>
      <c r="S107" s="13" t="s">
        <v>447</v>
      </c>
      <c r="T107" s="13" t="s">
        <v>9972</v>
      </c>
      <c r="U107" s="13" t="s">
        <v>9734</v>
      </c>
      <c r="V107" s="13" t="s">
        <v>9735</v>
      </c>
      <c r="W107" s="13" t="s">
        <v>9736</v>
      </c>
      <c r="X107" s="13" t="s">
        <v>9658</v>
      </c>
      <c r="Z107" s="13" t="s">
        <v>1363</v>
      </c>
      <c r="AA107" s="13" t="s">
        <v>9737</v>
      </c>
      <c r="AB107" s="13" t="s">
        <v>447</v>
      </c>
      <c r="AC107" s="21">
        <v>39379.369513888887</v>
      </c>
      <c r="AD107" s="21">
        <v>42550.736932870372</v>
      </c>
      <c r="AE107" s="13" t="s">
        <v>9629</v>
      </c>
      <c r="AF107" s="13" t="s">
        <v>9634</v>
      </c>
    </row>
    <row r="108" spans="1:32">
      <c r="A108" s="13" t="s">
        <v>9973</v>
      </c>
      <c r="B108" s="13" t="s">
        <v>1150</v>
      </c>
      <c r="C108" s="13" t="s">
        <v>1363</v>
      </c>
      <c r="D108" s="13" t="s">
        <v>1150</v>
      </c>
      <c r="E108" s="13" t="s">
        <v>1363</v>
      </c>
      <c r="F108" s="13" t="s">
        <v>447</v>
      </c>
      <c r="G108" s="13" t="s">
        <v>1363</v>
      </c>
      <c r="H108" s="13" t="s">
        <v>1381</v>
      </c>
      <c r="I108" s="13" t="s">
        <v>9974</v>
      </c>
      <c r="J108" s="13" t="s">
        <v>447</v>
      </c>
      <c r="K108" s="13" t="s">
        <v>1363</v>
      </c>
      <c r="L108" s="13" t="s">
        <v>447</v>
      </c>
      <c r="M108" s="13" t="s">
        <v>1363</v>
      </c>
      <c r="N108" s="13" t="s">
        <v>9626</v>
      </c>
      <c r="P108" s="15">
        <v>367</v>
      </c>
      <c r="Q108" s="15">
        <v>42550</v>
      </c>
      <c r="R108" s="13" t="s">
        <v>9740</v>
      </c>
      <c r="S108" s="13" t="s">
        <v>447</v>
      </c>
      <c r="T108" s="13" t="s">
        <v>9975</v>
      </c>
      <c r="U108" s="13" t="s">
        <v>9734</v>
      </c>
      <c r="V108" s="13" t="s">
        <v>9735</v>
      </c>
      <c r="W108" s="13" t="s">
        <v>9736</v>
      </c>
      <c r="X108" s="13" t="s">
        <v>9658</v>
      </c>
      <c r="Z108" s="13" t="s">
        <v>1363</v>
      </c>
      <c r="AA108" s="13" t="s">
        <v>9737</v>
      </c>
      <c r="AB108" s="13" t="s">
        <v>447</v>
      </c>
      <c r="AC108" s="21">
        <v>39379.369513888887</v>
      </c>
      <c r="AD108" s="21">
        <v>42550.736932870372</v>
      </c>
      <c r="AE108" s="13" t="s">
        <v>9629</v>
      </c>
      <c r="AF108" s="13" t="s">
        <v>9634</v>
      </c>
    </row>
    <row r="109" spans="1:32">
      <c r="A109" s="13" t="s">
        <v>9976</v>
      </c>
      <c r="B109" s="13" t="s">
        <v>1150</v>
      </c>
      <c r="C109" s="13" t="s">
        <v>1363</v>
      </c>
      <c r="D109" s="13" t="s">
        <v>1150</v>
      </c>
      <c r="E109" s="13" t="s">
        <v>1363</v>
      </c>
      <c r="F109" s="13" t="s">
        <v>447</v>
      </c>
      <c r="G109" s="13" t="s">
        <v>1363</v>
      </c>
      <c r="H109" s="13" t="s">
        <v>1381</v>
      </c>
      <c r="I109" s="13" t="s">
        <v>9977</v>
      </c>
      <c r="J109" s="13" t="s">
        <v>447</v>
      </c>
      <c r="K109" s="13" t="s">
        <v>1363</v>
      </c>
      <c r="L109" s="13" t="s">
        <v>447</v>
      </c>
      <c r="M109" s="13" t="s">
        <v>1363</v>
      </c>
      <c r="N109" s="13" t="s">
        <v>9626</v>
      </c>
      <c r="P109" s="15">
        <v>367</v>
      </c>
      <c r="Q109" s="15">
        <v>42550</v>
      </c>
      <c r="R109" s="13" t="s">
        <v>9740</v>
      </c>
      <c r="S109" s="13" t="s">
        <v>447</v>
      </c>
      <c r="T109" s="13" t="s">
        <v>9978</v>
      </c>
      <c r="U109" s="13" t="s">
        <v>9734</v>
      </c>
      <c r="V109" s="13" t="s">
        <v>9735</v>
      </c>
      <c r="W109" s="13" t="s">
        <v>9736</v>
      </c>
      <c r="X109" s="13" t="s">
        <v>9658</v>
      </c>
      <c r="Z109" s="13" t="s">
        <v>1363</v>
      </c>
      <c r="AA109" s="13" t="s">
        <v>9737</v>
      </c>
      <c r="AB109" s="13" t="s">
        <v>447</v>
      </c>
      <c r="AC109" s="21">
        <v>39379.369513888887</v>
      </c>
      <c r="AD109" s="21">
        <v>42550.736944444441</v>
      </c>
      <c r="AE109" s="13" t="s">
        <v>9629</v>
      </c>
      <c r="AF109" s="13" t="s">
        <v>9634</v>
      </c>
    </row>
    <row r="110" spans="1:32">
      <c r="A110" s="13" t="s">
        <v>9979</v>
      </c>
      <c r="B110" s="13" t="s">
        <v>1150</v>
      </c>
      <c r="C110" s="13" t="s">
        <v>1363</v>
      </c>
      <c r="D110" s="13" t="s">
        <v>1150</v>
      </c>
      <c r="E110" s="13" t="s">
        <v>1363</v>
      </c>
      <c r="F110" s="13" t="s">
        <v>447</v>
      </c>
      <c r="G110" s="13" t="s">
        <v>1363</v>
      </c>
      <c r="H110" s="13" t="s">
        <v>1381</v>
      </c>
      <c r="I110" s="13" t="s">
        <v>9980</v>
      </c>
      <c r="J110" s="13" t="s">
        <v>447</v>
      </c>
      <c r="K110" s="13" t="s">
        <v>1363</v>
      </c>
      <c r="L110" s="13" t="s">
        <v>447</v>
      </c>
      <c r="M110" s="13" t="s">
        <v>1363</v>
      </c>
      <c r="N110" s="13" t="s">
        <v>9626</v>
      </c>
      <c r="P110" s="15">
        <v>367</v>
      </c>
      <c r="Q110" s="15">
        <v>42550</v>
      </c>
      <c r="R110" s="13" t="s">
        <v>9740</v>
      </c>
      <c r="S110" s="13" t="s">
        <v>447</v>
      </c>
      <c r="T110" s="13" t="s">
        <v>9981</v>
      </c>
      <c r="U110" s="13" t="s">
        <v>9734</v>
      </c>
      <c r="V110" s="13" t="s">
        <v>9735</v>
      </c>
      <c r="W110" s="13" t="s">
        <v>9736</v>
      </c>
      <c r="X110" s="13" t="s">
        <v>9658</v>
      </c>
      <c r="Z110" s="13" t="s">
        <v>1363</v>
      </c>
      <c r="AA110" s="13" t="s">
        <v>9737</v>
      </c>
      <c r="AB110" s="13" t="s">
        <v>447</v>
      </c>
      <c r="AC110" s="21">
        <v>39379.369525462964</v>
      </c>
      <c r="AD110" s="21">
        <v>42550.736944444441</v>
      </c>
      <c r="AE110" s="13" t="s">
        <v>9629</v>
      </c>
      <c r="AF110" s="13" t="s">
        <v>9634</v>
      </c>
    </row>
    <row r="111" spans="1:32">
      <c r="A111" s="13" t="s">
        <v>9982</v>
      </c>
      <c r="B111" s="13" t="s">
        <v>1150</v>
      </c>
      <c r="C111" s="13" t="s">
        <v>1363</v>
      </c>
      <c r="D111" s="13" t="s">
        <v>1150</v>
      </c>
      <c r="E111" s="13" t="s">
        <v>1363</v>
      </c>
      <c r="F111" s="13" t="s">
        <v>447</v>
      </c>
      <c r="G111" s="13" t="s">
        <v>1363</v>
      </c>
      <c r="H111" s="13" t="s">
        <v>1381</v>
      </c>
      <c r="I111" s="13" t="s">
        <v>9983</v>
      </c>
      <c r="J111" s="13" t="s">
        <v>447</v>
      </c>
      <c r="K111" s="13" t="s">
        <v>1363</v>
      </c>
      <c r="L111" s="13" t="s">
        <v>447</v>
      </c>
      <c r="M111" s="13" t="s">
        <v>1363</v>
      </c>
      <c r="N111" s="13" t="s">
        <v>9626</v>
      </c>
      <c r="P111" s="15">
        <v>367</v>
      </c>
      <c r="Q111" s="15">
        <v>42550</v>
      </c>
      <c r="R111" s="13" t="s">
        <v>9740</v>
      </c>
      <c r="S111" s="13" t="s">
        <v>447</v>
      </c>
      <c r="T111" s="13" t="s">
        <v>9984</v>
      </c>
      <c r="U111" s="13" t="s">
        <v>9734</v>
      </c>
      <c r="V111" s="13" t="s">
        <v>9735</v>
      </c>
      <c r="W111" s="13" t="s">
        <v>9736</v>
      </c>
      <c r="X111" s="13" t="s">
        <v>9658</v>
      </c>
      <c r="Z111" s="13" t="s">
        <v>1363</v>
      </c>
      <c r="AA111" s="13" t="s">
        <v>9737</v>
      </c>
      <c r="AB111" s="13" t="s">
        <v>447</v>
      </c>
      <c r="AC111" s="21">
        <v>39379.369525462964</v>
      </c>
      <c r="AD111" s="21">
        <v>42550.736944444441</v>
      </c>
      <c r="AE111" s="13" t="s">
        <v>9629</v>
      </c>
      <c r="AF111" s="13" t="s">
        <v>9634</v>
      </c>
    </row>
    <row r="112" spans="1:32">
      <c r="A112" s="13" t="s">
        <v>9985</v>
      </c>
      <c r="B112" s="13" t="s">
        <v>1150</v>
      </c>
      <c r="C112" s="13" t="s">
        <v>1363</v>
      </c>
      <c r="D112" s="13" t="s">
        <v>1150</v>
      </c>
      <c r="E112" s="13" t="s">
        <v>1363</v>
      </c>
      <c r="F112" s="13" t="s">
        <v>447</v>
      </c>
      <c r="G112" s="13" t="s">
        <v>1363</v>
      </c>
      <c r="H112" s="13" t="s">
        <v>1381</v>
      </c>
      <c r="I112" s="13" t="s">
        <v>9986</v>
      </c>
      <c r="J112" s="13" t="s">
        <v>447</v>
      </c>
      <c r="K112" s="13" t="s">
        <v>1363</v>
      </c>
      <c r="L112" s="13" t="s">
        <v>447</v>
      </c>
      <c r="M112" s="13" t="s">
        <v>1363</v>
      </c>
      <c r="N112" s="13" t="s">
        <v>9626</v>
      </c>
      <c r="P112" s="15">
        <v>367</v>
      </c>
      <c r="Q112" s="15">
        <v>42550</v>
      </c>
      <c r="R112" s="13" t="s">
        <v>9740</v>
      </c>
      <c r="S112" s="13" t="s">
        <v>447</v>
      </c>
      <c r="T112" s="13" t="s">
        <v>9987</v>
      </c>
      <c r="U112" s="13" t="s">
        <v>9734</v>
      </c>
      <c r="V112" s="13" t="s">
        <v>9735</v>
      </c>
      <c r="W112" s="13" t="s">
        <v>9736</v>
      </c>
      <c r="X112" s="13" t="s">
        <v>9658</v>
      </c>
      <c r="Z112" s="13" t="s">
        <v>1363</v>
      </c>
      <c r="AA112" s="13" t="s">
        <v>9737</v>
      </c>
      <c r="AB112" s="13" t="s">
        <v>447</v>
      </c>
      <c r="AC112" s="21">
        <v>39379.369525462964</v>
      </c>
      <c r="AD112" s="21">
        <v>42550.736944444441</v>
      </c>
      <c r="AE112" s="13" t="s">
        <v>9629</v>
      </c>
      <c r="AF112" s="13" t="s">
        <v>9634</v>
      </c>
    </row>
    <row r="113" spans="1:32">
      <c r="A113" s="13" t="s">
        <v>9988</v>
      </c>
      <c r="B113" s="13" t="s">
        <v>1150</v>
      </c>
      <c r="C113" s="13" t="s">
        <v>1363</v>
      </c>
      <c r="D113" s="13" t="s">
        <v>1150</v>
      </c>
      <c r="E113" s="13" t="s">
        <v>1363</v>
      </c>
      <c r="F113" s="13" t="s">
        <v>447</v>
      </c>
      <c r="G113" s="13" t="s">
        <v>1363</v>
      </c>
      <c r="H113" s="13" t="s">
        <v>1381</v>
      </c>
      <c r="I113" s="13" t="s">
        <v>9989</v>
      </c>
      <c r="J113" s="13" t="s">
        <v>447</v>
      </c>
      <c r="K113" s="13" t="s">
        <v>1363</v>
      </c>
      <c r="L113" s="13" t="s">
        <v>447</v>
      </c>
      <c r="M113" s="13" t="s">
        <v>1363</v>
      </c>
      <c r="N113" s="13" t="s">
        <v>9626</v>
      </c>
      <c r="P113" s="15">
        <v>367</v>
      </c>
      <c r="Q113" s="15">
        <v>42550</v>
      </c>
      <c r="R113" s="13" t="s">
        <v>9740</v>
      </c>
      <c r="S113" s="13" t="s">
        <v>447</v>
      </c>
      <c r="T113" s="13" t="s">
        <v>9990</v>
      </c>
      <c r="U113" s="13" t="s">
        <v>9734</v>
      </c>
      <c r="V113" s="13" t="s">
        <v>9735</v>
      </c>
      <c r="W113" s="13" t="s">
        <v>9736</v>
      </c>
      <c r="X113" s="13" t="s">
        <v>9658</v>
      </c>
      <c r="Z113" s="13" t="s">
        <v>1363</v>
      </c>
      <c r="AA113" s="13" t="s">
        <v>9737</v>
      </c>
      <c r="AB113" s="13" t="s">
        <v>447</v>
      </c>
      <c r="AC113" s="21">
        <v>39379.369537037041</v>
      </c>
      <c r="AD113" s="21">
        <v>42550.736944444441</v>
      </c>
      <c r="AE113" s="13" t="s">
        <v>9629</v>
      </c>
      <c r="AF113" s="13" t="s">
        <v>9634</v>
      </c>
    </row>
    <row r="114" spans="1:32">
      <c r="A114" s="13" t="s">
        <v>9991</v>
      </c>
      <c r="B114" s="13" t="s">
        <v>1150</v>
      </c>
      <c r="C114" s="13" t="s">
        <v>1363</v>
      </c>
      <c r="D114" s="13" t="s">
        <v>1150</v>
      </c>
      <c r="E114" s="13" t="s">
        <v>1363</v>
      </c>
      <c r="F114" s="13" t="s">
        <v>447</v>
      </c>
      <c r="G114" s="13" t="s">
        <v>1363</v>
      </c>
      <c r="H114" s="13" t="s">
        <v>1381</v>
      </c>
      <c r="I114" s="13" t="s">
        <v>9992</v>
      </c>
      <c r="J114" s="13" t="s">
        <v>447</v>
      </c>
      <c r="K114" s="13" t="s">
        <v>1363</v>
      </c>
      <c r="L114" s="13" t="s">
        <v>447</v>
      </c>
      <c r="M114" s="13" t="s">
        <v>1363</v>
      </c>
      <c r="N114" s="13" t="s">
        <v>9626</v>
      </c>
      <c r="P114" s="15">
        <v>367</v>
      </c>
      <c r="Q114" s="15">
        <v>42550</v>
      </c>
      <c r="R114" s="13" t="s">
        <v>9740</v>
      </c>
      <c r="S114" s="13" t="s">
        <v>447</v>
      </c>
      <c r="T114" s="13" t="s">
        <v>9993</v>
      </c>
      <c r="U114" s="13" t="s">
        <v>9734</v>
      </c>
      <c r="V114" s="13" t="s">
        <v>9735</v>
      </c>
      <c r="W114" s="13" t="s">
        <v>9736</v>
      </c>
      <c r="X114" s="13" t="s">
        <v>9658</v>
      </c>
      <c r="Z114" s="13" t="s">
        <v>1363</v>
      </c>
      <c r="AA114" s="13" t="s">
        <v>9737</v>
      </c>
      <c r="AB114" s="13" t="s">
        <v>447</v>
      </c>
      <c r="AC114" s="21">
        <v>39379.369537037041</v>
      </c>
      <c r="AD114" s="21">
        <v>42550.736944444441</v>
      </c>
      <c r="AE114" s="13" t="s">
        <v>9629</v>
      </c>
      <c r="AF114" s="13" t="s">
        <v>9634</v>
      </c>
    </row>
    <row r="115" spans="1:32">
      <c r="A115" s="13" t="s">
        <v>9994</v>
      </c>
      <c r="B115" s="13" t="s">
        <v>1150</v>
      </c>
      <c r="C115" s="13" t="s">
        <v>1363</v>
      </c>
      <c r="D115" s="13" t="s">
        <v>1150</v>
      </c>
      <c r="E115" s="13" t="s">
        <v>1363</v>
      </c>
      <c r="F115" s="13" t="s">
        <v>447</v>
      </c>
      <c r="G115" s="13" t="s">
        <v>1363</v>
      </c>
      <c r="H115" s="13" t="s">
        <v>1381</v>
      </c>
      <c r="I115" s="13" t="s">
        <v>9995</v>
      </c>
      <c r="J115" s="13" t="s">
        <v>447</v>
      </c>
      <c r="K115" s="13" t="s">
        <v>1363</v>
      </c>
      <c r="L115" s="13" t="s">
        <v>447</v>
      </c>
      <c r="M115" s="13" t="s">
        <v>1363</v>
      </c>
      <c r="N115" s="13" t="s">
        <v>9626</v>
      </c>
      <c r="P115" s="15">
        <v>367</v>
      </c>
      <c r="Q115" s="15">
        <v>42550</v>
      </c>
      <c r="R115" s="13" t="s">
        <v>9740</v>
      </c>
      <c r="S115" s="13" t="s">
        <v>447</v>
      </c>
      <c r="T115" s="13" t="s">
        <v>9996</v>
      </c>
      <c r="U115" s="13" t="s">
        <v>9734</v>
      </c>
      <c r="V115" s="13" t="s">
        <v>9735</v>
      </c>
      <c r="W115" s="13" t="s">
        <v>9736</v>
      </c>
      <c r="X115" s="13" t="s">
        <v>9658</v>
      </c>
      <c r="Z115" s="13" t="s">
        <v>1363</v>
      </c>
      <c r="AA115" s="13" t="s">
        <v>9737</v>
      </c>
      <c r="AB115" s="13" t="s">
        <v>447</v>
      </c>
      <c r="AC115" s="21">
        <v>39379.369502314818</v>
      </c>
      <c r="AD115" s="21">
        <v>42550.736944444441</v>
      </c>
      <c r="AE115" s="13" t="s">
        <v>9629</v>
      </c>
      <c r="AF115" s="13" t="s">
        <v>9634</v>
      </c>
    </row>
    <row r="116" spans="1:32">
      <c r="A116" s="13" t="s">
        <v>9997</v>
      </c>
      <c r="B116" s="13" t="s">
        <v>1150</v>
      </c>
      <c r="C116" s="13" t="s">
        <v>1363</v>
      </c>
      <c r="D116" s="13" t="s">
        <v>1150</v>
      </c>
      <c r="E116" s="13" t="s">
        <v>1363</v>
      </c>
      <c r="F116" s="13" t="s">
        <v>447</v>
      </c>
      <c r="G116" s="13" t="s">
        <v>1363</v>
      </c>
      <c r="H116" s="13" t="s">
        <v>1381</v>
      </c>
      <c r="I116" s="13" t="s">
        <v>9998</v>
      </c>
      <c r="J116" s="13" t="s">
        <v>447</v>
      </c>
      <c r="K116" s="13" t="s">
        <v>1363</v>
      </c>
      <c r="L116" s="13" t="s">
        <v>447</v>
      </c>
      <c r="M116" s="13" t="s">
        <v>1363</v>
      </c>
      <c r="N116" s="13" t="s">
        <v>9626</v>
      </c>
      <c r="P116" s="15">
        <v>367</v>
      </c>
      <c r="Q116" s="15">
        <v>42550</v>
      </c>
      <c r="R116" s="13" t="s">
        <v>9740</v>
      </c>
      <c r="S116" s="13" t="s">
        <v>447</v>
      </c>
      <c r="T116" s="13" t="s">
        <v>9999</v>
      </c>
      <c r="U116" s="13" t="s">
        <v>9734</v>
      </c>
      <c r="V116" s="13" t="s">
        <v>9735</v>
      </c>
      <c r="W116" s="13" t="s">
        <v>9736</v>
      </c>
      <c r="X116" s="13" t="s">
        <v>9658</v>
      </c>
      <c r="Z116" s="13" t="s">
        <v>1363</v>
      </c>
      <c r="AA116" s="13" t="s">
        <v>9737</v>
      </c>
      <c r="AB116" s="13" t="s">
        <v>447</v>
      </c>
      <c r="AC116" s="21">
        <v>39379.369502314818</v>
      </c>
      <c r="AD116" s="21">
        <v>42550.736944444441</v>
      </c>
      <c r="AE116" s="13" t="s">
        <v>9629</v>
      </c>
      <c r="AF116" s="13" t="s">
        <v>9634</v>
      </c>
    </row>
    <row r="117" spans="1:32">
      <c r="A117" s="13" t="s">
        <v>10000</v>
      </c>
      <c r="B117" s="13" t="s">
        <v>1150</v>
      </c>
      <c r="C117" s="13" t="s">
        <v>1363</v>
      </c>
      <c r="D117" s="13" t="s">
        <v>1150</v>
      </c>
      <c r="E117" s="13" t="s">
        <v>1363</v>
      </c>
      <c r="F117" s="13" t="s">
        <v>447</v>
      </c>
      <c r="G117" s="13" t="s">
        <v>1363</v>
      </c>
      <c r="H117" s="13" t="s">
        <v>1381</v>
      </c>
      <c r="I117" s="13" t="s">
        <v>10001</v>
      </c>
      <c r="J117" s="13" t="s">
        <v>447</v>
      </c>
      <c r="K117" s="13" t="s">
        <v>1363</v>
      </c>
      <c r="L117" s="13" t="s">
        <v>447</v>
      </c>
      <c r="M117" s="13" t="s">
        <v>1363</v>
      </c>
      <c r="N117" s="13" t="s">
        <v>9626</v>
      </c>
      <c r="P117" s="15">
        <v>367</v>
      </c>
      <c r="Q117" s="15">
        <v>42550</v>
      </c>
      <c r="R117" s="13" t="s">
        <v>9740</v>
      </c>
      <c r="S117" s="13" t="s">
        <v>447</v>
      </c>
      <c r="T117" s="13" t="s">
        <v>10002</v>
      </c>
      <c r="U117" s="13" t="s">
        <v>9734</v>
      </c>
      <c r="V117" s="13" t="s">
        <v>9735</v>
      </c>
      <c r="W117" s="13" t="s">
        <v>9736</v>
      </c>
      <c r="X117" s="13" t="s">
        <v>9658</v>
      </c>
      <c r="Z117" s="13" t="s">
        <v>1363</v>
      </c>
      <c r="AA117" s="13" t="s">
        <v>9737</v>
      </c>
      <c r="AB117" s="13" t="s">
        <v>447</v>
      </c>
      <c r="AC117" s="21">
        <v>39379.369513888887</v>
      </c>
      <c r="AD117" s="21">
        <v>42550.736956018518</v>
      </c>
      <c r="AE117" s="13" t="s">
        <v>9629</v>
      </c>
      <c r="AF117" s="13" t="s">
        <v>9634</v>
      </c>
    </row>
    <row r="118" spans="1:32">
      <c r="A118" s="13" t="s">
        <v>10003</v>
      </c>
      <c r="B118" s="13" t="s">
        <v>1150</v>
      </c>
      <c r="C118" s="13" t="s">
        <v>1363</v>
      </c>
      <c r="D118" s="13" t="s">
        <v>1150</v>
      </c>
      <c r="E118" s="13" t="s">
        <v>1363</v>
      </c>
      <c r="F118" s="13" t="s">
        <v>447</v>
      </c>
      <c r="G118" s="13" t="s">
        <v>1363</v>
      </c>
      <c r="H118" s="13" t="s">
        <v>1381</v>
      </c>
      <c r="I118" s="13" t="s">
        <v>10004</v>
      </c>
      <c r="J118" s="13" t="s">
        <v>447</v>
      </c>
      <c r="K118" s="13" t="s">
        <v>1363</v>
      </c>
      <c r="L118" s="13" t="s">
        <v>447</v>
      </c>
      <c r="M118" s="13" t="s">
        <v>1363</v>
      </c>
      <c r="N118" s="13" t="s">
        <v>9626</v>
      </c>
      <c r="P118" s="15">
        <v>367</v>
      </c>
      <c r="Q118" s="15">
        <v>42550</v>
      </c>
      <c r="R118" s="13" t="s">
        <v>9740</v>
      </c>
      <c r="S118" s="13" t="s">
        <v>447</v>
      </c>
      <c r="T118" s="13" t="s">
        <v>10005</v>
      </c>
      <c r="U118" s="13" t="s">
        <v>9734</v>
      </c>
      <c r="V118" s="13" t="s">
        <v>9735</v>
      </c>
      <c r="W118" s="13" t="s">
        <v>9736</v>
      </c>
      <c r="X118" s="13" t="s">
        <v>9658</v>
      </c>
      <c r="Z118" s="13" t="s">
        <v>1363</v>
      </c>
      <c r="AA118" s="13" t="s">
        <v>9737</v>
      </c>
      <c r="AB118" s="13" t="s">
        <v>447</v>
      </c>
      <c r="AC118" s="21">
        <v>39379.36954861111</v>
      </c>
      <c r="AD118" s="21">
        <v>42550.736956018518</v>
      </c>
      <c r="AE118" s="13" t="s">
        <v>9629</v>
      </c>
      <c r="AF118" s="13" t="s">
        <v>9634</v>
      </c>
    </row>
    <row r="119" spans="1:32">
      <c r="A119" s="13" t="s">
        <v>10006</v>
      </c>
      <c r="B119" s="13" t="s">
        <v>1150</v>
      </c>
      <c r="C119" s="13" t="s">
        <v>1363</v>
      </c>
      <c r="D119" s="13" t="s">
        <v>1150</v>
      </c>
      <c r="E119" s="13" t="s">
        <v>1363</v>
      </c>
      <c r="F119" s="13" t="s">
        <v>447</v>
      </c>
      <c r="G119" s="13" t="s">
        <v>1363</v>
      </c>
      <c r="H119" s="13" t="s">
        <v>1381</v>
      </c>
      <c r="I119" s="13" t="s">
        <v>10007</v>
      </c>
      <c r="J119" s="13" t="s">
        <v>447</v>
      </c>
      <c r="K119" s="13" t="s">
        <v>1363</v>
      </c>
      <c r="L119" s="13" t="s">
        <v>447</v>
      </c>
      <c r="M119" s="13" t="s">
        <v>1363</v>
      </c>
      <c r="N119" s="13" t="s">
        <v>9626</v>
      </c>
      <c r="P119" s="15">
        <v>367</v>
      </c>
      <c r="Q119" s="15">
        <v>42550</v>
      </c>
      <c r="R119" s="13" t="s">
        <v>9740</v>
      </c>
      <c r="S119" s="13" t="s">
        <v>447</v>
      </c>
      <c r="T119" s="13" t="s">
        <v>10008</v>
      </c>
      <c r="U119" s="13" t="s">
        <v>9734</v>
      </c>
      <c r="V119" s="13" t="s">
        <v>9735</v>
      </c>
      <c r="W119" s="13" t="s">
        <v>9736</v>
      </c>
      <c r="X119" s="13" t="s">
        <v>9658</v>
      </c>
      <c r="Z119" s="13" t="s">
        <v>1363</v>
      </c>
      <c r="AA119" s="13" t="s">
        <v>9737</v>
      </c>
      <c r="AB119" s="13" t="s">
        <v>447</v>
      </c>
      <c r="AC119" s="21">
        <v>39379.36954861111</v>
      </c>
      <c r="AD119" s="21">
        <v>42550.736956018518</v>
      </c>
      <c r="AE119" s="13" t="s">
        <v>9629</v>
      </c>
      <c r="AF119" s="13" t="s">
        <v>9634</v>
      </c>
    </row>
    <row r="120" spans="1:32">
      <c r="A120" s="13" t="s">
        <v>10009</v>
      </c>
      <c r="B120" s="13" t="s">
        <v>1150</v>
      </c>
      <c r="C120" s="13" t="s">
        <v>1363</v>
      </c>
      <c r="D120" s="13" t="s">
        <v>1150</v>
      </c>
      <c r="E120" s="13" t="s">
        <v>1363</v>
      </c>
      <c r="F120" s="13" t="s">
        <v>447</v>
      </c>
      <c r="G120" s="13" t="s">
        <v>1363</v>
      </c>
      <c r="H120" s="13" t="s">
        <v>1381</v>
      </c>
      <c r="I120" s="13" t="s">
        <v>10010</v>
      </c>
      <c r="J120" s="13" t="s">
        <v>447</v>
      </c>
      <c r="K120" s="13" t="s">
        <v>1363</v>
      </c>
      <c r="L120" s="13" t="s">
        <v>447</v>
      </c>
      <c r="M120" s="13" t="s">
        <v>1363</v>
      </c>
      <c r="N120" s="13" t="s">
        <v>9626</v>
      </c>
      <c r="P120" s="15">
        <v>367</v>
      </c>
      <c r="Q120" s="15">
        <v>42550</v>
      </c>
      <c r="R120" s="13" t="s">
        <v>9740</v>
      </c>
      <c r="S120" s="13" t="s">
        <v>447</v>
      </c>
      <c r="T120" s="13" t="s">
        <v>10011</v>
      </c>
      <c r="U120" s="13" t="s">
        <v>9734</v>
      </c>
      <c r="V120" s="13" t="s">
        <v>9735</v>
      </c>
      <c r="W120" s="13" t="s">
        <v>9736</v>
      </c>
      <c r="X120" s="13" t="s">
        <v>9658</v>
      </c>
      <c r="Z120" s="13" t="s">
        <v>1363</v>
      </c>
      <c r="AA120" s="13" t="s">
        <v>9737</v>
      </c>
      <c r="AB120" s="13" t="s">
        <v>447</v>
      </c>
      <c r="AC120" s="21">
        <v>39379.369560185187</v>
      </c>
      <c r="AD120" s="21">
        <v>42550.736956018518</v>
      </c>
      <c r="AE120" s="13" t="s">
        <v>9629</v>
      </c>
      <c r="AF120" s="13" t="s">
        <v>9634</v>
      </c>
    </row>
    <row r="121" spans="1:32">
      <c r="A121" s="13" t="s">
        <v>10012</v>
      </c>
      <c r="B121" s="13" t="s">
        <v>1150</v>
      </c>
      <c r="C121" s="13" t="s">
        <v>1363</v>
      </c>
      <c r="D121" s="13" t="s">
        <v>1150</v>
      </c>
      <c r="E121" s="13" t="s">
        <v>1363</v>
      </c>
      <c r="F121" s="13" t="s">
        <v>447</v>
      </c>
      <c r="G121" s="13" t="s">
        <v>1363</v>
      </c>
      <c r="H121" s="13" t="s">
        <v>1381</v>
      </c>
      <c r="I121" s="13" t="s">
        <v>10013</v>
      </c>
      <c r="J121" s="13" t="s">
        <v>447</v>
      </c>
      <c r="K121" s="13" t="s">
        <v>1363</v>
      </c>
      <c r="L121" s="13" t="s">
        <v>447</v>
      </c>
      <c r="M121" s="13" t="s">
        <v>1363</v>
      </c>
      <c r="N121" s="13" t="s">
        <v>9626</v>
      </c>
      <c r="P121" s="15">
        <v>367</v>
      </c>
      <c r="Q121" s="15">
        <v>42550</v>
      </c>
      <c r="R121" s="13" t="s">
        <v>9740</v>
      </c>
      <c r="S121" s="13" t="s">
        <v>447</v>
      </c>
      <c r="T121" s="13" t="s">
        <v>10014</v>
      </c>
      <c r="U121" s="13" t="s">
        <v>9734</v>
      </c>
      <c r="V121" s="13" t="s">
        <v>9735</v>
      </c>
      <c r="W121" s="13" t="s">
        <v>9736</v>
      </c>
      <c r="X121" s="13" t="s">
        <v>9658</v>
      </c>
      <c r="Z121" s="13" t="s">
        <v>1363</v>
      </c>
      <c r="AA121" s="13" t="s">
        <v>9737</v>
      </c>
      <c r="AB121" s="13" t="s">
        <v>447</v>
      </c>
      <c r="AC121" s="21">
        <v>39379.369560185187</v>
      </c>
      <c r="AD121" s="21">
        <v>42550.736956018518</v>
      </c>
      <c r="AE121" s="13" t="s">
        <v>9629</v>
      </c>
      <c r="AF121" s="13" t="s">
        <v>9634</v>
      </c>
    </row>
    <row r="122" spans="1:32">
      <c r="A122" s="13" t="s">
        <v>10015</v>
      </c>
      <c r="B122" s="13" t="s">
        <v>1150</v>
      </c>
      <c r="C122" s="13" t="s">
        <v>1363</v>
      </c>
      <c r="D122" s="13" t="s">
        <v>1150</v>
      </c>
      <c r="E122" s="13" t="s">
        <v>1363</v>
      </c>
      <c r="F122" s="13" t="s">
        <v>447</v>
      </c>
      <c r="G122" s="13" t="s">
        <v>447</v>
      </c>
      <c r="H122" s="13" t="s">
        <v>1150</v>
      </c>
      <c r="I122" s="13" t="s">
        <v>10016</v>
      </c>
      <c r="J122" s="13" t="s">
        <v>447</v>
      </c>
      <c r="K122" s="13" t="s">
        <v>1363</v>
      </c>
      <c r="L122" s="13" t="s">
        <v>447</v>
      </c>
      <c r="M122" s="13" t="s">
        <v>1363</v>
      </c>
      <c r="N122" s="13" t="s">
        <v>9626</v>
      </c>
      <c r="O122" s="13" t="s">
        <v>9661</v>
      </c>
      <c r="P122" s="15">
        <v>367</v>
      </c>
      <c r="R122" s="13" t="s">
        <v>10016</v>
      </c>
      <c r="S122" s="13" t="s">
        <v>447</v>
      </c>
      <c r="T122" s="13" t="s">
        <v>10017</v>
      </c>
      <c r="U122" s="13" t="s">
        <v>9734</v>
      </c>
      <c r="V122" s="13" t="s">
        <v>9735</v>
      </c>
      <c r="W122" s="13" t="s">
        <v>9736</v>
      </c>
      <c r="X122" s="13" t="s">
        <v>9658</v>
      </c>
      <c r="Z122" s="13" t="s">
        <v>1363</v>
      </c>
      <c r="AA122" s="13" t="s">
        <v>9737</v>
      </c>
      <c r="AB122" s="13" t="s">
        <v>447</v>
      </c>
      <c r="AC122" s="21">
        <v>38978.544629629629</v>
      </c>
      <c r="AD122" s="21">
        <v>42550.736261574071</v>
      </c>
      <c r="AE122" s="13" t="s">
        <v>9629</v>
      </c>
      <c r="AF122" s="13" t="s">
        <v>9634</v>
      </c>
    </row>
    <row r="123" spans="1:32">
      <c r="A123" s="13" t="s">
        <v>10018</v>
      </c>
      <c r="B123" s="13" t="s">
        <v>1150</v>
      </c>
      <c r="C123" s="13" t="s">
        <v>1363</v>
      </c>
      <c r="D123" s="13" t="s">
        <v>1150</v>
      </c>
      <c r="E123" s="13" t="s">
        <v>1363</v>
      </c>
      <c r="F123" s="13" t="s">
        <v>447</v>
      </c>
      <c r="G123" s="13" t="s">
        <v>447</v>
      </c>
      <c r="H123" s="13" t="s">
        <v>1150</v>
      </c>
      <c r="I123" s="13" t="s">
        <v>10019</v>
      </c>
      <c r="J123" s="13" t="s">
        <v>447</v>
      </c>
      <c r="K123" s="13" t="s">
        <v>1363</v>
      </c>
      <c r="L123" s="13" t="s">
        <v>447</v>
      </c>
      <c r="M123" s="13" t="s">
        <v>1363</v>
      </c>
      <c r="N123" s="13" t="s">
        <v>9626</v>
      </c>
      <c r="O123" s="13" t="s">
        <v>9657</v>
      </c>
      <c r="P123" s="15">
        <v>367</v>
      </c>
      <c r="R123" s="13" t="s">
        <v>10019</v>
      </c>
      <c r="S123" s="13" t="s">
        <v>447</v>
      </c>
      <c r="T123" s="13" t="s">
        <v>10020</v>
      </c>
      <c r="U123" s="13" t="s">
        <v>9734</v>
      </c>
      <c r="V123" s="13" t="s">
        <v>9735</v>
      </c>
      <c r="W123" s="13" t="s">
        <v>9736</v>
      </c>
      <c r="X123" s="13" t="s">
        <v>9658</v>
      </c>
      <c r="Z123" s="13" t="s">
        <v>1363</v>
      </c>
      <c r="AA123" s="13" t="s">
        <v>9737</v>
      </c>
      <c r="AB123" s="13" t="s">
        <v>447</v>
      </c>
      <c r="AC123" s="21">
        <v>38978.544699074075</v>
      </c>
      <c r="AD123" s="21">
        <v>42550.736261574071</v>
      </c>
      <c r="AE123" s="13" t="s">
        <v>9629</v>
      </c>
      <c r="AF123" s="13" t="s">
        <v>9634</v>
      </c>
    </row>
    <row r="124" spans="1:32">
      <c r="A124" s="13" t="s">
        <v>10021</v>
      </c>
      <c r="B124" s="13" t="s">
        <v>1150</v>
      </c>
      <c r="C124" s="13" t="s">
        <v>1363</v>
      </c>
      <c r="D124" s="13" t="s">
        <v>1150</v>
      </c>
      <c r="E124" s="13" t="s">
        <v>1363</v>
      </c>
      <c r="F124" s="13" t="s">
        <v>447</v>
      </c>
      <c r="G124" s="13" t="s">
        <v>447</v>
      </c>
      <c r="H124" s="13" t="s">
        <v>1150</v>
      </c>
      <c r="I124" s="13" t="s">
        <v>10022</v>
      </c>
      <c r="J124" s="13" t="s">
        <v>447</v>
      </c>
      <c r="K124" s="13" t="s">
        <v>1363</v>
      </c>
      <c r="L124" s="13" t="s">
        <v>447</v>
      </c>
      <c r="M124" s="13" t="s">
        <v>1363</v>
      </c>
      <c r="N124" s="13" t="s">
        <v>9626</v>
      </c>
      <c r="O124" s="13" t="s">
        <v>9657</v>
      </c>
      <c r="P124" s="15">
        <v>367</v>
      </c>
      <c r="R124" s="13" t="s">
        <v>10022</v>
      </c>
      <c r="S124" s="13" t="s">
        <v>447</v>
      </c>
      <c r="T124" s="13" t="s">
        <v>10023</v>
      </c>
      <c r="U124" s="13" t="s">
        <v>9734</v>
      </c>
      <c r="V124" s="13" t="s">
        <v>9735</v>
      </c>
      <c r="W124" s="13" t="s">
        <v>9736</v>
      </c>
      <c r="X124" s="13" t="s">
        <v>9658</v>
      </c>
      <c r="Z124" s="13" t="s">
        <v>1363</v>
      </c>
      <c r="AA124" s="13" t="s">
        <v>9737</v>
      </c>
      <c r="AB124" s="13" t="s">
        <v>447</v>
      </c>
      <c r="AC124" s="21">
        <v>38978.544745370367</v>
      </c>
      <c r="AD124" s="21">
        <v>42550.736261574071</v>
      </c>
      <c r="AE124" s="13" t="s">
        <v>9629</v>
      </c>
      <c r="AF124" s="13" t="s">
        <v>9634</v>
      </c>
    </row>
    <row r="125" spans="1:32">
      <c r="A125" s="13" t="s">
        <v>10024</v>
      </c>
      <c r="B125" s="13" t="s">
        <v>1150</v>
      </c>
      <c r="C125" s="13" t="s">
        <v>1363</v>
      </c>
      <c r="D125" s="13" t="s">
        <v>1150</v>
      </c>
      <c r="E125" s="13" t="s">
        <v>1363</v>
      </c>
      <c r="F125" s="13" t="s">
        <v>447</v>
      </c>
      <c r="G125" s="13" t="s">
        <v>447</v>
      </c>
      <c r="H125" s="13" t="s">
        <v>1150</v>
      </c>
      <c r="I125" s="13" t="s">
        <v>10025</v>
      </c>
      <c r="J125" s="13" t="s">
        <v>447</v>
      </c>
      <c r="K125" s="13" t="s">
        <v>1363</v>
      </c>
      <c r="L125" s="13" t="s">
        <v>447</v>
      </c>
      <c r="M125" s="13" t="s">
        <v>1363</v>
      </c>
      <c r="N125" s="13" t="s">
        <v>9626</v>
      </c>
      <c r="O125" s="13" t="s">
        <v>9657</v>
      </c>
      <c r="P125" s="15">
        <v>367</v>
      </c>
      <c r="R125" s="13" t="s">
        <v>10025</v>
      </c>
      <c r="S125" s="13" t="s">
        <v>447</v>
      </c>
      <c r="T125" s="13" t="s">
        <v>10026</v>
      </c>
      <c r="U125" s="13" t="s">
        <v>9734</v>
      </c>
      <c r="V125" s="13" t="s">
        <v>9735</v>
      </c>
      <c r="W125" s="13" t="s">
        <v>9736</v>
      </c>
      <c r="X125" s="13" t="s">
        <v>9658</v>
      </c>
      <c r="Z125" s="13" t="s">
        <v>1363</v>
      </c>
      <c r="AA125" s="13" t="s">
        <v>9737</v>
      </c>
      <c r="AB125" s="13" t="s">
        <v>447</v>
      </c>
      <c r="AC125" s="21">
        <v>38978.544756944444</v>
      </c>
      <c r="AD125" s="21">
        <v>42550.736261574071</v>
      </c>
      <c r="AE125" s="13" t="s">
        <v>9629</v>
      </c>
      <c r="AF125" s="13" t="s">
        <v>9634</v>
      </c>
    </row>
    <row r="126" spans="1:32">
      <c r="A126" s="13" t="s">
        <v>10027</v>
      </c>
      <c r="B126" s="13" t="s">
        <v>1150</v>
      </c>
      <c r="C126" s="13" t="s">
        <v>1363</v>
      </c>
      <c r="D126" s="13" t="s">
        <v>1150</v>
      </c>
      <c r="E126" s="13" t="s">
        <v>1363</v>
      </c>
      <c r="F126" s="13" t="s">
        <v>447</v>
      </c>
      <c r="G126" s="13" t="s">
        <v>447</v>
      </c>
      <c r="H126" s="13" t="s">
        <v>1150</v>
      </c>
      <c r="I126" s="13" t="s">
        <v>10028</v>
      </c>
      <c r="J126" s="13" t="s">
        <v>447</v>
      </c>
      <c r="K126" s="13" t="s">
        <v>1363</v>
      </c>
      <c r="L126" s="13" t="s">
        <v>447</v>
      </c>
      <c r="M126" s="13" t="s">
        <v>1363</v>
      </c>
      <c r="N126" s="13" t="s">
        <v>9626</v>
      </c>
      <c r="O126" s="13" t="s">
        <v>9664</v>
      </c>
      <c r="P126" s="15">
        <v>367</v>
      </c>
      <c r="R126" s="13" t="s">
        <v>10028</v>
      </c>
      <c r="S126" s="13" t="s">
        <v>447</v>
      </c>
      <c r="T126" s="13" t="s">
        <v>10029</v>
      </c>
      <c r="U126" s="13" t="s">
        <v>9734</v>
      </c>
      <c r="V126" s="13" t="s">
        <v>9735</v>
      </c>
      <c r="W126" s="13" t="s">
        <v>9736</v>
      </c>
      <c r="X126" s="13" t="s">
        <v>9658</v>
      </c>
      <c r="Z126" s="13" t="s">
        <v>1363</v>
      </c>
      <c r="AA126" s="13" t="s">
        <v>9737</v>
      </c>
      <c r="AB126" s="13" t="s">
        <v>447</v>
      </c>
      <c r="AC126" s="21">
        <v>38978.54478009259</v>
      </c>
      <c r="AD126" s="21">
        <v>42550.736261574071</v>
      </c>
      <c r="AE126" s="13" t="s">
        <v>9629</v>
      </c>
      <c r="AF126" s="13" t="s">
        <v>9634</v>
      </c>
    </row>
    <row r="127" spans="1:32">
      <c r="A127" s="13" t="s">
        <v>10030</v>
      </c>
      <c r="B127" s="13" t="s">
        <v>1150</v>
      </c>
      <c r="C127" s="13" t="s">
        <v>1363</v>
      </c>
      <c r="D127" s="13" t="s">
        <v>1150</v>
      </c>
      <c r="E127" s="13" t="s">
        <v>1363</v>
      </c>
      <c r="F127" s="13" t="s">
        <v>447</v>
      </c>
      <c r="G127" s="13" t="s">
        <v>447</v>
      </c>
      <c r="H127" s="13" t="s">
        <v>1150</v>
      </c>
      <c r="I127" s="13" t="s">
        <v>10031</v>
      </c>
      <c r="J127" s="13" t="s">
        <v>447</v>
      </c>
      <c r="K127" s="13" t="s">
        <v>1363</v>
      </c>
      <c r="L127" s="13" t="s">
        <v>447</v>
      </c>
      <c r="M127" s="13" t="s">
        <v>1363</v>
      </c>
      <c r="N127" s="13" t="s">
        <v>9626</v>
      </c>
      <c r="O127" s="13" t="s">
        <v>9661</v>
      </c>
      <c r="P127" s="15">
        <v>367</v>
      </c>
      <c r="R127" s="13" t="s">
        <v>10031</v>
      </c>
      <c r="S127" s="13" t="s">
        <v>447</v>
      </c>
      <c r="T127" s="13" t="s">
        <v>10032</v>
      </c>
      <c r="U127" s="13" t="s">
        <v>9734</v>
      </c>
      <c r="V127" s="13" t="s">
        <v>9735</v>
      </c>
      <c r="W127" s="13" t="s">
        <v>9736</v>
      </c>
      <c r="X127" s="13" t="s">
        <v>9658</v>
      </c>
      <c r="Z127" s="13" t="s">
        <v>1363</v>
      </c>
      <c r="AA127" s="13" t="s">
        <v>9737</v>
      </c>
      <c r="AB127" s="13" t="s">
        <v>447</v>
      </c>
      <c r="AC127" s="21">
        <v>38978.544861111113</v>
      </c>
      <c r="AD127" s="21">
        <v>42550.736261574071</v>
      </c>
      <c r="AE127" s="13" t="s">
        <v>9629</v>
      </c>
      <c r="AF127" s="13" t="s">
        <v>9634</v>
      </c>
    </row>
    <row r="128" spans="1:32">
      <c r="A128" s="13" t="s">
        <v>10033</v>
      </c>
      <c r="B128" s="13" t="s">
        <v>1150</v>
      </c>
      <c r="C128" s="13" t="s">
        <v>1363</v>
      </c>
      <c r="D128" s="13" t="s">
        <v>1150</v>
      </c>
      <c r="E128" s="13" t="s">
        <v>1363</v>
      </c>
      <c r="F128" s="13" t="s">
        <v>447</v>
      </c>
      <c r="G128" s="13" t="s">
        <v>447</v>
      </c>
      <c r="H128" s="13" t="s">
        <v>1150</v>
      </c>
      <c r="I128" s="13" t="s">
        <v>10034</v>
      </c>
      <c r="J128" s="13" t="s">
        <v>447</v>
      </c>
      <c r="K128" s="13" t="s">
        <v>1363</v>
      </c>
      <c r="L128" s="13" t="s">
        <v>447</v>
      </c>
      <c r="M128" s="13" t="s">
        <v>1363</v>
      </c>
      <c r="N128" s="13" t="s">
        <v>9626</v>
      </c>
      <c r="O128" s="13" t="s">
        <v>9657</v>
      </c>
      <c r="P128" s="15">
        <v>367</v>
      </c>
      <c r="R128" s="13" t="s">
        <v>10034</v>
      </c>
      <c r="S128" s="13" t="s">
        <v>447</v>
      </c>
      <c r="T128" s="13" t="s">
        <v>10035</v>
      </c>
      <c r="U128" s="13" t="s">
        <v>9734</v>
      </c>
      <c r="V128" s="13" t="s">
        <v>9735</v>
      </c>
      <c r="W128" s="13" t="s">
        <v>9736</v>
      </c>
      <c r="X128" s="13" t="s">
        <v>9658</v>
      </c>
      <c r="Z128" s="13" t="s">
        <v>1363</v>
      </c>
      <c r="AA128" s="13" t="s">
        <v>9737</v>
      </c>
      <c r="AB128" s="13" t="s">
        <v>447</v>
      </c>
      <c r="AC128" s="21">
        <v>38978.54488425926</v>
      </c>
      <c r="AD128" s="21">
        <v>42550.736273148148</v>
      </c>
      <c r="AE128" s="13" t="s">
        <v>9629</v>
      </c>
      <c r="AF128" s="13" t="s">
        <v>9634</v>
      </c>
    </row>
    <row r="129" spans="1:32">
      <c r="A129" s="13" t="s">
        <v>10036</v>
      </c>
      <c r="B129" s="13" t="s">
        <v>1150</v>
      </c>
      <c r="C129" s="13" t="s">
        <v>1363</v>
      </c>
      <c r="D129" s="13" t="s">
        <v>1150</v>
      </c>
      <c r="E129" s="13" t="s">
        <v>1363</v>
      </c>
      <c r="F129" s="13" t="s">
        <v>447</v>
      </c>
      <c r="G129" s="13" t="s">
        <v>447</v>
      </c>
      <c r="H129" s="13" t="s">
        <v>1150</v>
      </c>
      <c r="I129" s="13" t="s">
        <v>10037</v>
      </c>
      <c r="J129" s="13" t="s">
        <v>447</v>
      </c>
      <c r="K129" s="13" t="s">
        <v>1363</v>
      </c>
      <c r="L129" s="13" t="s">
        <v>447</v>
      </c>
      <c r="M129" s="13" t="s">
        <v>1363</v>
      </c>
      <c r="N129" s="13" t="s">
        <v>9626</v>
      </c>
      <c r="O129" s="13" t="s">
        <v>9664</v>
      </c>
      <c r="P129" s="15">
        <v>367</v>
      </c>
      <c r="R129" s="13" t="s">
        <v>10037</v>
      </c>
      <c r="S129" s="13" t="s">
        <v>447</v>
      </c>
      <c r="T129" s="13" t="s">
        <v>10038</v>
      </c>
      <c r="U129" s="13" t="s">
        <v>9734</v>
      </c>
      <c r="V129" s="13" t="s">
        <v>9735</v>
      </c>
      <c r="W129" s="13" t="s">
        <v>9736</v>
      </c>
      <c r="X129" s="13" t="s">
        <v>9658</v>
      </c>
      <c r="Z129" s="13" t="s">
        <v>1363</v>
      </c>
      <c r="AA129" s="13" t="s">
        <v>9737</v>
      </c>
      <c r="AB129" s="13" t="s">
        <v>447</v>
      </c>
      <c r="AC129" s="21">
        <v>38978.54488425926</v>
      </c>
      <c r="AD129" s="21">
        <v>42550.736273148148</v>
      </c>
      <c r="AE129" s="13" t="s">
        <v>9629</v>
      </c>
      <c r="AF129" s="13" t="s">
        <v>9634</v>
      </c>
    </row>
    <row r="130" spans="1:32">
      <c r="A130" s="13" t="s">
        <v>10039</v>
      </c>
      <c r="B130" s="13" t="s">
        <v>1150</v>
      </c>
      <c r="C130" s="13" t="s">
        <v>1363</v>
      </c>
      <c r="D130" s="13" t="s">
        <v>1150</v>
      </c>
      <c r="E130" s="13" t="s">
        <v>1363</v>
      </c>
      <c r="F130" s="13" t="s">
        <v>447</v>
      </c>
      <c r="G130" s="13" t="s">
        <v>447</v>
      </c>
      <c r="H130" s="13" t="s">
        <v>1150</v>
      </c>
      <c r="I130" s="13" t="s">
        <v>10040</v>
      </c>
      <c r="J130" s="13" t="s">
        <v>447</v>
      </c>
      <c r="K130" s="13" t="s">
        <v>1363</v>
      </c>
      <c r="L130" s="13" t="s">
        <v>447</v>
      </c>
      <c r="M130" s="13" t="s">
        <v>1363</v>
      </c>
      <c r="N130" s="13" t="s">
        <v>9626</v>
      </c>
      <c r="O130" s="13" t="s">
        <v>9661</v>
      </c>
      <c r="P130" s="15">
        <v>367</v>
      </c>
      <c r="R130" s="13" t="s">
        <v>10040</v>
      </c>
      <c r="S130" s="13" t="s">
        <v>447</v>
      </c>
      <c r="T130" s="13" t="s">
        <v>10041</v>
      </c>
      <c r="U130" s="13" t="s">
        <v>9734</v>
      </c>
      <c r="V130" s="13" t="s">
        <v>9735</v>
      </c>
      <c r="W130" s="13" t="s">
        <v>9736</v>
      </c>
      <c r="X130" s="13" t="s">
        <v>9658</v>
      </c>
      <c r="Z130" s="13" t="s">
        <v>1363</v>
      </c>
      <c r="AA130" s="13" t="s">
        <v>9737</v>
      </c>
      <c r="AB130" s="13" t="s">
        <v>447</v>
      </c>
      <c r="AC130" s="21">
        <v>38978.54488425926</v>
      </c>
      <c r="AD130" s="21">
        <v>42550.736273148148</v>
      </c>
      <c r="AE130" s="13" t="s">
        <v>9629</v>
      </c>
      <c r="AF130" s="13" t="s">
        <v>9634</v>
      </c>
    </row>
    <row r="131" spans="1:32">
      <c r="A131" s="13" t="s">
        <v>10042</v>
      </c>
      <c r="B131" s="13" t="s">
        <v>1150</v>
      </c>
      <c r="C131" s="13" t="s">
        <v>1363</v>
      </c>
      <c r="D131" s="13" t="s">
        <v>1150</v>
      </c>
      <c r="E131" s="13" t="s">
        <v>1363</v>
      </c>
      <c r="F131" s="13" t="s">
        <v>447</v>
      </c>
      <c r="G131" s="13" t="s">
        <v>447</v>
      </c>
      <c r="H131" s="13" t="s">
        <v>1150</v>
      </c>
      <c r="I131" s="13" t="s">
        <v>10043</v>
      </c>
      <c r="J131" s="13" t="s">
        <v>447</v>
      </c>
      <c r="K131" s="13" t="s">
        <v>1363</v>
      </c>
      <c r="L131" s="13" t="s">
        <v>447</v>
      </c>
      <c r="M131" s="13" t="s">
        <v>1363</v>
      </c>
      <c r="N131" s="13" t="s">
        <v>9626</v>
      </c>
      <c r="O131" s="13" t="s">
        <v>9661</v>
      </c>
      <c r="P131" s="15">
        <v>367</v>
      </c>
      <c r="R131" s="13" t="s">
        <v>10043</v>
      </c>
      <c r="S131" s="13" t="s">
        <v>447</v>
      </c>
      <c r="T131" s="13" t="s">
        <v>10044</v>
      </c>
      <c r="U131" s="13" t="s">
        <v>9734</v>
      </c>
      <c r="V131" s="13" t="s">
        <v>9735</v>
      </c>
      <c r="W131" s="13" t="s">
        <v>9736</v>
      </c>
      <c r="X131" s="13" t="s">
        <v>9658</v>
      </c>
      <c r="Z131" s="13" t="s">
        <v>1363</v>
      </c>
      <c r="AA131" s="13" t="s">
        <v>9737</v>
      </c>
      <c r="AB131" s="13" t="s">
        <v>447</v>
      </c>
      <c r="AC131" s="21">
        <v>38978.544907407406</v>
      </c>
      <c r="AD131" s="21">
        <v>42550.736273148148</v>
      </c>
      <c r="AE131" s="13" t="s">
        <v>9629</v>
      </c>
      <c r="AF131" s="13" t="s">
        <v>9634</v>
      </c>
    </row>
    <row r="132" spans="1:32">
      <c r="A132" s="13" t="s">
        <v>10045</v>
      </c>
      <c r="B132" s="13" t="s">
        <v>1150</v>
      </c>
      <c r="C132" s="13" t="s">
        <v>1363</v>
      </c>
      <c r="D132" s="13" t="s">
        <v>1150</v>
      </c>
      <c r="E132" s="13" t="s">
        <v>1363</v>
      </c>
      <c r="F132" s="13" t="s">
        <v>447</v>
      </c>
      <c r="G132" s="13" t="s">
        <v>1363</v>
      </c>
      <c r="H132" s="13" t="s">
        <v>1381</v>
      </c>
      <c r="I132" s="13" t="s">
        <v>10046</v>
      </c>
      <c r="J132" s="13" t="s">
        <v>447</v>
      </c>
      <c r="K132" s="13" t="s">
        <v>1363</v>
      </c>
      <c r="L132" s="13" t="s">
        <v>447</v>
      </c>
      <c r="M132" s="13" t="s">
        <v>1363</v>
      </c>
      <c r="N132" s="13" t="s">
        <v>9626</v>
      </c>
      <c r="P132" s="15">
        <v>367</v>
      </c>
      <c r="Q132" s="15">
        <v>42550</v>
      </c>
      <c r="R132" s="13" t="s">
        <v>9740</v>
      </c>
      <c r="S132" s="13" t="s">
        <v>447</v>
      </c>
      <c r="T132" s="13" t="s">
        <v>10047</v>
      </c>
      <c r="U132" s="13" t="s">
        <v>9734</v>
      </c>
      <c r="V132" s="13" t="s">
        <v>9735</v>
      </c>
      <c r="W132" s="13" t="s">
        <v>9736</v>
      </c>
      <c r="X132" s="13" t="s">
        <v>9658</v>
      </c>
      <c r="Z132" s="13" t="s">
        <v>1363</v>
      </c>
      <c r="AA132" s="13" t="s">
        <v>9737</v>
      </c>
      <c r="AB132" s="13" t="s">
        <v>447</v>
      </c>
      <c r="AC132" s="21">
        <v>39379.369560185187</v>
      </c>
      <c r="AD132" s="21">
        <v>42550.736956018518</v>
      </c>
      <c r="AE132" s="13" t="s">
        <v>9629</v>
      </c>
      <c r="AF132" s="13" t="s">
        <v>9634</v>
      </c>
    </row>
    <row r="133" spans="1:32">
      <c r="A133" s="13" t="s">
        <v>10048</v>
      </c>
      <c r="B133" s="13" t="s">
        <v>1150</v>
      </c>
      <c r="C133" s="13" t="s">
        <v>1363</v>
      </c>
      <c r="D133" s="13" t="s">
        <v>1150</v>
      </c>
      <c r="E133" s="13" t="s">
        <v>1363</v>
      </c>
      <c r="F133" s="13" t="s">
        <v>447</v>
      </c>
      <c r="G133" s="13" t="s">
        <v>1363</v>
      </c>
      <c r="H133" s="13" t="s">
        <v>1381</v>
      </c>
      <c r="I133" s="13" t="s">
        <v>10049</v>
      </c>
      <c r="J133" s="13" t="s">
        <v>447</v>
      </c>
      <c r="K133" s="13" t="s">
        <v>1363</v>
      </c>
      <c r="L133" s="13" t="s">
        <v>447</v>
      </c>
      <c r="M133" s="13" t="s">
        <v>1363</v>
      </c>
      <c r="N133" s="13" t="s">
        <v>9626</v>
      </c>
      <c r="P133" s="15">
        <v>367</v>
      </c>
      <c r="Q133" s="15">
        <v>42550</v>
      </c>
      <c r="R133" s="13" t="s">
        <v>9740</v>
      </c>
      <c r="S133" s="13" t="s">
        <v>447</v>
      </c>
      <c r="T133" s="13" t="s">
        <v>10050</v>
      </c>
      <c r="U133" s="13" t="s">
        <v>9734</v>
      </c>
      <c r="V133" s="13" t="s">
        <v>9735</v>
      </c>
      <c r="W133" s="13" t="s">
        <v>9736</v>
      </c>
      <c r="X133" s="13" t="s">
        <v>9658</v>
      </c>
      <c r="Z133" s="13" t="s">
        <v>1363</v>
      </c>
      <c r="AA133" s="13" t="s">
        <v>9737</v>
      </c>
      <c r="AB133" s="13" t="s">
        <v>447</v>
      </c>
      <c r="AC133" s="21">
        <v>39379.369560185187</v>
      </c>
      <c r="AD133" s="21">
        <v>42550.736956018518</v>
      </c>
      <c r="AE133" s="13" t="s">
        <v>9629</v>
      </c>
      <c r="AF133" s="13" t="s">
        <v>9634</v>
      </c>
    </row>
    <row r="134" spans="1:32">
      <c r="A134" s="13" t="s">
        <v>10051</v>
      </c>
      <c r="B134" s="13" t="s">
        <v>1150</v>
      </c>
      <c r="C134" s="13" t="s">
        <v>1363</v>
      </c>
      <c r="D134" s="13" t="s">
        <v>1150</v>
      </c>
      <c r="E134" s="13" t="s">
        <v>1363</v>
      </c>
      <c r="F134" s="13" t="s">
        <v>447</v>
      </c>
      <c r="G134" s="13" t="s">
        <v>1363</v>
      </c>
      <c r="H134" s="13" t="s">
        <v>1381</v>
      </c>
      <c r="I134" s="13" t="s">
        <v>10052</v>
      </c>
      <c r="J134" s="13" t="s">
        <v>447</v>
      </c>
      <c r="K134" s="13" t="s">
        <v>1363</v>
      </c>
      <c r="L134" s="13" t="s">
        <v>447</v>
      </c>
      <c r="M134" s="13" t="s">
        <v>1363</v>
      </c>
      <c r="N134" s="13" t="s">
        <v>9626</v>
      </c>
      <c r="P134" s="15">
        <v>367</v>
      </c>
      <c r="Q134" s="15">
        <v>42550</v>
      </c>
      <c r="R134" s="13" t="s">
        <v>9844</v>
      </c>
      <c r="S134" s="13" t="s">
        <v>447</v>
      </c>
      <c r="T134" s="13" t="s">
        <v>10053</v>
      </c>
      <c r="U134" s="13" t="s">
        <v>9734</v>
      </c>
      <c r="V134" s="13" t="s">
        <v>9735</v>
      </c>
      <c r="W134" s="13" t="s">
        <v>9736</v>
      </c>
      <c r="X134" s="13" t="s">
        <v>9658</v>
      </c>
      <c r="Z134" s="13" t="s">
        <v>1363</v>
      </c>
      <c r="AA134" s="13" t="s">
        <v>9737</v>
      </c>
      <c r="AB134" s="13" t="s">
        <v>447</v>
      </c>
      <c r="AC134" s="21">
        <v>39379.376504629632</v>
      </c>
      <c r="AD134" s="21">
        <v>42550.736956018518</v>
      </c>
      <c r="AE134" s="13" t="s">
        <v>9629</v>
      </c>
      <c r="AF134" s="13" t="s">
        <v>9634</v>
      </c>
    </row>
    <row r="135" spans="1:32">
      <c r="A135" s="13" t="s">
        <v>10054</v>
      </c>
      <c r="B135" s="13" t="s">
        <v>1150</v>
      </c>
      <c r="C135" s="13" t="s">
        <v>1363</v>
      </c>
      <c r="D135" s="13" t="s">
        <v>1150</v>
      </c>
      <c r="E135" s="13" t="s">
        <v>1363</v>
      </c>
      <c r="F135" s="13" t="s">
        <v>447</v>
      </c>
      <c r="G135" s="13" t="s">
        <v>1363</v>
      </c>
      <c r="H135" s="13" t="s">
        <v>1381</v>
      </c>
      <c r="I135" s="13" t="s">
        <v>10055</v>
      </c>
      <c r="J135" s="13" t="s">
        <v>447</v>
      </c>
      <c r="K135" s="13" t="s">
        <v>1363</v>
      </c>
      <c r="L135" s="13" t="s">
        <v>447</v>
      </c>
      <c r="M135" s="13" t="s">
        <v>1363</v>
      </c>
      <c r="N135" s="13" t="s">
        <v>9626</v>
      </c>
      <c r="P135" s="15">
        <v>367</v>
      </c>
      <c r="Q135" s="15">
        <v>42550</v>
      </c>
      <c r="R135" s="13" t="s">
        <v>9844</v>
      </c>
      <c r="S135" s="13" t="s">
        <v>447</v>
      </c>
      <c r="T135" s="13" t="s">
        <v>10056</v>
      </c>
      <c r="U135" s="13" t="s">
        <v>9734</v>
      </c>
      <c r="V135" s="13" t="s">
        <v>9735</v>
      </c>
      <c r="W135" s="13" t="s">
        <v>9736</v>
      </c>
      <c r="X135" s="13" t="s">
        <v>9658</v>
      </c>
      <c r="Z135" s="13" t="s">
        <v>1363</v>
      </c>
      <c r="AA135" s="13" t="s">
        <v>9737</v>
      </c>
      <c r="AB135" s="13" t="s">
        <v>447</v>
      </c>
      <c r="AC135" s="21">
        <v>39379.376516203702</v>
      </c>
      <c r="AD135" s="21">
        <v>42550.736967592595</v>
      </c>
      <c r="AE135" s="13" t="s">
        <v>9629</v>
      </c>
      <c r="AF135" s="13" t="s">
        <v>9634</v>
      </c>
    </row>
    <row r="136" spans="1:32">
      <c r="A136" s="13" t="s">
        <v>10057</v>
      </c>
      <c r="B136" s="13" t="s">
        <v>1150</v>
      </c>
      <c r="C136" s="13" t="s">
        <v>1363</v>
      </c>
      <c r="D136" s="13" t="s">
        <v>1150</v>
      </c>
      <c r="E136" s="13" t="s">
        <v>1363</v>
      </c>
      <c r="F136" s="13" t="s">
        <v>447</v>
      </c>
      <c r="G136" s="13" t="s">
        <v>1363</v>
      </c>
      <c r="H136" s="13" t="s">
        <v>1381</v>
      </c>
      <c r="I136" s="13" t="s">
        <v>10058</v>
      </c>
      <c r="J136" s="13" t="s">
        <v>447</v>
      </c>
      <c r="K136" s="13" t="s">
        <v>1363</v>
      </c>
      <c r="L136" s="13" t="s">
        <v>447</v>
      </c>
      <c r="M136" s="13" t="s">
        <v>1363</v>
      </c>
      <c r="N136" s="13" t="s">
        <v>9626</v>
      </c>
      <c r="P136" s="15">
        <v>367</v>
      </c>
      <c r="Q136" s="15">
        <v>42550</v>
      </c>
      <c r="R136" s="13" t="s">
        <v>9844</v>
      </c>
      <c r="S136" s="13" t="s">
        <v>447</v>
      </c>
      <c r="T136" s="13" t="s">
        <v>10059</v>
      </c>
      <c r="U136" s="13" t="s">
        <v>9734</v>
      </c>
      <c r="V136" s="13" t="s">
        <v>9735</v>
      </c>
      <c r="W136" s="13" t="s">
        <v>9736</v>
      </c>
      <c r="X136" s="13" t="s">
        <v>9658</v>
      </c>
      <c r="Z136" s="13" t="s">
        <v>1363</v>
      </c>
      <c r="AA136" s="13" t="s">
        <v>9737</v>
      </c>
      <c r="AB136" s="13" t="s">
        <v>447</v>
      </c>
      <c r="AC136" s="21">
        <v>39379.376516203702</v>
      </c>
      <c r="AD136" s="21">
        <v>42550.736967592595</v>
      </c>
      <c r="AE136" s="13" t="s">
        <v>9629</v>
      </c>
      <c r="AF136" s="13" t="s">
        <v>9634</v>
      </c>
    </row>
    <row r="137" spans="1:32">
      <c r="A137" s="13" t="s">
        <v>10060</v>
      </c>
      <c r="B137" s="13" t="s">
        <v>1150</v>
      </c>
      <c r="C137" s="13" t="s">
        <v>1363</v>
      </c>
      <c r="D137" s="13" t="s">
        <v>1150</v>
      </c>
      <c r="E137" s="13" t="s">
        <v>1363</v>
      </c>
      <c r="F137" s="13" t="s">
        <v>447</v>
      </c>
      <c r="G137" s="13" t="s">
        <v>1363</v>
      </c>
      <c r="H137" s="13" t="s">
        <v>1381</v>
      </c>
      <c r="I137" s="13" t="s">
        <v>10061</v>
      </c>
      <c r="J137" s="13" t="s">
        <v>447</v>
      </c>
      <c r="K137" s="13" t="s">
        <v>1363</v>
      </c>
      <c r="L137" s="13" t="s">
        <v>447</v>
      </c>
      <c r="M137" s="13" t="s">
        <v>1363</v>
      </c>
      <c r="N137" s="13" t="s">
        <v>9626</v>
      </c>
      <c r="P137" s="15">
        <v>367</v>
      </c>
      <c r="Q137" s="15">
        <v>42550</v>
      </c>
      <c r="R137" s="13" t="s">
        <v>9844</v>
      </c>
      <c r="S137" s="13" t="s">
        <v>447</v>
      </c>
      <c r="T137" s="13" t="s">
        <v>10062</v>
      </c>
      <c r="U137" s="13" t="s">
        <v>9734</v>
      </c>
      <c r="V137" s="13" t="s">
        <v>9735</v>
      </c>
      <c r="W137" s="13" t="s">
        <v>9736</v>
      </c>
      <c r="X137" s="13" t="s">
        <v>9658</v>
      </c>
      <c r="Z137" s="13" t="s">
        <v>1363</v>
      </c>
      <c r="AA137" s="13" t="s">
        <v>9737</v>
      </c>
      <c r="AB137" s="13" t="s">
        <v>447</v>
      </c>
      <c r="AC137" s="21">
        <v>39379.376527777778</v>
      </c>
      <c r="AD137" s="21">
        <v>42550.736967592595</v>
      </c>
      <c r="AE137" s="13" t="s">
        <v>9629</v>
      </c>
      <c r="AF137" s="13" t="s">
        <v>9634</v>
      </c>
    </row>
    <row r="138" spans="1:32">
      <c r="A138" s="13" t="s">
        <v>10063</v>
      </c>
      <c r="B138" s="13" t="s">
        <v>1150</v>
      </c>
      <c r="C138" s="13" t="s">
        <v>1363</v>
      </c>
      <c r="D138" s="13" t="s">
        <v>1150</v>
      </c>
      <c r="E138" s="13" t="s">
        <v>1363</v>
      </c>
      <c r="F138" s="13" t="s">
        <v>447</v>
      </c>
      <c r="G138" s="13" t="s">
        <v>1363</v>
      </c>
      <c r="H138" s="13" t="s">
        <v>1381</v>
      </c>
      <c r="I138" s="13" t="s">
        <v>10064</v>
      </c>
      <c r="J138" s="13" t="s">
        <v>447</v>
      </c>
      <c r="K138" s="13" t="s">
        <v>1363</v>
      </c>
      <c r="L138" s="13" t="s">
        <v>447</v>
      </c>
      <c r="M138" s="13" t="s">
        <v>1363</v>
      </c>
      <c r="N138" s="13" t="s">
        <v>9626</v>
      </c>
      <c r="P138" s="15">
        <v>367</v>
      </c>
      <c r="Q138" s="15">
        <v>42550</v>
      </c>
      <c r="R138" s="13" t="s">
        <v>9844</v>
      </c>
      <c r="S138" s="13" t="s">
        <v>447</v>
      </c>
      <c r="T138" s="13" t="s">
        <v>10065</v>
      </c>
      <c r="U138" s="13" t="s">
        <v>9734</v>
      </c>
      <c r="V138" s="13" t="s">
        <v>9735</v>
      </c>
      <c r="W138" s="13" t="s">
        <v>9736</v>
      </c>
      <c r="X138" s="13" t="s">
        <v>9658</v>
      </c>
      <c r="Z138" s="13" t="s">
        <v>1363</v>
      </c>
      <c r="AA138" s="13" t="s">
        <v>9737</v>
      </c>
      <c r="AB138" s="13" t="s">
        <v>447</v>
      </c>
      <c r="AC138" s="21">
        <v>39379.376527777778</v>
      </c>
      <c r="AD138" s="21">
        <v>42550.736967592595</v>
      </c>
      <c r="AE138" s="13" t="s">
        <v>9629</v>
      </c>
      <c r="AF138" s="13" t="s">
        <v>9634</v>
      </c>
    </row>
    <row r="139" spans="1:32">
      <c r="A139" s="13" t="s">
        <v>10066</v>
      </c>
      <c r="B139" s="13" t="s">
        <v>1150</v>
      </c>
      <c r="C139" s="13" t="s">
        <v>1363</v>
      </c>
      <c r="D139" s="13" t="s">
        <v>1150</v>
      </c>
      <c r="E139" s="13" t="s">
        <v>1363</v>
      </c>
      <c r="F139" s="13" t="s">
        <v>447</v>
      </c>
      <c r="G139" s="13" t="s">
        <v>1363</v>
      </c>
      <c r="H139" s="13" t="s">
        <v>1381</v>
      </c>
      <c r="I139" s="13" t="s">
        <v>10067</v>
      </c>
      <c r="J139" s="13" t="s">
        <v>447</v>
      </c>
      <c r="K139" s="13" t="s">
        <v>1363</v>
      </c>
      <c r="L139" s="13" t="s">
        <v>447</v>
      </c>
      <c r="M139" s="13" t="s">
        <v>1363</v>
      </c>
      <c r="N139" s="13" t="s">
        <v>9626</v>
      </c>
      <c r="P139" s="15">
        <v>367</v>
      </c>
      <c r="Q139" s="15">
        <v>42550</v>
      </c>
      <c r="R139" s="13" t="s">
        <v>9844</v>
      </c>
      <c r="S139" s="13" t="s">
        <v>447</v>
      </c>
      <c r="T139" s="13" t="s">
        <v>10068</v>
      </c>
      <c r="U139" s="13" t="s">
        <v>9734</v>
      </c>
      <c r="V139" s="13" t="s">
        <v>9735</v>
      </c>
      <c r="W139" s="13" t="s">
        <v>9736</v>
      </c>
      <c r="X139" s="13" t="s">
        <v>9658</v>
      </c>
      <c r="Z139" s="13" t="s">
        <v>1363</v>
      </c>
      <c r="AA139" s="13" t="s">
        <v>9737</v>
      </c>
      <c r="AB139" s="13" t="s">
        <v>447</v>
      </c>
      <c r="AC139" s="21">
        <v>39379.376539351855</v>
      </c>
      <c r="AD139" s="21">
        <v>42550.736967592595</v>
      </c>
      <c r="AE139" s="13" t="s">
        <v>9629</v>
      </c>
      <c r="AF139" s="13" t="s">
        <v>9634</v>
      </c>
    </row>
    <row r="140" spans="1:32">
      <c r="A140" s="13" t="s">
        <v>10069</v>
      </c>
      <c r="B140" s="13" t="s">
        <v>1150</v>
      </c>
      <c r="C140" s="13" t="s">
        <v>1363</v>
      </c>
      <c r="D140" s="13" t="s">
        <v>1150</v>
      </c>
      <c r="E140" s="13" t="s">
        <v>1363</v>
      </c>
      <c r="F140" s="13" t="s">
        <v>447</v>
      </c>
      <c r="G140" s="13" t="s">
        <v>1363</v>
      </c>
      <c r="H140" s="13" t="s">
        <v>1381</v>
      </c>
      <c r="I140" s="13" t="s">
        <v>10070</v>
      </c>
      <c r="J140" s="13" t="s">
        <v>447</v>
      </c>
      <c r="K140" s="13" t="s">
        <v>1363</v>
      </c>
      <c r="L140" s="13" t="s">
        <v>447</v>
      </c>
      <c r="M140" s="13" t="s">
        <v>1363</v>
      </c>
      <c r="N140" s="13" t="s">
        <v>9626</v>
      </c>
      <c r="P140" s="15">
        <v>367</v>
      </c>
      <c r="Q140" s="15">
        <v>42550</v>
      </c>
      <c r="R140" s="13" t="s">
        <v>9844</v>
      </c>
      <c r="S140" s="13" t="s">
        <v>447</v>
      </c>
      <c r="T140" s="13" t="s">
        <v>10071</v>
      </c>
      <c r="U140" s="13" t="s">
        <v>9734</v>
      </c>
      <c r="V140" s="13" t="s">
        <v>9735</v>
      </c>
      <c r="W140" s="13" t="s">
        <v>9736</v>
      </c>
      <c r="X140" s="13" t="s">
        <v>9658</v>
      </c>
      <c r="Z140" s="13" t="s">
        <v>1363</v>
      </c>
      <c r="AA140" s="13" t="s">
        <v>9737</v>
      </c>
      <c r="AB140" s="13" t="s">
        <v>447</v>
      </c>
      <c r="AC140" s="21">
        <v>39379.376539351855</v>
      </c>
      <c r="AD140" s="21">
        <v>42550.736979166664</v>
      </c>
      <c r="AE140" s="13" t="s">
        <v>9629</v>
      </c>
      <c r="AF140" s="13" t="s">
        <v>9634</v>
      </c>
    </row>
    <row r="141" spans="1:32">
      <c r="A141" s="13" t="s">
        <v>10072</v>
      </c>
      <c r="B141" s="13" t="s">
        <v>1150</v>
      </c>
      <c r="C141" s="13" t="s">
        <v>1363</v>
      </c>
      <c r="D141" s="13" t="s">
        <v>1150</v>
      </c>
      <c r="E141" s="13" t="s">
        <v>1363</v>
      </c>
      <c r="F141" s="13" t="s">
        <v>447</v>
      </c>
      <c r="G141" s="13" t="s">
        <v>1363</v>
      </c>
      <c r="H141" s="13" t="s">
        <v>1381</v>
      </c>
      <c r="I141" s="13" t="s">
        <v>10073</v>
      </c>
      <c r="J141" s="13" t="s">
        <v>447</v>
      </c>
      <c r="K141" s="13" t="s">
        <v>1363</v>
      </c>
      <c r="L141" s="13" t="s">
        <v>447</v>
      </c>
      <c r="M141" s="13" t="s">
        <v>1363</v>
      </c>
      <c r="N141" s="13" t="s">
        <v>9626</v>
      </c>
      <c r="P141" s="15">
        <v>367</v>
      </c>
      <c r="Q141" s="15">
        <v>42550</v>
      </c>
      <c r="R141" s="13" t="s">
        <v>9844</v>
      </c>
      <c r="S141" s="13" t="s">
        <v>447</v>
      </c>
      <c r="T141" s="13" t="s">
        <v>10074</v>
      </c>
      <c r="U141" s="13" t="s">
        <v>9734</v>
      </c>
      <c r="V141" s="13" t="s">
        <v>9735</v>
      </c>
      <c r="W141" s="13" t="s">
        <v>9736</v>
      </c>
      <c r="X141" s="13" t="s">
        <v>9658</v>
      </c>
      <c r="Z141" s="13" t="s">
        <v>1363</v>
      </c>
      <c r="AA141" s="13" t="s">
        <v>9737</v>
      </c>
      <c r="AB141" s="13" t="s">
        <v>447</v>
      </c>
      <c r="AC141" s="21">
        <v>39379.376550925925</v>
      </c>
      <c r="AD141" s="21">
        <v>42550.736979166664</v>
      </c>
      <c r="AE141" s="13" t="s">
        <v>9629</v>
      </c>
      <c r="AF141" s="13" t="s">
        <v>9634</v>
      </c>
    </row>
    <row r="142" spans="1:32">
      <c r="A142" s="13" t="s">
        <v>10075</v>
      </c>
      <c r="B142" s="13" t="s">
        <v>1150</v>
      </c>
      <c r="C142" s="13" t="s">
        <v>1363</v>
      </c>
      <c r="D142" s="13" t="s">
        <v>1150</v>
      </c>
      <c r="E142" s="13" t="s">
        <v>1363</v>
      </c>
      <c r="F142" s="13" t="s">
        <v>447</v>
      </c>
      <c r="G142" s="13" t="s">
        <v>1363</v>
      </c>
      <c r="H142" s="13" t="s">
        <v>1381</v>
      </c>
      <c r="I142" s="13" t="s">
        <v>10076</v>
      </c>
      <c r="J142" s="13" t="s">
        <v>447</v>
      </c>
      <c r="K142" s="13" t="s">
        <v>1363</v>
      </c>
      <c r="L142" s="13" t="s">
        <v>447</v>
      </c>
      <c r="M142" s="13" t="s">
        <v>1363</v>
      </c>
      <c r="N142" s="13" t="s">
        <v>9626</v>
      </c>
      <c r="P142" s="15">
        <v>367</v>
      </c>
      <c r="Q142" s="15">
        <v>42550</v>
      </c>
      <c r="R142" s="13" t="s">
        <v>9844</v>
      </c>
      <c r="S142" s="13" t="s">
        <v>447</v>
      </c>
      <c r="T142" s="13" t="s">
        <v>10077</v>
      </c>
      <c r="U142" s="13" t="s">
        <v>9734</v>
      </c>
      <c r="V142" s="13" t="s">
        <v>9735</v>
      </c>
      <c r="W142" s="13" t="s">
        <v>9736</v>
      </c>
      <c r="X142" s="13" t="s">
        <v>9658</v>
      </c>
      <c r="Z142" s="13" t="s">
        <v>1363</v>
      </c>
      <c r="AA142" s="13" t="s">
        <v>9737</v>
      </c>
      <c r="AB142" s="13" t="s">
        <v>447</v>
      </c>
      <c r="AC142" s="21">
        <v>39379.376550925925</v>
      </c>
      <c r="AD142" s="21">
        <v>42550.736979166664</v>
      </c>
      <c r="AE142" s="13" t="s">
        <v>9629</v>
      </c>
      <c r="AF142" s="13" t="s">
        <v>9634</v>
      </c>
    </row>
    <row r="143" spans="1:32">
      <c r="A143" s="13" t="s">
        <v>10078</v>
      </c>
      <c r="B143" s="13" t="s">
        <v>1150</v>
      </c>
      <c r="C143" s="13" t="s">
        <v>1363</v>
      </c>
      <c r="D143" s="13" t="s">
        <v>1150</v>
      </c>
      <c r="E143" s="13" t="s">
        <v>1363</v>
      </c>
      <c r="F143" s="13" t="s">
        <v>447</v>
      </c>
      <c r="G143" s="13" t="s">
        <v>1363</v>
      </c>
      <c r="H143" s="13" t="s">
        <v>1381</v>
      </c>
      <c r="I143" s="13" t="s">
        <v>10079</v>
      </c>
      <c r="J143" s="13" t="s">
        <v>447</v>
      </c>
      <c r="K143" s="13" t="s">
        <v>1363</v>
      </c>
      <c r="L143" s="13" t="s">
        <v>447</v>
      </c>
      <c r="M143" s="13" t="s">
        <v>1363</v>
      </c>
      <c r="N143" s="13" t="s">
        <v>9626</v>
      </c>
      <c r="P143" s="15">
        <v>367</v>
      </c>
      <c r="Q143" s="15">
        <v>42550</v>
      </c>
      <c r="R143" s="13" t="s">
        <v>9844</v>
      </c>
      <c r="S143" s="13" t="s">
        <v>447</v>
      </c>
      <c r="T143" s="13" t="s">
        <v>10080</v>
      </c>
      <c r="U143" s="13" t="s">
        <v>9734</v>
      </c>
      <c r="V143" s="13" t="s">
        <v>9735</v>
      </c>
      <c r="W143" s="13" t="s">
        <v>9736</v>
      </c>
      <c r="X143" s="13" t="s">
        <v>9658</v>
      </c>
      <c r="Z143" s="13" t="s">
        <v>1363</v>
      </c>
      <c r="AA143" s="13" t="s">
        <v>9737</v>
      </c>
      <c r="AB143" s="13" t="s">
        <v>447</v>
      </c>
      <c r="AC143" s="21">
        <v>39379.376562500001</v>
      </c>
      <c r="AD143" s="21">
        <v>42550.736979166664</v>
      </c>
      <c r="AE143" s="13" t="s">
        <v>9629</v>
      </c>
      <c r="AF143" s="13" t="s">
        <v>9634</v>
      </c>
    </row>
    <row r="144" spans="1:32">
      <c r="A144" s="13" t="s">
        <v>10081</v>
      </c>
      <c r="B144" s="13" t="s">
        <v>1150</v>
      </c>
      <c r="C144" s="13" t="s">
        <v>1363</v>
      </c>
      <c r="D144" s="13" t="s">
        <v>1150</v>
      </c>
      <c r="E144" s="13" t="s">
        <v>1363</v>
      </c>
      <c r="F144" s="13" t="s">
        <v>447</v>
      </c>
      <c r="G144" s="13" t="s">
        <v>1363</v>
      </c>
      <c r="H144" s="13" t="s">
        <v>1381</v>
      </c>
      <c r="I144" s="13" t="s">
        <v>10082</v>
      </c>
      <c r="J144" s="13" t="s">
        <v>447</v>
      </c>
      <c r="K144" s="13" t="s">
        <v>1363</v>
      </c>
      <c r="L144" s="13" t="s">
        <v>447</v>
      </c>
      <c r="M144" s="13" t="s">
        <v>1363</v>
      </c>
      <c r="N144" s="13" t="s">
        <v>9626</v>
      </c>
      <c r="P144" s="15">
        <v>367</v>
      </c>
      <c r="Q144" s="15">
        <v>42550</v>
      </c>
      <c r="R144" s="13" t="s">
        <v>9844</v>
      </c>
      <c r="S144" s="13" t="s">
        <v>447</v>
      </c>
      <c r="T144" s="13" t="s">
        <v>10083</v>
      </c>
      <c r="U144" s="13" t="s">
        <v>9734</v>
      </c>
      <c r="V144" s="13" t="s">
        <v>9735</v>
      </c>
      <c r="W144" s="13" t="s">
        <v>9736</v>
      </c>
      <c r="X144" s="13" t="s">
        <v>9658</v>
      </c>
      <c r="Z144" s="13" t="s">
        <v>1363</v>
      </c>
      <c r="AA144" s="13" t="s">
        <v>9737</v>
      </c>
      <c r="AB144" s="13" t="s">
        <v>447</v>
      </c>
      <c r="AC144" s="21">
        <v>39379.376562500001</v>
      </c>
      <c r="AD144" s="21">
        <v>42550.736979166664</v>
      </c>
      <c r="AE144" s="13" t="s">
        <v>9629</v>
      </c>
      <c r="AF144" s="13" t="s">
        <v>9634</v>
      </c>
    </row>
    <row r="145" spans="1:32">
      <c r="A145" s="13" t="s">
        <v>10084</v>
      </c>
      <c r="B145" s="13" t="s">
        <v>1150</v>
      </c>
      <c r="C145" s="13" t="s">
        <v>1363</v>
      </c>
      <c r="D145" s="13" t="s">
        <v>1150</v>
      </c>
      <c r="E145" s="13" t="s">
        <v>1363</v>
      </c>
      <c r="F145" s="13" t="s">
        <v>447</v>
      </c>
      <c r="G145" s="13" t="s">
        <v>1363</v>
      </c>
      <c r="H145" s="13" t="s">
        <v>1381</v>
      </c>
      <c r="I145" s="13" t="s">
        <v>10085</v>
      </c>
      <c r="J145" s="13" t="s">
        <v>447</v>
      </c>
      <c r="K145" s="13" t="s">
        <v>1363</v>
      </c>
      <c r="L145" s="13" t="s">
        <v>447</v>
      </c>
      <c r="M145" s="13" t="s">
        <v>1363</v>
      </c>
      <c r="N145" s="13" t="s">
        <v>9626</v>
      </c>
      <c r="P145" s="15">
        <v>367</v>
      </c>
      <c r="Q145" s="15">
        <v>42550</v>
      </c>
      <c r="R145" s="13" t="s">
        <v>9844</v>
      </c>
      <c r="S145" s="13" t="s">
        <v>447</v>
      </c>
      <c r="T145" s="13" t="s">
        <v>10086</v>
      </c>
      <c r="U145" s="13" t="s">
        <v>9734</v>
      </c>
      <c r="V145" s="13" t="s">
        <v>9735</v>
      </c>
      <c r="W145" s="13" t="s">
        <v>9736</v>
      </c>
      <c r="X145" s="13" t="s">
        <v>9658</v>
      </c>
      <c r="Z145" s="13" t="s">
        <v>1363</v>
      </c>
      <c r="AA145" s="13" t="s">
        <v>9737</v>
      </c>
      <c r="AB145" s="13" t="s">
        <v>447</v>
      </c>
      <c r="AC145" s="21">
        <v>39379.376574074071</v>
      </c>
      <c r="AD145" s="21">
        <v>42550.736979166664</v>
      </c>
      <c r="AE145" s="13" t="s">
        <v>9629</v>
      </c>
      <c r="AF145" s="13" t="s">
        <v>9634</v>
      </c>
    </row>
    <row r="146" spans="1:32">
      <c r="A146" s="13" t="s">
        <v>10087</v>
      </c>
      <c r="B146" s="13" t="s">
        <v>1150</v>
      </c>
      <c r="C146" s="13" t="s">
        <v>1363</v>
      </c>
      <c r="D146" s="13" t="s">
        <v>1150</v>
      </c>
      <c r="E146" s="13" t="s">
        <v>1363</v>
      </c>
      <c r="F146" s="13" t="s">
        <v>447</v>
      </c>
      <c r="G146" s="13" t="s">
        <v>1363</v>
      </c>
      <c r="H146" s="13" t="s">
        <v>1381</v>
      </c>
      <c r="I146" s="13" t="s">
        <v>10088</v>
      </c>
      <c r="J146" s="13" t="s">
        <v>447</v>
      </c>
      <c r="K146" s="13" t="s">
        <v>1363</v>
      </c>
      <c r="L146" s="13" t="s">
        <v>447</v>
      </c>
      <c r="M146" s="13" t="s">
        <v>1363</v>
      </c>
      <c r="N146" s="13" t="s">
        <v>9626</v>
      </c>
      <c r="P146" s="15">
        <v>367</v>
      </c>
      <c r="Q146" s="15">
        <v>42550</v>
      </c>
      <c r="R146" s="13" t="s">
        <v>9844</v>
      </c>
      <c r="S146" s="13" t="s">
        <v>447</v>
      </c>
      <c r="T146" s="13" t="s">
        <v>10089</v>
      </c>
      <c r="U146" s="13" t="s">
        <v>9734</v>
      </c>
      <c r="V146" s="13" t="s">
        <v>9735</v>
      </c>
      <c r="W146" s="13" t="s">
        <v>9736</v>
      </c>
      <c r="X146" s="13" t="s">
        <v>9658</v>
      </c>
      <c r="Z146" s="13" t="s">
        <v>1363</v>
      </c>
      <c r="AA146" s="13" t="s">
        <v>9737</v>
      </c>
      <c r="AB146" s="13" t="s">
        <v>447</v>
      </c>
      <c r="AC146" s="21">
        <v>39379.376574074071</v>
      </c>
      <c r="AD146" s="21">
        <v>42550.736990740741</v>
      </c>
      <c r="AE146" s="13" t="s">
        <v>9629</v>
      </c>
      <c r="AF146" s="13" t="s">
        <v>9634</v>
      </c>
    </row>
    <row r="147" spans="1:32">
      <c r="A147" s="13" t="s">
        <v>10090</v>
      </c>
      <c r="B147" s="13" t="s">
        <v>1150</v>
      </c>
      <c r="C147" s="13" t="s">
        <v>1363</v>
      </c>
      <c r="D147" s="13" t="s">
        <v>1150</v>
      </c>
      <c r="E147" s="13" t="s">
        <v>1363</v>
      </c>
      <c r="F147" s="13" t="s">
        <v>447</v>
      </c>
      <c r="G147" s="13" t="s">
        <v>1363</v>
      </c>
      <c r="H147" s="13" t="s">
        <v>1381</v>
      </c>
      <c r="I147" s="13" t="s">
        <v>10091</v>
      </c>
      <c r="J147" s="13" t="s">
        <v>447</v>
      </c>
      <c r="K147" s="13" t="s">
        <v>1363</v>
      </c>
      <c r="L147" s="13" t="s">
        <v>447</v>
      </c>
      <c r="M147" s="13" t="s">
        <v>1363</v>
      </c>
      <c r="N147" s="13" t="s">
        <v>9626</v>
      </c>
      <c r="P147" s="15">
        <v>367</v>
      </c>
      <c r="Q147" s="15">
        <v>42550</v>
      </c>
      <c r="R147" s="13" t="s">
        <v>9844</v>
      </c>
      <c r="S147" s="13" t="s">
        <v>447</v>
      </c>
      <c r="T147" s="13" t="s">
        <v>10092</v>
      </c>
      <c r="U147" s="13" t="s">
        <v>9734</v>
      </c>
      <c r="V147" s="13" t="s">
        <v>9735</v>
      </c>
      <c r="W147" s="13" t="s">
        <v>9736</v>
      </c>
      <c r="X147" s="13" t="s">
        <v>9658</v>
      </c>
      <c r="Z147" s="13" t="s">
        <v>1363</v>
      </c>
      <c r="AA147" s="13" t="s">
        <v>9737</v>
      </c>
      <c r="AB147" s="13" t="s">
        <v>447</v>
      </c>
      <c r="AC147" s="21">
        <v>39379.376574074071</v>
      </c>
      <c r="AD147" s="21">
        <v>42550.736990740741</v>
      </c>
      <c r="AE147" s="13" t="s">
        <v>9629</v>
      </c>
      <c r="AF147" s="13" t="s">
        <v>9634</v>
      </c>
    </row>
    <row r="148" spans="1:32">
      <c r="A148" s="13" t="s">
        <v>10093</v>
      </c>
      <c r="B148" s="13" t="s">
        <v>1150</v>
      </c>
      <c r="C148" s="13" t="s">
        <v>1363</v>
      </c>
      <c r="D148" s="13" t="s">
        <v>1150</v>
      </c>
      <c r="E148" s="13" t="s">
        <v>1363</v>
      </c>
      <c r="F148" s="13" t="s">
        <v>447</v>
      </c>
      <c r="G148" s="13" t="s">
        <v>1363</v>
      </c>
      <c r="H148" s="13" t="s">
        <v>1381</v>
      </c>
      <c r="I148" s="13" t="s">
        <v>10094</v>
      </c>
      <c r="J148" s="13" t="s">
        <v>447</v>
      </c>
      <c r="K148" s="13" t="s">
        <v>1363</v>
      </c>
      <c r="L148" s="13" t="s">
        <v>447</v>
      </c>
      <c r="M148" s="13" t="s">
        <v>1363</v>
      </c>
      <c r="N148" s="13" t="s">
        <v>9626</v>
      </c>
      <c r="P148" s="15">
        <v>367</v>
      </c>
      <c r="Q148" s="15">
        <v>42550</v>
      </c>
      <c r="R148" s="13" t="s">
        <v>9844</v>
      </c>
      <c r="S148" s="13" t="s">
        <v>447</v>
      </c>
      <c r="T148" s="13" t="s">
        <v>10095</v>
      </c>
      <c r="U148" s="13" t="s">
        <v>9734</v>
      </c>
      <c r="V148" s="13" t="s">
        <v>9735</v>
      </c>
      <c r="W148" s="13" t="s">
        <v>9736</v>
      </c>
      <c r="X148" s="13" t="s">
        <v>9658</v>
      </c>
      <c r="Z148" s="13" t="s">
        <v>1363</v>
      </c>
      <c r="AA148" s="13" t="s">
        <v>9737</v>
      </c>
      <c r="AB148" s="13" t="s">
        <v>447</v>
      </c>
      <c r="AC148" s="21">
        <v>39379.376585648148</v>
      </c>
      <c r="AD148" s="21">
        <v>42550.736990740741</v>
      </c>
      <c r="AE148" s="13" t="s">
        <v>9629</v>
      </c>
      <c r="AF148" s="13" t="s">
        <v>9634</v>
      </c>
    </row>
    <row r="149" spans="1:32">
      <c r="A149" s="13" t="s">
        <v>10096</v>
      </c>
      <c r="B149" s="13" t="s">
        <v>1150</v>
      </c>
      <c r="C149" s="13" t="s">
        <v>1363</v>
      </c>
      <c r="D149" s="13" t="s">
        <v>1150</v>
      </c>
      <c r="E149" s="13" t="s">
        <v>1363</v>
      </c>
      <c r="F149" s="13" t="s">
        <v>447</v>
      </c>
      <c r="G149" s="13" t="s">
        <v>1363</v>
      </c>
      <c r="H149" s="13" t="s">
        <v>1381</v>
      </c>
      <c r="I149" s="13" t="s">
        <v>10097</v>
      </c>
      <c r="J149" s="13" t="s">
        <v>447</v>
      </c>
      <c r="K149" s="13" t="s">
        <v>1363</v>
      </c>
      <c r="L149" s="13" t="s">
        <v>447</v>
      </c>
      <c r="M149" s="13" t="s">
        <v>1363</v>
      </c>
      <c r="N149" s="13" t="s">
        <v>9626</v>
      </c>
      <c r="P149" s="15">
        <v>367</v>
      </c>
      <c r="Q149" s="15">
        <v>42550</v>
      </c>
      <c r="R149" s="13" t="s">
        <v>9844</v>
      </c>
      <c r="S149" s="13" t="s">
        <v>447</v>
      </c>
      <c r="T149" s="13" t="s">
        <v>10098</v>
      </c>
      <c r="U149" s="13" t="s">
        <v>9734</v>
      </c>
      <c r="V149" s="13" t="s">
        <v>9735</v>
      </c>
      <c r="W149" s="13" t="s">
        <v>9736</v>
      </c>
      <c r="X149" s="13" t="s">
        <v>9658</v>
      </c>
      <c r="Z149" s="13" t="s">
        <v>1363</v>
      </c>
      <c r="AA149" s="13" t="s">
        <v>9737</v>
      </c>
      <c r="AB149" s="13" t="s">
        <v>447</v>
      </c>
      <c r="AC149" s="21">
        <v>39379.376597222225</v>
      </c>
      <c r="AD149" s="21">
        <v>42550.736990740741</v>
      </c>
      <c r="AE149" s="13" t="s">
        <v>9629</v>
      </c>
      <c r="AF149" s="13" t="s">
        <v>9634</v>
      </c>
    </row>
    <row r="150" spans="1:32">
      <c r="A150" s="13" t="s">
        <v>10099</v>
      </c>
      <c r="B150" s="13" t="s">
        <v>1150</v>
      </c>
      <c r="C150" s="13" t="s">
        <v>1363</v>
      </c>
      <c r="D150" s="13" t="s">
        <v>1150</v>
      </c>
      <c r="E150" s="13" t="s">
        <v>1363</v>
      </c>
      <c r="F150" s="13" t="s">
        <v>447</v>
      </c>
      <c r="G150" s="13" t="s">
        <v>1363</v>
      </c>
      <c r="H150" s="13" t="s">
        <v>1381</v>
      </c>
      <c r="I150" s="13" t="s">
        <v>10100</v>
      </c>
      <c r="J150" s="13" t="s">
        <v>447</v>
      </c>
      <c r="K150" s="13" t="s">
        <v>1363</v>
      </c>
      <c r="L150" s="13" t="s">
        <v>447</v>
      </c>
      <c r="M150" s="13" t="s">
        <v>1363</v>
      </c>
      <c r="N150" s="13" t="s">
        <v>9626</v>
      </c>
      <c r="P150" s="15">
        <v>367</v>
      </c>
      <c r="Q150" s="15">
        <v>42550</v>
      </c>
      <c r="R150" s="13" t="s">
        <v>10101</v>
      </c>
      <c r="S150" s="13" t="s">
        <v>447</v>
      </c>
      <c r="T150" s="13" t="s">
        <v>10102</v>
      </c>
      <c r="U150" s="13" t="s">
        <v>9734</v>
      </c>
      <c r="V150" s="13" t="s">
        <v>9735</v>
      </c>
      <c r="W150" s="13" t="s">
        <v>9736</v>
      </c>
      <c r="X150" s="13" t="s">
        <v>9658</v>
      </c>
      <c r="Z150" s="13" t="s">
        <v>1363</v>
      </c>
      <c r="AA150" s="13" t="s">
        <v>9737</v>
      </c>
      <c r="AB150" s="13" t="s">
        <v>447</v>
      </c>
      <c r="AC150" s="21">
        <v>39379.378622685188</v>
      </c>
      <c r="AD150" s="21">
        <v>42550.736990740741</v>
      </c>
      <c r="AE150" s="13" t="s">
        <v>9629</v>
      </c>
      <c r="AF150" s="13" t="s">
        <v>9634</v>
      </c>
    </row>
    <row r="151" spans="1:32">
      <c r="A151" s="13" t="s">
        <v>10103</v>
      </c>
      <c r="B151" s="13" t="s">
        <v>1150</v>
      </c>
      <c r="C151" s="13" t="s">
        <v>1363</v>
      </c>
      <c r="D151" s="13" t="s">
        <v>1150</v>
      </c>
      <c r="E151" s="13" t="s">
        <v>1363</v>
      </c>
      <c r="F151" s="13" t="s">
        <v>447</v>
      </c>
      <c r="G151" s="13" t="s">
        <v>1363</v>
      </c>
      <c r="H151" s="13" t="s">
        <v>1381</v>
      </c>
      <c r="I151" s="13" t="s">
        <v>10104</v>
      </c>
      <c r="J151" s="13" t="s">
        <v>447</v>
      </c>
      <c r="K151" s="13" t="s">
        <v>1363</v>
      </c>
      <c r="L151" s="13" t="s">
        <v>447</v>
      </c>
      <c r="M151" s="13" t="s">
        <v>1363</v>
      </c>
      <c r="N151" s="13" t="s">
        <v>9626</v>
      </c>
      <c r="P151" s="15">
        <v>367</v>
      </c>
      <c r="Q151" s="15">
        <v>42550</v>
      </c>
      <c r="R151" s="13" t="s">
        <v>10101</v>
      </c>
      <c r="S151" s="13" t="s">
        <v>447</v>
      </c>
      <c r="T151" s="13" t="s">
        <v>10105</v>
      </c>
      <c r="U151" s="13" t="s">
        <v>9734</v>
      </c>
      <c r="V151" s="13" t="s">
        <v>9735</v>
      </c>
      <c r="W151" s="13" t="s">
        <v>9736</v>
      </c>
      <c r="X151" s="13" t="s">
        <v>9658</v>
      </c>
      <c r="Z151" s="13" t="s">
        <v>1363</v>
      </c>
      <c r="AA151" s="13" t="s">
        <v>9737</v>
      </c>
      <c r="AB151" s="13" t="s">
        <v>447</v>
      </c>
      <c r="AC151" s="21">
        <v>39379.378622685188</v>
      </c>
      <c r="AD151" s="21">
        <v>42550.736990740741</v>
      </c>
      <c r="AE151" s="13" t="s">
        <v>9629</v>
      </c>
      <c r="AF151" s="13" t="s">
        <v>9634</v>
      </c>
    </row>
    <row r="152" spans="1:32">
      <c r="A152" s="13" t="s">
        <v>10106</v>
      </c>
      <c r="B152" s="13" t="s">
        <v>1150</v>
      </c>
      <c r="C152" s="13" t="s">
        <v>1363</v>
      </c>
      <c r="D152" s="13" t="s">
        <v>1150</v>
      </c>
      <c r="E152" s="13" t="s">
        <v>1363</v>
      </c>
      <c r="F152" s="13" t="s">
        <v>447</v>
      </c>
      <c r="G152" s="13" t="s">
        <v>1363</v>
      </c>
      <c r="H152" s="13" t="s">
        <v>1381</v>
      </c>
      <c r="I152" s="13" t="s">
        <v>10107</v>
      </c>
      <c r="J152" s="13" t="s">
        <v>447</v>
      </c>
      <c r="K152" s="13" t="s">
        <v>1363</v>
      </c>
      <c r="L152" s="13" t="s">
        <v>447</v>
      </c>
      <c r="M152" s="13" t="s">
        <v>1363</v>
      </c>
      <c r="N152" s="13" t="s">
        <v>9626</v>
      </c>
      <c r="P152" s="15">
        <v>367</v>
      </c>
      <c r="Q152" s="15">
        <v>42550</v>
      </c>
      <c r="R152" s="13" t="s">
        <v>10101</v>
      </c>
      <c r="S152" s="13" t="s">
        <v>447</v>
      </c>
      <c r="T152" s="13" t="s">
        <v>10108</v>
      </c>
      <c r="U152" s="13" t="s">
        <v>9734</v>
      </c>
      <c r="V152" s="13" t="s">
        <v>9735</v>
      </c>
      <c r="W152" s="13" t="s">
        <v>9736</v>
      </c>
      <c r="X152" s="13" t="s">
        <v>9658</v>
      </c>
      <c r="Z152" s="13" t="s">
        <v>1363</v>
      </c>
      <c r="AA152" s="13" t="s">
        <v>9737</v>
      </c>
      <c r="AB152" s="13" t="s">
        <v>447</v>
      </c>
      <c r="AC152" s="21">
        <v>39379.378622685188</v>
      </c>
      <c r="AD152" s="21">
        <v>42550.736990740741</v>
      </c>
      <c r="AE152" s="13" t="s">
        <v>9629</v>
      </c>
      <c r="AF152" s="13" t="s">
        <v>9634</v>
      </c>
    </row>
    <row r="153" spans="1:32">
      <c r="A153" s="13" t="s">
        <v>10109</v>
      </c>
      <c r="B153" s="13" t="s">
        <v>1150</v>
      </c>
      <c r="C153" s="13" t="s">
        <v>1363</v>
      </c>
      <c r="D153" s="13" t="s">
        <v>1150</v>
      </c>
      <c r="E153" s="13" t="s">
        <v>1363</v>
      </c>
      <c r="F153" s="13" t="s">
        <v>447</v>
      </c>
      <c r="G153" s="13" t="s">
        <v>1363</v>
      </c>
      <c r="H153" s="13" t="s">
        <v>1381</v>
      </c>
      <c r="I153" s="13" t="s">
        <v>10110</v>
      </c>
      <c r="J153" s="13" t="s">
        <v>447</v>
      </c>
      <c r="K153" s="13" t="s">
        <v>1363</v>
      </c>
      <c r="L153" s="13" t="s">
        <v>447</v>
      </c>
      <c r="M153" s="13" t="s">
        <v>1363</v>
      </c>
      <c r="N153" s="13" t="s">
        <v>9626</v>
      </c>
      <c r="P153" s="15">
        <v>367</v>
      </c>
      <c r="Q153" s="15">
        <v>42550</v>
      </c>
      <c r="R153" s="13" t="s">
        <v>10101</v>
      </c>
      <c r="S153" s="13" t="s">
        <v>447</v>
      </c>
      <c r="T153" s="13" t="s">
        <v>10111</v>
      </c>
      <c r="U153" s="13" t="s">
        <v>9734</v>
      </c>
      <c r="V153" s="13" t="s">
        <v>9735</v>
      </c>
      <c r="W153" s="13" t="s">
        <v>9736</v>
      </c>
      <c r="X153" s="13" t="s">
        <v>9658</v>
      </c>
      <c r="Z153" s="13" t="s">
        <v>1363</v>
      </c>
      <c r="AA153" s="13" t="s">
        <v>9737</v>
      </c>
      <c r="AB153" s="13" t="s">
        <v>447</v>
      </c>
      <c r="AC153" s="21">
        <v>39379.378622685188</v>
      </c>
      <c r="AD153" s="21">
        <v>42550.737002314818</v>
      </c>
      <c r="AE153" s="13" t="s">
        <v>9629</v>
      </c>
      <c r="AF153" s="13" t="s">
        <v>9634</v>
      </c>
    </row>
    <row r="154" spans="1:32">
      <c r="A154" s="13" t="s">
        <v>10112</v>
      </c>
      <c r="B154" s="13" t="s">
        <v>1150</v>
      </c>
      <c r="C154" s="13" t="s">
        <v>1363</v>
      </c>
      <c r="D154" s="13" t="s">
        <v>1150</v>
      </c>
      <c r="E154" s="13" t="s">
        <v>1363</v>
      </c>
      <c r="F154" s="13" t="s">
        <v>447</v>
      </c>
      <c r="G154" s="13" t="s">
        <v>1363</v>
      </c>
      <c r="H154" s="13" t="s">
        <v>1381</v>
      </c>
      <c r="I154" s="13" t="s">
        <v>10113</v>
      </c>
      <c r="J154" s="13" t="s">
        <v>447</v>
      </c>
      <c r="K154" s="13" t="s">
        <v>1363</v>
      </c>
      <c r="L154" s="13" t="s">
        <v>447</v>
      </c>
      <c r="M154" s="13" t="s">
        <v>1363</v>
      </c>
      <c r="N154" s="13" t="s">
        <v>9626</v>
      </c>
      <c r="P154" s="15">
        <v>367</v>
      </c>
      <c r="Q154" s="15">
        <v>42550</v>
      </c>
      <c r="R154" s="13" t="s">
        <v>10101</v>
      </c>
      <c r="S154" s="13" t="s">
        <v>447</v>
      </c>
      <c r="T154" s="13" t="s">
        <v>10114</v>
      </c>
      <c r="U154" s="13" t="s">
        <v>9734</v>
      </c>
      <c r="V154" s="13" t="s">
        <v>9735</v>
      </c>
      <c r="W154" s="13" t="s">
        <v>9736</v>
      </c>
      <c r="X154" s="13" t="s">
        <v>9658</v>
      </c>
      <c r="Z154" s="13" t="s">
        <v>1363</v>
      </c>
      <c r="AA154" s="13" t="s">
        <v>9737</v>
      </c>
      <c r="AB154" s="13" t="s">
        <v>447</v>
      </c>
      <c r="AC154" s="21">
        <v>39379.378634259258</v>
      </c>
      <c r="AD154" s="21">
        <v>42550.737002314818</v>
      </c>
      <c r="AE154" s="13" t="s">
        <v>9629</v>
      </c>
      <c r="AF154" s="13" t="s">
        <v>9634</v>
      </c>
    </row>
    <row r="155" spans="1:32">
      <c r="A155" s="13" t="s">
        <v>10115</v>
      </c>
      <c r="B155" s="13" t="s">
        <v>1150</v>
      </c>
      <c r="C155" s="13" t="s">
        <v>1363</v>
      </c>
      <c r="D155" s="13" t="s">
        <v>1150</v>
      </c>
      <c r="E155" s="13" t="s">
        <v>1363</v>
      </c>
      <c r="F155" s="13" t="s">
        <v>447</v>
      </c>
      <c r="G155" s="13" t="s">
        <v>1363</v>
      </c>
      <c r="H155" s="13" t="s">
        <v>1381</v>
      </c>
      <c r="I155" s="13" t="s">
        <v>10116</v>
      </c>
      <c r="J155" s="13" t="s">
        <v>447</v>
      </c>
      <c r="K155" s="13" t="s">
        <v>1363</v>
      </c>
      <c r="L155" s="13" t="s">
        <v>447</v>
      </c>
      <c r="M155" s="13" t="s">
        <v>1363</v>
      </c>
      <c r="N155" s="13" t="s">
        <v>9626</v>
      </c>
      <c r="P155" s="15">
        <v>367</v>
      </c>
      <c r="Q155" s="15">
        <v>42550</v>
      </c>
      <c r="R155" s="13" t="s">
        <v>10101</v>
      </c>
      <c r="S155" s="13" t="s">
        <v>447</v>
      </c>
      <c r="T155" s="13" t="s">
        <v>10117</v>
      </c>
      <c r="U155" s="13" t="s">
        <v>9734</v>
      </c>
      <c r="V155" s="13" t="s">
        <v>9735</v>
      </c>
      <c r="W155" s="13" t="s">
        <v>9736</v>
      </c>
      <c r="X155" s="13" t="s">
        <v>9658</v>
      </c>
      <c r="Z155" s="13" t="s">
        <v>1363</v>
      </c>
      <c r="AA155" s="13" t="s">
        <v>9737</v>
      </c>
      <c r="AB155" s="13" t="s">
        <v>447</v>
      </c>
      <c r="AC155" s="21">
        <v>39379.378634259258</v>
      </c>
      <c r="AD155" s="21">
        <v>42550.737002314818</v>
      </c>
      <c r="AE155" s="13" t="s">
        <v>9629</v>
      </c>
      <c r="AF155" s="13" t="s">
        <v>9634</v>
      </c>
    </row>
    <row r="156" spans="1:32">
      <c r="A156" s="13" t="s">
        <v>10118</v>
      </c>
      <c r="B156" s="13" t="s">
        <v>1150</v>
      </c>
      <c r="C156" s="13" t="s">
        <v>1363</v>
      </c>
      <c r="D156" s="13" t="s">
        <v>1150</v>
      </c>
      <c r="E156" s="13" t="s">
        <v>1363</v>
      </c>
      <c r="F156" s="13" t="s">
        <v>447</v>
      </c>
      <c r="G156" s="13" t="s">
        <v>1363</v>
      </c>
      <c r="H156" s="13" t="s">
        <v>1381</v>
      </c>
      <c r="I156" s="13" t="s">
        <v>10119</v>
      </c>
      <c r="J156" s="13" t="s">
        <v>447</v>
      </c>
      <c r="K156" s="13" t="s">
        <v>1363</v>
      </c>
      <c r="L156" s="13" t="s">
        <v>447</v>
      </c>
      <c r="M156" s="13" t="s">
        <v>1363</v>
      </c>
      <c r="N156" s="13" t="s">
        <v>9626</v>
      </c>
      <c r="P156" s="15">
        <v>367</v>
      </c>
      <c r="Q156" s="15">
        <v>42550</v>
      </c>
      <c r="R156" s="13" t="s">
        <v>10101</v>
      </c>
      <c r="S156" s="13" t="s">
        <v>447</v>
      </c>
      <c r="T156" s="13" t="s">
        <v>10120</v>
      </c>
      <c r="U156" s="13" t="s">
        <v>9734</v>
      </c>
      <c r="V156" s="13" t="s">
        <v>9735</v>
      </c>
      <c r="W156" s="13" t="s">
        <v>9736</v>
      </c>
      <c r="X156" s="13" t="s">
        <v>9658</v>
      </c>
      <c r="Z156" s="13" t="s">
        <v>1363</v>
      </c>
      <c r="AA156" s="13" t="s">
        <v>9737</v>
      </c>
      <c r="AB156" s="13" t="s">
        <v>447</v>
      </c>
      <c r="AC156" s="21">
        <v>39379.378634259258</v>
      </c>
      <c r="AD156" s="21">
        <v>42550.737002314818</v>
      </c>
      <c r="AE156" s="13" t="s">
        <v>9629</v>
      </c>
      <c r="AF156" s="13" t="s">
        <v>9634</v>
      </c>
    </row>
    <row r="157" spans="1:32">
      <c r="A157" s="13" t="s">
        <v>10121</v>
      </c>
      <c r="B157" s="13" t="s">
        <v>1150</v>
      </c>
      <c r="C157" s="13" t="s">
        <v>1363</v>
      </c>
      <c r="D157" s="13" t="s">
        <v>1150</v>
      </c>
      <c r="E157" s="13" t="s">
        <v>1363</v>
      </c>
      <c r="F157" s="13" t="s">
        <v>447</v>
      </c>
      <c r="G157" s="13" t="s">
        <v>1363</v>
      </c>
      <c r="H157" s="13" t="s">
        <v>1381</v>
      </c>
      <c r="I157" s="13" t="s">
        <v>10122</v>
      </c>
      <c r="J157" s="13" t="s">
        <v>447</v>
      </c>
      <c r="K157" s="13" t="s">
        <v>1363</v>
      </c>
      <c r="L157" s="13" t="s">
        <v>447</v>
      </c>
      <c r="M157" s="13" t="s">
        <v>1363</v>
      </c>
      <c r="N157" s="13" t="s">
        <v>9626</v>
      </c>
      <c r="P157" s="15">
        <v>367</v>
      </c>
      <c r="Q157" s="15">
        <v>42550</v>
      </c>
      <c r="R157" s="13" t="s">
        <v>10101</v>
      </c>
      <c r="S157" s="13" t="s">
        <v>447</v>
      </c>
      <c r="T157" s="13" t="s">
        <v>10123</v>
      </c>
      <c r="U157" s="13" t="s">
        <v>9734</v>
      </c>
      <c r="V157" s="13" t="s">
        <v>9735</v>
      </c>
      <c r="W157" s="13" t="s">
        <v>9736</v>
      </c>
      <c r="X157" s="13" t="s">
        <v>9658</v>
      </c>
      <c r="Z157" s="13" t="s">
        <v>1363</v>
      </c>
      <c r="AA157" s="13" t="s">
        <v>9737</v>
      </c>
      <c r="AB157" s="13" t="s">
        <v>447</v>
      </c>
      <c r="AC157" s="21">
        <v>39379.378645833334</v>
      </c>
      <c r="AD157" s="21">
        <v>42550.737002314818</v>
      </c>
      <c r="AE157" s="13" t="s">
        <v>9629</v>
      </c>
      <c r="AF157" s="13" t="s">
        <v>9634</v>
      </c>
    </row>
    <row r="158" spans="1:32">
      <c r="A158" s="13" t="s">
        <v>10124</v>
      </c>
      <c r="B158" s="13" t="s">
        <v>1150</v>
      </c>
      <c r="C158" s="13" t="s">
        <v>1363</v>
      </c>
      <c r="D158" s="13" t="s">
        <v>1150</v>
      </c>
      <c r="E158" s="13" t="s">
        <v>1363</v>
      </c>
      <c r="F158" s="13" t="s">
        <v>447</v>
      </c>
      <c r="G158" s="13" t="s">
        <v>1363</v>
      </c>
      <c r="H158" s="13" t="s">
        <v>1381</v>
      </c>
      <c r="I158" s="13" t="s">
        <v>10125</v>
      </c>
      <c r="J158" s="13" t="s">
        <v>447</v>
      </c>
      <c r="K158" s="13" t="s">
        <v>1363</v>
      </c>
      <c r="L158" s="13" t="s">
        <v>447</v>
      </c>
      <c r="M158" s="13" t="s">
        <v>1363</v>
      </c>
      <c r="N158" s="13" t="s">
        <v>9626</v>
      </c>
      <c r="P158" s="15">
        <v>367</v>
      </c>
      <c r="Q158" s="15">
        <v>42550</v>
      </c>
      <c r="R158" s="13" t="s">
        <v>10101</v>
      </c>
      <c r="S158" s="13" t="s">
        <v>447</v>
      </c>
      <c r="T158" s="13" t="s">
        <v>10126</v>
      </c>
      <c r="U158" s="13" t="s">
        <v>9734</v>
      </c>
      <c r="V158" s="13" t="s">
        <v>9735</v>
      </c>
      <c r="W158" s="13" t="s">
        <v>9736</v>
      </c>
      <c r="X158" s="13" t="s">
        <v>9658</v>
      </c>
      <c r="Z158" s="13" t="s">
        <v>1363</v>
      </c>
      <c r="AA158" s="13" t="s">
        <v>9737</v>
      </c>
      <c r="AB158" s="13" t="s">
        <v>447</v>
      </c>
      <c r="AC158" s="21">
        <v>39379.378645833334</v>
      </c>
      <c r="AD158" s="21">
        <v>42550.737002314818</v>
      </c>
      <c r="AE158" s="13" t="s">
        <v>9629</v>
      </c>
      <c r="AF158" s="13" t="s">
        <v>9634</v>
      </c>
    </row>
    <row r="159" spans="1:32">
      <c r="A159" s="13" t="s">
        <v>10127</v>
      </c>
      <c r="B159" s="13" t="s">
        <v>1150</v>
      </c>
      <c r="C159" s="13" t="s">
        <v>1363</v>
      </c>
      <c r="D159" s="13" t="s">
        <v>1150</v>
      </c>
      <c r="E159" s="13" t="s">
        <v>1363</v>
      </c>
      <c r="F159" s="13" t="s">
        <v>447</v>
      </c>
      <c r="G159" s="13" t="s">
        <v>1363</v>
      </c>
      <c r="H159" s="13" t="s">
        <v>1381</v>
      </c>
      <c r="I159" s="13" t="s">
        <v>10128</v>
      </c>
      <c r="J159" s="13" t="s">
        <v>447</v>
      </c>
      <c r="K159" s="13" t="s">
        <v>1363</v>
      </c>
      <c r="L159" s="13" t="s">
        <v>447</v>
      </c>
      <c r="M159" s="13" t="s">
        <v>1363</v>
      </c>
      <c r="N159" s="13" t="s">
        <v>9626</v>
      </c>
      <c r="P159" s="15">
        <v>367</v>
      </c>
      <c r="Q159" s="15">
        <v>42550</v>
      </c>
      <c r="R159" s="13" t="s">
        <v>10101</v>
      </c>
      <c r="S159" s="13" t="s">
        <v>447</v>
      </c>
      <c r="T159" s="13" t="s">
        <v>10129</v>
      </c>
      <c r="U159" s="13" t="s">
        <v>9734</v>
      </c>
      <c r="V159" s="13" t="s">
        <v>9735</v>
      </c>
      <c r="W159" s="13" t="s">
        <v>9736</v>
      </c>
      <c r="X159" s="13" t="s">
        <v>9658</v>
      </c>
      <c r="Z159" s="13" t="s">
        <v>1363</v>
      </c>
      <c r="AA159" s="13" t="s">
        <v>9737</v>
      </c>
      <c r="AB159" s="13" t="s">
        <v>447</v>
      </c>
      <c r="AC159" s="21">
        <v>39379.378645833334</v>
      </c>
      <c r="AD159" s="21">
        <v>42550.737002314818</v>
      </c>
      <c r="AE159" s="13" t="s">
        <v>9629</v>
      </c>
      <c r="AF159" s="13" t="s">
        <v>9634</v>
      </c>
    </row>
    <row r="160" spans="1:32">
      <c r="A160" s="13" t="s">
        <v>10130</v>
      </c>
      <c r="B160" s="13" t="s">
        <v>1150</v>
      </c>
      <c r="C160" s="13" t="s">
        <v>1363</v>
      </c>
      <c r="D160" s="13" t="s">
        <v>1150</v>
      </c>
      <c r="E160" s="13" t="s">
        <v>1363</v>
      </c>
      <c r="F160" s="13" t="s">
        <v>447</v>
      </c>
      <c r="G160" s="13" t="s">
        <v>1363</v>
      </c>
      <c r="H160" s="13" t="s">
        <v>1381</v>
      </c>
      <c r="I160" s="13" t="s">
        <v>10131</v>
      </c>
      <c r="J160" s="13" t="s">
        <v>447</v>
      </c>
      <c r="K160" s="13" t="s">
        <v>1363</v>
      </c>
      <c r="L160" s="13" t="s">
        <v>447</v>
      </c>
      <c r="M160" s="13" t="s">
        <v>1363</v>
      </c>
      <c r="N160" s="13" t="s">
        <v>9626</v>
      </c>
      <c r="P160" s="15">
        <v>367</v>
      </c>
      <c r="Q160" s="15">
        <v>42550</v>
      </c>
      <c r="R160" s="13" t="s">
        <v>10101</v>
      </c>
      <c r="S160" s="13" t="s">
        <v>447</v>
      </c>
      <c r="T160" s="13" t="s">
        <v>10132</v>
      </c>
      <c r="U160" s="13" t="s">
        <v>9734</v>
      </c>
      <c r="V160" s="13" t="s">
        <v>9735</v>
      </c>
      <c r="W160" s="13" t="s">
        <v>9736</v>
      </c>
      <c r="X160" s="13" t="s">
        <v>9658</v>
      </c>
      <c r="Z160" s="13" t="s">
        <v>1363</v>
      </c>
      <c r="AA160" s="13" t="s">
        <v>9737</v>
      </c>
      <c r="AB160" s="13" t="s">
        <v>447</v>
      </c>
      <c r="AC160" s="21">
        <v>39379.378645833334</v>
      </c>
      <c r="AD160" s="21">
        <v>42550.737002314818</v>
      </c>
      <c r="AE160" s="13" t="s">
        <v>9629</v>
      </c>
      <c r="AF160" s="13" t="s">
        <v>9634</v>
      </c>
    </row>
    <row r="161" spans="1:32">
      <c r="A161" s="13" t="s">
        <v>10133</v>
      </c>
      <c r="B161" s="13" t="s">
        <v>1150</v>
      </c>
      <c r="C161" s="13" t="s">
        <v>1363</v>
      </c>
      <c r="D161" s="13" t="s">
        <v>1150</v>
      </c>
      <c r="E161" s="13" t="s">
        <v>1363</v>
      </c>
      <c r="F161" s="13" t="s">
        <v>447</v>
      </c>
      <c r="G161" s="13" t="s">
        <v>1363</v>
      </c>
      <c r="H161" s="13" t="s">
        <v>1381</v>
      </c>
      <c r="I161" s="13" t="s">
        <v>10134</v>
      </c>
      <c r="J161" s="13" t="s">
        <v>447</v>
      </c>
      <c r="K161" s="13" t="s">
        <v>1363</v>
      </c>
      <c r="L161" s="13" t="s">
        <v>447</v>
      </c>
      <c r="M161" s="13" t="s">
        <v>1363</v>
      </c>
      <c r="N161" s="13" t="s">
        <v>9626</v>
      </c>
      <c r="P161" s="15">
        <v>367</v>
      </c>
      <c r="Q161" s="15">
        <v>42550</v>
      </c>
      <c r="R161" s="13" t="s">
        <v>10101</v>
      </c>
      <c r="S161" s="13" t="s">
        <v>447</v>
      </c>
      <c r="T161" s="13" t="s">
        <v>10135</v>
      </c>
      <c r="U161" s="13" t="s">
        <v>9734</v>
      </c>
      <c r="V161" s="13" t="s">
        <v>9735</v>
      </c>
      <c r="W161" s="13" t="s">
        <v>9736</v>
      </c>
      <c r="X161" s="13" t="s">
        <v>9658</v>
      </c>
      <c r="Z161" s="13" t="s">
        <v>1363</v>
      </c>
      <c r="AA161" s="13" t="s">
        <v>9737</v>
      </c>
      <c r="AB161" s="13" t="s">
        <v>447</v>
      </c>
      <c r="AC161" s="21">
        <v>39379.378657407404</v>
      </c>
      <c r="AD161" s="21">
        <v>42550.737002314818</v>
      </c>
      <c r="AE161" s="13" t="s">
        <v>9629</v>
      </c>
      <c r="AF161" s="13" t="s">
        <v>9634</v>
      </c>
    </row>
    <row r="162" spans="1:32">
      <c r="A162" s="13" t="s">
        <v>10136</v>
      </c>
      <c r="B162" s="13" t="s">
        <v>1150</v>
      </c>
      <c r="C162" s="13" t="s">
        <v>1363</v>
      </c>
      <c r="D162" s="13" t="s">
        <v>1150</v>
      </c>
      <c r="E162" s="13" t="s">
        <v>1363</v>
      </c>
      <c r="F162" s="13" t="s">
        <v>447</v>
      </c>
      <c r="G162" s="13" t="s">
        <v>1363</v>
      </c>
      <c r="H162" s="13" t="s">
        <v>1381</v>
      </c>
      <c r="I162" s="13" t="s">
        <v>10137</v>
      </c>
      <c r="J162" s="13" t="s">
        <v>447</v>
      </c>
      <c r="K162" s="13" t="s">
        <v>1363</v>
      </c>
      <c r="L162" s="13" t="s">
        <v>447</v>
      </c>
      <c r="M162" s="13" t="s">
        <v>1363</v>
      </c>
      <c r="N162" s="13" t="s">
        <v>9626</v>
      </c>
      <c r="P162" s="15">
        <v>367</v>
      </c>
      <c r="Q162" s="15">
        <v>42550</v>
      </c>
      <c r="R162" s="13" t="s">
        <v>10101</v>
      </c>
      <c r="S162" s="13" t="s">
        <v>447</v>
      </c>
      <c r="T162" s="13" t="s">
        <v>10138</v>
      </c>
      <c r="U162" s="13" t="s">
        <v>9734</v>
      </c>
      <c r="V162" s="13" t="s">
        <v>9735</v>
      </c>
      <c r="W162" s="13" t="s">
        <v>9736</v>
      </c>
      <c r="X162" s="13" t="s">
        <v>9658</v>
      </c>
      <c r="Z162" s="13" t="s">
        <v>1363</v>
      </c>
      <c r="AA162" s="13" t="s">
        <v>9737</v>
      </c>
      <c r="AB162" s="13" t="s">
        <v>447</v>
      </c>
      <c r="AC162" s="21">
        <v>39379.378657407404</v>
      </c>
      <c r="AD162" s="21">
        <v>42550.737013888887</v>
      </c>
      <c r="AE162" s="13" t="s">
        <v>9629</v>
      </c>
      <c r="AF162" s="13" t="s">
        <v>9634</v>
      </c>
    </row>
    <row r="163" spans="1:32">
      <c r="A163" s="13" t="s">
        <v>10139</v>
      </c>
      <c r="B163" s="13" t="s">
        <v>1150</v>
      </c>
      <c r="C163" s="13" t="s">
        <v>1363</v>
      </c>
      <c r="D163" s="13" t="s">
        <v>1150</v>
      </c>
      <c r="E163" s="13" t="s">
        <v>1363</v>
      </c>
      <c r="F163" s="13" t="s">
        <v>447</v>
      </c>
      <c r="G163" s="13" t="s">
        <v>1363</v>
      </c>
      <c r="H163" s="13" t="s">
        <v>1381</v>
      </c>
      <c r="I163" s="13" t="s">
        <v>10140</v>
      </c>
      <c r="J163" s="13" t="s">
        <v>447</v>
      </c>
      <c r="K163" s="13" t="s">
        <v>1363</v>
      </c>
      <c r="L163" s="13" t="s">
        <v>447</v>
      </c>
      <c r="M163" s="13" t="s">
        <v>1363</v>
      </c>
      <c r="N163" s="13" t="s">
        <v>9626</v>
      </c>
      <c r="P163" s="15">
        <v>367</v>
      </c>
      <c r="Q163" s="15">
        <v>42550</v>
      </c>
      <c r="R163" s="13" t="s">
        <v>10101</v>
      </c>
      <c r="S163" s="13" t="s">
        <v>447</v>
      </c>
      <c r="T163" s="13" t="s">
        <v>10141</v>
      </c>
      <c r="U163" s="13" t="s">
        <v>9734</v>
      </c>
      <c r="V163" s="13" t="s">
        <v>9735</v>
      </c>
      <c r="W163" s="13" t="s">
        <v>9736</v>
      </c>
      <c r="X163" s="13" t="s">
        <v>9658</v>
      </c>
      <c r="Z163" s="13" t="s">
        <v>1363</v>
      </c>
      <c r="AA163" s="13" t="s">
        <v>9737</v>
      </c>
      <c r="AB163" s="13" t="s">
        <v>447</v>
      </c>
      <c r="AC163" s="21">
        <v>39379.378668981481</v>
      </c>
      <c r="AD163" s="21">
        <v>42550.737013888887</v>
      </c>
      <c r="AE163" s="13" t="s">
        <v>9629</v>
      </c>
      <c r="AF163" s="13" t="s">
        <v>9634</v>
      </c>
    </row>
    <row r="164" spans="1:32">
      <c r="A164" s="13" t="s">
        <v>10142</v>
      </c>
      <c r="B164" s="13" t="s">
        <v>1150</v>
      </c>
      <c r="C164" s="13" t="s">
        <v>447</v>
      </c>
      <c r="D164" s="13" t="s">
        <v>1150</v>
      </c>
      <c r="E164" s="13" t="s">
        <v>1363</v>
      </c>
      <c r="F164" s="13" t="s">
        <v>447</v>
      </c>
      <c r="G164" s="13" t="s">
        <v>1363</v>
      </c>
      <c r="H164" s="13" t="s">
        <v>1415</v>
      </c>
      <c r="I164" s="13" t="s">
        <v>10143</v>
      </c>
      <c r="J164" s="13" t="s">
        <v>447</v>
      </c>
      <c r="K164" s="13" t="s">
        <v>1363</v>
      </c>
      <c r="L164" s="13" t="s">
        <v>447</v>
      </c>
      <c r="M164" s="13" t="s">
        <v>447</v>
      </c>
      <c r="N164" s="13" t="s">
        <v>9626</v>
      </c>
      <c r="O164" s="13" t="s">
        <v>10144</v>
      </c>
      <c r="P164" s="15">
        <v>39083</v>
      </c>
      <c r="R164" s="13" t="s">
        <v>10143</v>
      </c>
      <c r="S164" s="13" t="s">
        <v>1363</v>
      </c>
      <c r="X164" s="13" t="s">
        <v>9810</v>
      </c>
      <c r="Z164" s="13" t="s">
        <v>1363</v>
      </c>
      <c r="AB164" s="13" t="s">
        <v>447</v>
      </c>
      <c r="AC164" s="21">
        <v>39416.661134259259</v>
      </c>
      <c r="AD164" s="21">
        <v>39693.531215277777</v>
      </c>
      <c r="AE164" s="13" t="s">
        <v>9814</v>
      </c>
      <c r="AF164" s="13" t="s">
        <v>9634</v>
      </c>
    </row>
    <row r="165" spans="1:32">
      <c r="A165" s="13" t="s">
        <v>10145</v>
      </c>
      <c r="B165" s="13" t="s">
        <v>1438</v>
      </c>
      <c r="C165" s="13" t="s">
        <v>1363</v>
      </c>
      <c r="D165" s="13" t="s">
        <v>1150</v>
      </c>
      <c r="E165" s="13" t="s">
        <v>1363</v>
      </c>
      <c r="F165" s="13" t="s">
        <v>447</v>
      </c>
      <c r="G165" s="13" t="s">
        <v>447</v>
      </c>
      <c r="H165" s="13" t="s">
        <v>1415</v>
      </c>
      <c r="I165" s="13" t="s">
        <v>10146</v>
      </c>
      <c r="J165" s="13" t="s">
        <v>447</v>
      </c>
      <c r="K165" s="13" t="s">
        <v>1363</v>
      </c>
      <c r="L165" s="13" t="s">
        <v>447</v>
      </c>
      <c r="M165" s="13" t="s">
        <v>1363</v>
      </c>
      <c r="N165" s="13" t="s">
        <v>9626</v>
      </c>
      <c r="O165" s="13" t="s">
        <v>10147</v>
      </c>
      <c r="P165" s="15">
        <v>368</v>
      </c>
      <c r="R165" s="13" t="s">
        <v>10148</v>
      </c>
      <c r="S165" s="13" t="s">
        <v>1363</v>
      </c>
      <c r="X165" s="13" t="s">
        <v>9628</v>
      </c>
      <c r="Z165" s="13" t="s">
        <v>1363</v>
      </c>
      <c r="AB165" s="13" t="s">
        <v>447</v>
      </c>
      <c r="AC165" s="21">
        <v>39476.497974537036</v>
      </c>
      <c r="AD165" s="21">
        <v>42247.599895833337</v>
      </c>
      <c r="AE165" s="13" t="s">
        <v>9860</v>
      </c>
      <c r="AF165" s="13" t="s">
        <v>9634</v>
      </c>
    </row>
    <row r="166" spans="1:32">
      <c r="A166" s="13" t="s">
        <v>10149</v>
      </c>
      <c r="B166" s="13" t="s">
        <v>1150</v>
      </c>
      <c r="C166" s="13" t="s">
        <v>1363</v>
      </c>
      <c r="D166" s="13" t="s">
        <v>1150</v>
      </c>
      <c r="E166" s="13" t="s">
        <v>447</v>
      </c>
      <c r="F166" s="13" t="s">
        <v>447</v>
      </c>
      <c r="G166" s="13" t="s">
        <v>447</v>
      </c>
      <c r="H166" s="13" t="s">
        <v>1415</v>
      </c>
      <c r="I166" s="13" t="s">
        <v>10150</v>
      </c>
      <c r="J166" s="13" t="s">
        <v>447</v>
      </c>
      <c r="K166" s="13" t="s">
        <v>1363</v>
      </c>
      <c r="L166" s="13" t="s">
        <v>447</v>
      </c>
      <c r="M166" s="13" t="s">
        <v>1363</v>
      </c>
      <c r="N166" s="13" t="s">
        <v>9626</v>
      </c>
      <c r="O166" s="13" t="s">
        <v>10151</v>
      </c>
      <c r="P166" s="15">
        <v>39083</v>
      </c>
      <c r="R166" s="13" t="s">
        <v>10152</v>
      </c>
      <c r="S166" s="13" t="s">
        <v>1363</v>
      </c>
      <c r="X166" s="13" t="s">
        <v>9675</v>
      </c>
      <c r="Z166" s="13" t="s">
        <v>1363</v>
      </c>
      <c r="AB166" s="13" t="s">
        <v>447</v>
      </c>
      <c r="AC166" s="21">
        <v>39135.492523148147</v>
      </c>
      <c r="AD166" s="21">
        <v>39135.492523148147</v>
      </c>
      <c r="AE166" s="13" t="s">
        <v>9634</v>
      </c>
      <c r="AF166" s="13" t="s">
        <v>9634</v>
      </c>
    </row>
    <row r="167" spans="1:32">
      <c r="A167" s="13" t="s">
        <v>10153</v>
      </c>
      <c r="B167" s="13" t="s">
        <v>1438</v>
      </c>
      <c r="C167" s="13" t="s">
        <v>447</v>
      </c>
      <c r="D167" s="13" t="s">
        <v>1150</v>
      </c>
      <c r="E167" s="13" t="s">
        <v>1363</v>
      </c>
      <c r="F167" s="13" t="s">
        <v>447</v>
      </c>
      <c r="G167" s="13" t="s">
        <v>447</v>
      </c>
      <c r="H167" s="13" t="s">
        <v>1150</v>
      </c>
      <c r="I167" s="13" t="s">
        <v>10154</v>
      </c>
      <c r="J167" s="13" t="s">
        <v>447</v>
      </c>
      <c r="K167" s="13" t="s">
        <v>1363</v>
      </c>
      <c r="L167" s="13" t="s">
        <v>447</v>
      </c>
      <c r="M167" s="13" t="s">
        <v>1363</v>
      </c>
      <c r="N167" s="13" t="s">
        <v>9626</v>
      </c>
      <c r="O167" s="13" t="s">
        <v>10155</v>
      </c>
      <c r="P167" s="15">
        <v>367</v>
      </c>
      <c r="R167" s="13" t="s">
        <v>10156</v>
      </c>
      <c r="S167" s="13" t="s">
        <v>1363</v>
      </c>
      <c r="X167" s="13" t="s">
        <v>9658</v>
      </c>
      <c r="Z167" s="13" t="s">
        <v>1363</v>
      </c>
      <c r="AB167" s="13" t="s">
        <v>447</v>
      </c>
      <c r="AC167" s="21">
        <v>39287.416516203702</v>
      </c>
      <c r="AD167" s="21">
        <v>39287.416516203702</v>
      </c>
      <c r="AE167" s="13" t="s">
        <v>9634</v>
      </c>
      <c r="AF167" s="13" t="s">
        <v>9634</v>
      </c>
    </row>
    <row r="168" spans="1:32">
      <c r="A168" s="13" t="s">
        <v>10157</v>
      </c>
      <c r="B168" s="13" t="s">
        <v>1150</v>
      </c>
      <c r="C168" s="13" t="s">
        <v>447</v>
      </c>
      <c r="D168" s="13" t="s">
        <v>1150</v>
      </c>
      <c r="E168" s="13" t="s">
        <v>1363</v>
      </c>
      <c r="F168" s="13" t="s">
        <v>447</v>
      </c>
      <c r="G168" s="13" t="s">
        <v>447</v>
      </c>
      <c r="H168" s="13" t="s">
        <v>1150</v>
      </c>
      <c r="I168" s="13" t="s">
        <v>10158</v>
      </c>
      <c r="J168" s="13" t="s">
        <v>447</v>
      </c>
      <c r="K168" s="13" t="s">
        <v>1363</v>
      </c>
      <c r="L168" s="13" t="s">
        <v>447</v>
      </c>
      <c r="M168" s="13" t="s">
        <v>1363</v>
      </c>
      <c r="N168" s="13" t="s">
        <v>9626</v>
      </c>
      <c r="O168" s="13" t="s">
        <v>10159</v>
      </c>
      <c r="P168" s="15">
        <v>367</v>
      </c>
      <c r="R168" s="13" t="s">
        <v>9669</v>
      </c>
      <c r="S168" s="13" t="s">
        <v>1363</v>
      </c>
      <c r="X168" s="13" t="s">
        <v>9658</v>
      </c>
      <c r="Z168" s="13" t="s">
        <v>1363</v>
      </c>
      <c r="AB168" s="13" t="s">
        <v>447</v>
      </c>
      <c r="AC168" s="21">
        <v>39314.402766203704</v>
      </c>
      <c r="AD168" s="21">
        <v>39314.402766203704</v>
      </c>
      <c r="AE168" s="13" t="s">
        <v>9634</v>
      </c>
      <c r="AF168" s="13" t="s">
        <v>9634</v>
      </c>
    </row>
    <row r="169" spans="1:32">
      <c r="A169" s="13" t="s">
        <v>10160</v>
      </c>
      <c r="B169" s="13" t="s">
        <v>1150</v>
      </c>
      <c r="C169" s="13" t="s">
        <v>1363</v>
      </c>
      <c r="D169" s="13" t="s">
        <v>1150</v>
      </c>
      <c r="E169" s="13" t="s">
        <v>1363</v>
      </c>
      <c r="F169" s="13" t="s">
        <v>447</v>
      </c>
      <c r="G169" s="13" t="s">
        <v>447</v>
      </c>
      <c r="H169" s="13" t="s">
        <v>1150</v>
      </c>
      <c r="I169" s="13" t="s">
        <v>10161</v>
      </c>
      <c r="J169" s="13" t="s">
        <v>447</v>
      </c>
      <c r="K169" s="13" t="s">
        <v>1363</v>
      </c>
      <c r="L169" s="13" t="s">
        <v>447</v>
      </c>
      <c r="M169" s="13" t="s">
        <v>1363</v>
      </c>
      <c r="N169" s="13" t="s">
        <v>9626</v>
      </c>
      <c r="O169" s="13" t="s">
        <v>9657</v>
      </c>
      <c r="P169" s="15">
        <v>367</v>
      </c>
      <c r="R169" s="13" t="s">
        <v>10161</v>
      </c>
      <c r="S169" s="13" t="s">
        <v>447</v>
      </c>
      <c r="T169" s="13" t="s">
        <v>10162</v>
      </c>
      <c r="U169" s="13" t="s">
        <v>9734</v>
      </c>
      <c r="V169" s="13" t="s">
        <v>9735</v>
      </c>
      <c r="W169" s="13" t="s">
        <v>9736</v>
      </c>
      <c r="X169" s="13" t="s">
        <v>9658</v>
      </c>
      <c r="Z169" s="13" t="s">
        <v>1363</v>
      </c>
      <c r="AA169" s="13" t="s">
        <v>9737</v>
      </c>
      <c r="AB169" s="13" t="s">
        <v>447</v>
      </c>
      <c r="AC169" s="21">
        <v>39290.513148148151</v>
      </c>
      <c r="AD169" s="21">
        <v>42550.736307870371</v>
      </c>
      <c r="AE169" s="13" t="s">
        <v>9629</v>
      </c>
      <c r="AF169" s="13" t="s">
        <v>9634</v>
      </c>
    </row>
    <row r="170" spans="1:32">
      <c r="A170" s="13" t="s">
        <v>10163</v>
      </c>
      <c r="B170" s="13" t="s">
        <v>1150</v>
      </c>
      <c r="C170" s="13" t="s">
        <v>1363</v>
      </c>
      <c r="D170" s="13" t="s">
        <v>1150</v>
      </c>
      <c r="E170" s="13" t="s">
        <v>1363</v>
      </c>
      <c r="F170" s="13" t="s">
        <v>447</v>
      </c>
      <c r="G170" s="13" t="s">
        <v>447</v>
      </c>
      <c r="H170" s="13" t="s">
        <v>1150</v>
      </c>
      <c r="I170" s="13" t="s">
        <v>10164</v>
      </c>
      <c r="J170" s="13" t="s">
        <v>447</v>
      </c>
      <c r="K170" s="13" t="s">
        <v>1363</v>
      </c>
      <c r="L170" s="13" t="s">
        <v>447</v>
      </c>
      <c r="M170" s="13" t="s">
        <v>1363</v>
      </c>
      <c r="N170" s="13" t="s">
        <v>9626</v>
      </c>
      <c r="O170" s="13" t="s">
        <v>9664</v>
      </c>
      <c r="P170" s="15">
        <v>367</v>
      </c>
      <c r="R170" s="13" t="s">
        <v>10164</v>
      </c>
      <c r="S170" s="13" t="s">
        <v>447</v>
      </c>
      <c r="T170" s="13" t="s">
        <v>10165</v>
      </c>
      <c r="U170" s="13" t="s">
        <v>9734</v>
      </c>
      <c r="V170" s="13" t="s">
        <v>9735</v>
      </c>
      <c r="W170" s="13" t="s">
        <v>9736</v>
      </c>
      <c r="X170" s="13" t="s">
        <v>9658</v>
      </c>
      <c r="Z170" s="13" t="s">
        <v>1363</v>
      </c>
      <c r="AA170" s="13" t="s">
        <v>9737</v>
      </c>
      <c r="AB170" s="13" t="s">
        <v>447</v>
      </c>
      <c r="AC170" s="21">
        <v>39290.513148148151</v>
      </c>
      <c r="AD170" s="21">
        <v>42550.736307870371</v>
      </c>
      <c r="AE170" s="13" t="s">
        <v>9629</v>
      </c>
      <c r="AF170" s="13" t="s">
        <v>9634</v>
      </c>
    </row>
    <row r="171" spans="1:32">
      <c r="A171" s="13" t="s">
        <v>10166</v>
      </c>
      <c r="B171" s="13" t="s">
        <v>1150</v>
      </c>
      <c r="C171" s="13" t="s">
        <v>1363</v>
      </c>
      <c r="D171" s="13" t="s">
        <v>1150</v>
      </c>
      <c r="E171" s="13" t="s">
        <v>1363</v>
      </c>
      <c r="F171" s="13" t="s">
        <v>447</v>
      </c>
      <c r="G171" s="13" t="s">
        <v>447</v>
      </c>
      <c r="H171" s="13" t="s">
        <v>1150</v>
      </c>
      <c r="I171" s="13" t="s">
        <v>10167</v>
      </c>
      <c r="J171" s="13" t="s">
        <v>447</v>
      </c>
      <c r="K171" s="13" t="s">
        <v>1363</v>
      </c>
      <c r="L171" s="13" t="s">
        <v>447</v>
      </c>
      <c r="M171" s="13" t="s">
        <v>1363</v>
      </c>
      <c r="N171" s="13" t="s">
        <v>9626</v>
      </c>
      <c r="O171" s="13" t="s">
        <v>9661</v>
      </c>
      <c r="P171" s="15">
        <v>367</v>
      </c>
      <c r="R171" s="13" t="s">
        <v>10167</v>
      </c>
      <c r="S171" s="13" t="s">
        <v>447</v>
      </c>
      <c r="T171" s="13" t="s">
        <v>10168</v>
      </c>
      <c r="U171" s="13" t="s">
        <v>9734</v>
      </c>
      <c r="V171" s="13" t="s">
        <v>9735</v>
      </c>
      <c r="W171" s="13" t="s">
        <v>9736</v>
      </c>
      <c r="X171" s="13" t="s">
        <v>9658</v>
      </c>
      <c r="Z171" s="13" t="s">
        <v>1363</v>
      </c>
      <c r="AA171" s="13" t="s">
        <v>9737</v>
      </c>
      <c r="AB171" s="13" t="s">
        <v>447</v>
      </c>
      <c r="AC171" s="21">
        <v>39304.388842592591</v>
      </c>
      <c r="AD171" s="21">
        <v>42550.736307870371</v>
      </c>
      <c r="AE171" s="13" t="s">
        <v>9629</v>
      </c>
      <c r="AF171" s="13" t="s">
        <v>9634</v>
      </c>
    </row>
    <row r="172" spans="1:32">
      <c r="A172" s="13" t="s">
        <v>10169</v>
      </c>
      <c r="B172" s="13" t="s">
        <v>1150</v>
      </c>
      <c r="C172" s="13" t="s">
        <v>447</v>
      </c>
      <c r="D172" s="13" t="s">
        <v>1150</v>
      </c>
      <c r="E172" s="13" t="s">
        <v>1363</v>
      </c>
      <c r="F172" s="13" t="s">
        <v>447</v>
      </c>
      <c r="G172" s="13" t="s">
        <v>447</v>
      </c>
      <c r="H172" s="13" t="s">
        <v>1150</v>
      </c>
      <c r="I172" s="13" t="s">
        <v>10170</v>
      </c>
      <c r="J172" s="13" t="s">
        <v>447</v>
      </c>
      <c r="K172" s="13" t="s">
        <v>1363</v>
      </c>
      <c r="L172" s="13" t="s">
        <v>447</v>
      </c>
      <c r="M172" s="13" t="s">
        <v>1363</v>
      </c>
      <c r="N172" s="13" t="s">
        <v>9626</v>
      </c>
      <c r="O172" s="13" t="s">
        <v>10171</v>
      </c>
      <c r="P172" s="15">
        <v>367</v>
      </c>
      <c r="R172" s="13" t="s">
        <v>10170</v>
      </c>
      <c r="S172" s="13" t="s">
        <v>1363</v>
      </c>
      <c r="X172" s="13" t="s">
        <v>9658</v>
      </c>
      <c r="Z172" s="13" t="s">
        <v>1363</v>
      </c>
      <c r="AB172" s="13" t="s">
        <v>447</v>
      </c>
      <c r="AC172" s="21">
        <v>39314.402766203704</v>
      </c>
      <c r="AD172" s="21">
        <v>39314.402766203704</v>
      </c>
      <c r="AE172" s="13" t="s">
        <v>9634</v>
      </c>
      <c r="AF172" s="13" t="s">
        <v>9634</v>
      </c>
    </row>
    <row r="173" spans="1:32">
      <c r="A173" s="13" t="s">
        <v>2613</v>
      </c>
      <c r="B173" s="13" t="s">
        <v>1150</v>
      </c>
      <c r="C173" s="13" t="s">
        <v>1363</v>
      </c>
      <c r="D173" s="13" t="s">
        <v>1150</v>
      </c>
      <c r="E173" s="13" t="s">
        <v>447</v>
      </c>
      <c r="F173" s="13" t="s">
        <v>447</v>
      </c>
      <c r="G173" s="13" t="s">
        <v>1363</v>
      </c>
      <c r="H173" s="13" t="s">
        <v>1415</v>
      </c>
      <c r="I173" s="13" t="s">
        <v>10172</v>
      </c>
      <c r="J173" s="13" t="s">
        <v>1363</v>
      </c>
      <c r="K173" s="13" t="s">
        <v>1363</v>
      </c>
      <c r="L173" s="13" t="s">
        <v>447</v>
      </c>
      <c r="M173" s="13" t="s">
        <v>1363</v>
      </c>
      <c r="N173" s="13" t="s">
        <v>9626</v>
      </c>
      <c r="O173" s="13" t="s">
        <v>10173</v>
      </c>
      <c r="P173" s="15">
        <v>39316</v>
      </c>
      <c r="R173" s="13" t="s">
        <v>2613</v>
      </c>
      <c r="S173" s="13" t="s">
        <v>1363</v>
      </c>
      <c r="X173" s="13" t="s">
        <v>10174</v>
      </c>
      <c r="Z173" s="13" t="s">
        <v>1363</v>
      </c>
      <c r="AB173" s="13" t="s">
        <v>447</v>
      </c>
      <c r="AC173" s="21">
        <v>39316.615543981483</v>
      </c>
      <c r="AD173" s="21">
        <v>39316.615543981483</v>
      </c>
      <c r="AE173" s="13" t="s">
        <v>9795</v>
      </c>
      <c r="AF173" s="13" t="s">
        <v>9795</v>
      </c>
    </row>
    <row r="174" spans="1:32">
      <c r="A174" s="13" t="s">
        <v>10175</v>
      </c>
      <c r="B174" s="13" t="s">
        <v>1438</v>
      </c>
      <c r="C174" s="13" t="s">
        <v>447</v>
      </c>
      <c r="D174" s="13" t="s">
        <v>1150</v>
      </c>
      <c r="E174" s="13" t="s">
        <v>1363</v>
      </c>
      <c r="F174" s="13" t="s">
        <v>447</v>
      </c>
      <c r="G174" s="13" t="s">
        <v>447</v>
      </c>
      <c r="H174" s="13" t="s">
        <v>1150</v>
      </c>
      <c r="I174" s="13" t="s">
        <v>10176</v>
      </c>
      <c r="J174" s="13" t="s">
        <v>1363</v>
      </c>
      <c r="K174" s="13" t="s">
        <v>1363</v>
      </c>
      <c r="L174" s="13" t="s">
        <v>1363</v>
      </c>
      <c r="M174" s="13" t="s">
        <v>447</v>
      </c>
      <c r="N174" s="13" t="s">
        <v>9626</v>
      </c>
      <c r="O174" s="13" t="s">
        <v>10177</v>
      </c>
      <c r="P174" s="15">
        <v>367</v>
      </c>
      <c r="R174" s="13" t="s">
        <v>10176</v>
      </c>
      <c r="S174" s="13" t="s">
        <v>1363</v>
      </c>
      <c r="X174" s="13" t="s">
        <v>9658</v>
      </c>
      <c r="Z174" s="13" t="s">
        <v>1363</v>
      </c>
      <c r="AB174" s="13" t="s">
        <v>447</v>
      </c>
      <c r="AC174" s="21">
        <v>39496.69226851852</v>
      </c>
      <c r="AD174" s="21">
        <v>40046.394432870373</v>
      </c>
      <c r="AE174" s="13" t="s">
        <v>9634</v>
      </c>
      <c r="AF174" s="13" t="s">
        <v>9634</v>
      </c>
    </row>
    <row r="175" spans="1:32">
      <c r="A175" s="13" t="s">
        <v>10178</v>
      </c>
      <c r="B175" s="13" t="s">
        <v>1150</v>
      </c>
      <c r="C175" s="13" t="s">
        <v>1363</v>
      </c>
      <c r="D175" s="13" t="s">
        <v>1150</v>
      </c>
      <c r="E175" s="13" t="s">
        <v>447</v>
      </c>
      <c r="F175" s="13" t="s">
        <v>447</v>
      </c>
      <c r="G175" s="13" t="s">
        <v>1363</v>
      </c>
      <c r="H175" s="13" t="s">
        <v>1415</v>
      </c>
      <c r="I175" s="13" t="s">
        <v>10179</v>
      </c>
      <c r="J175" s="13" t="s">
        <v>447</v>
      </c>
      <c r="K175" s="13" t="s">
        <v>1363</v>
      </c>
      <c r="L175" s="13" t="s">
        <v>447</v>
      </c>
      <c r="M175" s="13" t="s">
        <v>447</v>
      </c>
      <c r="N175" s="13" t="s">
        <v>9626</v>
      </c>
      <c r="O175" s="13" t="s">
        <v>10180</v>
      </c>
      <c r="P175" s="15">
        <v>38353</v>
      </c>
      <c r="S175" s="13" t="s">
        <v>1363</v>
      </c>
      <c r="X175" s="13" t="s">
        <v>9628</v>
      </c>
      <c r="Z175" s="13" t="s">
        <v>1363</v>
      </c>
      <c r="AB175" s="13" t="s">
        <v>447</v>
      </c>
      <c r="AC175" s="21">
        <v>39505.656527777777</v>
      </c>
      <c r="AD175" s="21">
        <v>40170.464849537035</v>
      </c>
      <c r="AE175" s="13" t="s">
        <v>9634</v>
      </c>
      <c r="AF175" s="13" t="s">
        <v>9634</v>
      </c>
    </row>
    <row r="176" spans="1:32">
      <c r="A176" s="13" t="s">
        <v>10181</v>
      </c>
      <c r="B176" s="13" t="s">
        <v>1438</v>
      </c>
      <c r="C176" s="13" t="s">
        <v>1363</v>
      </c>
      <c r="D176" s="13" t="s">
        <v>1150</v>
      </c>
      <c r="E176" s="13" t="s">
        <v>1363</v>
      </c>
      <c r="F176" s="13" t="s">
        <v>447</v>
      </c>
      <c r="G176" s="13" t="s">
        <v>1363</v>
      </c>
      <c r="H176" s="13" t="s">
        <v>1415</v>
      </c>
      <c r="I176" s="13" t="s">
        <v>9805</v>
      </c>
      <c r="J176" s="13" t="s">
        <v>1363</v>
      </c>
      <c r="K176" s="13" t="s">
        <v>1363</v>
      </c>
      <c r="L176" s="13" t="s">
        <v>447</v>
      </c>
      <c r="M176" s="13" t="s">
        <v>447</v>
      </c>
      <c r="N176" s="13" t="s">
        <v>9626</v>
      </c>
      <c r="O176" s="13" t="s">
        <v>10182</v>
      </c>
      <c r="P176" s="15">
        <v>39448</v>
      </c>
      <c r="R176" s="13" t="s">
        <v>9807</v>
      </c>
      <c r="S176" s="13" t="s">
        <v>1363</v>
      </c>
      <c r="X176" s="13" t="s">
        <v>9628</v>
      </c>
      <c r="Z176" s="13" t="s">
        <v>447</v>
      </c>
      <c r="AB176" s="13" t="s">
        <v>447</v>
      </c>
      <c r="AC176" s="21">
        <v>39514.644328703704</v>
      </c>
      <c r="AD176" s="21">
        <v>40987.52511574074</v>
      </c>
      <c r="AE176" s="13" t="s">
        <v>9634</v>
      </c>
      <c r="AF176" s="13" t="s">
        <v>9634</v>
      </c>
    </row>
    <row r="177" spans="1:32">
      <c r="A177" s="13" t="s">
        <v>10183</v>
      </c>
      <c r="B177" s="13" t="s">
        <v>1438</v>
      </c>
      <c r="C177" s="13" t="s">
        <v>1363</v>
      </c>
      <c r="D177" s="13" t="s">
        <v>1150</v>
      </c>
      <c r="E177" s="13" t="s">
        <v>1363</v>
      </c>
      <c r="F177" s="13" t="s">
        <v>447</v>
      </c>
      <c r="G177" s="13" t="s">
        <v>1363</v>
      </c>
      <c r="H177" s="13" t="s">
        <v>1415</v>
      </c>
      <c r="I177" s="13" t="s">
        <v>10184</v>
      </c>
      <c r="J177" s="13" t="s">
        <v>1363</v>
      </c>
      <c r="K177" s="13" t="s">
        <v>1363</v>
      </c>
      <c r="L177" s="13" t="s">
        <v>1363</v>
      </c>
      <c r="M177" s="13" t="s">
        <v>447</v>
      </c>
      <c r="N177" s="13" t="s">
        <v>9626</v>
      </c>
      <c r="O177" s="13" t="s">
        <v>10185</v>
      </c>
      <c r="P177" s="15">
        <v>39448</v>
      </c>
      <c r="R177" s="13" t="s">
        <v>10184</v>
      </c>
      <c r="S177" s="13" t="s">
        <v>1363</v>
      </c>
      <c r="X177" s="13" t="s">
        <v>9628</v>
      </c>
      <c r="Z177" s="13" t="s">
        <v>1363</v>
      </c>
      <c r="AB177" s="13" t="s">
        <v>447</v>
      </c>
      <c r="AC177" s="21">
        <v>39517.410763888889</v>
      </c>
      <c r="AD177" s="21">
        <v>41072.631655092591</v>
      </c>
      <c r="AE177" s="13" t="s">
        <v>9634</v>
      </c>
      <c r="AF177" s="13" t="s">
        <v>9634</v>
      </c>
    </row>
    <row r="178" spans="1:32">
      <c r="A178" s="13" t="s">
        <v>10186</v>
      </c>
      <c r="B178" s="13" t="s">
        <v>1438</v>
      </c>
      <c r="C178" s="13" t="s">
        <v>1363</v>
      </c>
      <c r="D178" s="13" t="s">
        <v>1150</v>
      </c>
      <c r="E178" s="13" t="s">
        <v>1363</v>
      </c>
      <c r="F178" s="13" t="s">
        <v>447</v>
      </c>
      <c r="G178" s="13" t="s">
        <v>1363</v>
      </c>
      <c r="H178" s="13" t="s">
        <v>1415</v>
      </c>
      <c r="I178" s="13" t="s">
        <v>10187</v>
      </c>
      <c r="J178" s="13" t="s">
        <v>1363</v>
      </c>
      <c r="K178" s="13" t="s">
        <v>447</v>
      </c>
      <c r="L178" s="13" t="s">
        <v>447</v>
      </c>
      <c r="M178" s="13" t="s">
        <v>447</v>
      </c>
      <c r="N178" s="13" t="s">
        <v>9626</v>
      </c>
      <c r="O178" s="13" t="s">
        <v>10188</v>
      </c>
      <c r="P178" s="15">
        <v>39448</v>
      </c>
      <c r="R178" s="13" t="s">
        <v>10187</v>
      </c>
      <c r="S178" s="13" t="s">
        <v>1363</v>
      </c>
      <c r="X178" s="13" t="s">
        <v>9628</v>
      </c>
      <c r="Z178" s="13" t="s">
        <v>1363</v>
      </c>
      <c r="AB178" s="13" t="s">
        <v>447</v>
      </c>
      <c r="AC178" s="21">
        <v>39517.488449074073</v>
      </c>
      <c r="AD178" s="21">
        <v>41544.599328703705</v>
      </c>
      <c r="AE178" s="13" t="s">
        <v>9629</v>
      </c>
      <c r="AF178" s="13" t="s">
        <v>9634</v>
      </c>
    </row>
    <row r="179" spans="1:32">
      <c r="A179" s="13" t="s">
        <v>10189</v>
      </c>
      <c r="B179" s="13" t="s">
        <v>1150</v>
      </c>
      <c r="C179" s="13" t="s">
        <v>1363</v>
      </c>
      <c r="D179" s="13" t="s">
        <v>1150</v>
      </c>
      <c r="E179" s="13" t="s">
        <v>1363</v>
      </c>
      <c r="F179" s="13" t="s">
        <v>447</v>
      </c>
      <c r="G179" s="13" t="s">
        <v>447</v>
      </c>
      <c r="H179" s="13" t="s">
        <v>1150</v>
      </c>
      <c r="I179" s="13" t="s">
        <v>10190</v>
      </c>
      <c r="J179" s="13" t="s">
        <v>447</v>
      </c>
      <c r="K179" s="13" t="s">
        <v>1363</v>
      </c>
      <c r="L179" s="13" t="s">
        <v>447</v>
      </c>
      <c r="M179" s="13" t="s">
        <v>1363</v>
      </c>
      <c r="N179" s="13" t="s">
        <v>9626</v>
      </c>
      <c r="O179" s="13" t="s">
        <v>9670</v>
      </c>
      <c r="P179" s="15">
        <v>367</v>
      </c>
      <c r="R179" s="13" t="s">
        <v>10190</v>
      </c>
      <c r="S179" s="13" t="s">
        <v>447</v>
      </c>
      <c r="T179" s="13" t="s">
        <v>10191</v>
      </c>
      <c r="U179" s="13" t="s">
        <v>9734</v>
      </c>
      <c r="V179" s="13" t="s">
        <v>9735</v>
      </c>
      <c r="W179" s="13" t="s">
        <v>9736</v>
      </c>
      <c r="X179" s="13" t="s">
        <v>9658</v>
      </c>
      <c r="Z179" s="13" t="s">
        <v>1363</v>
      </c>
      <c r="AA179" s="13" t="s">
        <v>9737</v>
      </c>
      <c r="AB179" s="13" t="s">
        <v>447</v>
      </c>
      <c r="AC179" s="21">
        <v>39617.492395833331</v>
      </c>
      <c r="AD179" s="21">
        <v>42550.736307870371</v>
      </c>
      <c r="AE179" s="13" t="s">
        <v>9629</v>
      </c>
      <c r="AF179" s="13" t="s">
        <v>9634</v>
      </c>
    </row>
    <row r="180" spans="1:32">
      <c r="A180" s="13" t="s">
        <v>10192</v>
      </c>
      <c r="B180" s="13" t="s">
        <v>1150</v>
      </c>
      <c r="C180" s="13" t="s">
        <v>1363</v>
      </c>
      <c r="D180" s="13" t="s">
        <v>1150</v>
      </c>
      <c r="E180" s="13" t="s">
        <v>1363</v>
      </c>
      <c r="F180" s="13" t="s">
        <v>447</v>
      </c>
      <c r="G180" s="13" t="s">
        <v>447</v>
      </c>
      <c r="H180" s="13" t="s">
        <v>1150</v>
      </c>
      <c r="I180" s="13" t="s">
        <v>10193</v>
      </c>
      <c r="J180" s="13" t="s">
        <v>447</v>
      </c>
      <c r="K180" s="13" t="s">
        <v>1363</v>
      </c>
      <c r="L180" s="13" t="s">
        <v>447</v>
      </c>
      <c r="M180" s="13" t="s">
        <v>1363</v>
      </c>
      <c r="N180" s="13" t="s">
        <v>9626</v>
      </c>
      <c r="O180" s="13" t="s">
        <v>9667</v>
      </c>
      <c r="P180" s="15">
        <v>367</v>
      </c>
      <c r="R180" s="13" t="s">
        <v>10193</v>
      </c>
      <c r="S180" s="13" t="s">
        <v>447</v>
      </c>
      <c r="T180" s="13" t="s">
        <v>10194</v>
      </c>
      <c r="U180" s="13" t="s">
        <v>9734</v>
      </c>
      <c r="V180" s="13" t="s">
        <v>9735</v>
      </c>
      <c r="W180" s="13" t="s">
        <v>9736</v>
      </c>
      <c r="X180" s="13" t="s">
        <v>9658</v>
      </c>
      <c r="Z180" s="13" t="s">
        <v>1363</v>
      </c>
      <c r="AA180" s="13" t="s">
        <v>9737</v>
      </c>
      <c r="AB180" s="13" t="s">
        <v>447</v>
      </c>
      <c r="AC180" s="21">
        <v>39696.788425925923</v>
      </c>
      <c r="AD180" s="21">
        <v>42550.736307870371</v>
      </c>
      <c r="AE180" s="13" t="s">
        <v>9629</v>
      </c>
      <c r="AF180" s="13" t="s">
        <v>9629</v>
      </c>
    </row>
    <row r="181" spans="1:32">
      <c r="A181" s="13" t="s">
        <v>10195</v>
      </c>
      <c r="B181" s="13" t="s">
        <v>1150</v>
      </c>
      <c r="C181" s="13" t="s">
        <v>1363</v>
      </c>
      <c r="D181" s="13" t="s">
        <v>1150</v>
      </c>
      <c r="E181" s="13" t="s">
        <v>1363</v>
      </c>
      <c r="F181" s="13" t="s">
        <v>447</v>
      </c>
      <c r="G181" s="13" t="s">
        <v>447</v>
      </c>
      <c r="H181" s="13" t="s">
        <v>1150</v>
      </c>
      <c r="I181" s="13" t="s">
        <v>10196</v>
      </c>
      <c r="J181" s="13" t="s">
        <v>447</v>
      </c>
      <c r="K181" s="13" t="s">
        <v>1363</v>
      </c>
      <c r="L181" s="13" t="s">
        <v>447</v>
      </c>
      <c r="M181" s="13" t="s">
        <v>1363</v>
      </c>
      <c r="N181" s="13" t="s">
        <v>9626</v>
      </c>
      <c r="O181" s="13" t="s">
        <v>9661</v>
      </c>
      <c r="P181" s="15">
        <v>367</v>
      </c>
      <c r="R181" s="13" t="s">
        <v>10196</v>
      </c>
      <c r="S181" s="13" t="s">
        <v>447</v>
      </c>
      <c r="T181" s="13" t="s">
        <v>10197</v>
      </c>
      <c r="U181" s="13" t="s">
        <v>9734</v>
      </c>
      <c r="V181" s="13" t="s">
        <v>9735</v>
      </c>
      <c r="W181" s="13" t="s">
        <v>9736</v>
      </c>
      <c r="X181" s="13" t="s">
        <v>9658</v>
      </c>
      <c r="Z181" s="13" t="s">
        <v>1363</v>
      </c>
      <c r="AA181" s="13" t="s">
        <v>9737</v>
      </c>
      <c r="AB181" s="13" t="s">
        <v>447</v>
      </c>
      <c r="AC181" s="21">
        <v>39646.626550925925</v>
      </c>
      <c r="AD181" s="21">
        <v>42550.736307870371</v>
      </c>
      <c r="AE181" s="13" t="s">
        <v>9629</v>
      </c>
      <c r="AF181" s="13" t="s">
        <v>9795</v>
      </c>
    </row>
    <row r="182" spans="1:32">
      <c r="A182" s="13" t="s">
        <v>10198</v>
      </c>
      <c r="B182" s="13" t="s">
        <v>1150</v>
      </c>
      <c r="C182" s="13" t="s">
        <v>1363</v>
      </c>
      <c r="D182" s="13" t="s">
        <v>1150</v>
      </c>
      <c r="E182" s="13" t="s">
        <v>1363</v>
      </c>
      <c r="F182" s="13" t="s">
        <v>447</v>
      </c>
      <c r="G182" s="13" t="s">
        <v>447</v>
      </c>
      <c r="H182" s="13" t="s">
        <v>1150</v>
      </c>
      <c r="I182" s="13" t="s">
        <v>10199</v>
      </c>
      <c r="J182" s="13" t="s">
        <v>447</v>
      </c>
      <c r="K182" s="13" t="s">
        <v>1363</v>
      </c>
      <c r="L182" s="13" t="s">
        <v>447</v>
      </c>
      <c r="M182" s="13" t="s">
        <v>1363</v>
      </c>
      <c r="N182" s="13" t="s">
        <v>9626</v>
      </c>
      <c r="O182" s="13" t="s">
        <v>9664</v>
      </c>
      <c r="P182" s="15">
        <v>367</v>
      </c>
      <c r="R182" s="13" t="s">
        <v>10199</v>
      </c>
      <c r="S182" s="13" t="s">
        <v>447</v>
      </c>
      <c r="T182" s="13" t="s">
        <v>10200</v>
      </c>
      <c r="U182" s="13" t="s">
        <v>9734</v>
      </c>
      <c r="V182" s="13" t="s">
        <v>9735</v>
      </c>
      <c r="W182" s="13" t="s">
        <v>9736</v>
      </c>
      <c r="X182" s="13" t="s">
        <v>9658</v>
      </c>
      <c r="Z182" s="13" t="s">
        <v>1363</v>
      </c>
      <c r="AA182" s="13" t="s">
        <v>9737</v>
      </c>
      <c r="AB182" s="13" t="s">
        <v>447</v>
      </c>
      <c r="AC182" s="21">
        <v>39646.632962962962</v>
      </c>
      <c r="AD182" s="21">
        <v>42550.736307870371</v>
      </c>
      <c r="AE182" s="13" t="s">
        <v>9629</v>
      </c>
      <c r="AF182" s="13" t="s">
        <v>9795</v>
      </c>
    </row>
    <row r="183" spans="1:32">
      <c r="A183" s="13" t="s">
        <v>10201</v>
      </c>
      <c r="B183" s="13" t="s">
        <v>1150</v>
      </c>
      <c r="C183" s="13" t="s">
        <v>447</v>
      </c>
      <c r="D183" s="13" t="s">
        <v>1150</v>
      </c>
      <c r="E183" s="13" t="s">
        <v>447</v>
      </c>
      <c r="F183" s="13" t="s">
        <v>447</v>
      </c>
      <c r="G183" s="13" t="s">
        <v>447</v>
      </c>
      <c r="H183" s="13" t="s">
        <v>1415</v>
      </c>
      <c r="I183" s="13" t="s">
        <v>10202</v>
      </c>
      <c r="J183" s="13" t="s">
        <v>447</v>
      </c>
      <c r="K183" s="13" t="s">
        <v>1363</v>
      </c>
      <c r="L183" s="13" t="s">
        <v>447</v>
      </c>
      <c r="M183" s="13" t="s">
        <v>1363</v>
      </c>
      <c r="N183" s="13" t="s">
        <v>9626</v>
      </c>
      <c r="O183" s="13" t="s">
        <v>10203</v>
      </c>
      <c r="P183" s="15">
        <v>39448</v>
      </c>
      <c r="R183" s="13" t="s">
        <v>10204</v>
      </c>
      <c r="S183" s="13" t="s">
        <v>1363</v>
      </c>
      <c r="X183" s="13" t="s">
        <v>10205</v>
      </c>
      <c r="Z183" s="13" t="s">
        <v>1363</v>
      </c>
      <c r="AB183" s="13" t="s">
        <v>447</v>
      </c>
      <c r="AC183" s="21">
        <v>39651.513831018521</v>
      </c>
      <c r="AD183" s="21">
        <v>39903.477766203701</v>
      </c>
      <c r="AE183" s="13" t="s">
        <v>9795</v>
      </c>
      <c r="AF183" s="13" t="s">
        <v>9634</v>
      </c>
    </row>
    <row r="184" spans="1:32">
      <c r="A184" s="13" t="s">
        <v>10206</v>
      </c>
      <c r="B184" s="13" t="s">
        <v>1150</v>
      </c>
      <c r="C184" s="13" t="s">
        <v>1363</v>
      </c>
      <c r="D184" s="13" t="s">
        <v>1150</v>
      </c>
      <c r="E184" s="13" t="s">
        <v>1363</v>
      </c>
      <c r="F184" s="13" t="s">
        <v>447</v>
      </c>
      <c r="G184" s="13" t="s">
        <v>447</v>
      </c>
      <c r="H184" s="13" t="s">
        <v>1150</v>
      </c>
      <c r="I184" s="13" t="s">
        <v>10207</v>
      </c>
      <c r="J184" s="13" t="s">
        <v>447</v>
      </c>
      <c r="K184" s="13" t="s">
        <v>1363</v>
      </c>
      <c r="L184" s="13" t="s">
        <v>447</v>
      </c>
      <c r="M184" s="13" t="s">
        <v>1363</v>
      </c>
      <c r="N184" s="13" t="s">
        <v>9626</v>
      </c>
      <c r="O184" s="13" t="s">
        <v>10159</v>
      </c>
      <c r="P184" s="15">
        <v>367</v>
      </c>
      <c r="R184" s="13" t="s">
        <v>10207</v>
      </c>
      <c r="S184" s="13" t="s">
        <v>1363</v>
      </c>
      <c r="T184" s="13" t="s">
        <v>10208</v>
      </c>
      <c r="U184" s="13" t="s">
        <v>9734</v>
      </c>
      <c r="V184" s="13" t="s">
        <v>9735</v>
      </c>
      <c r="W184" s="13" t="s">
        <v>9736</v>
      </c>
      <c r="X184" s="13" t="s">
        <v>9658</v>
      </c>
      <c r="Z184" s="13" t="s">
        <v>1363</v>
      </c>
      <c r="AA184" s="13" t="s">
        <v>9737</v>
      </c>
      <c r="AB184" s="13" t="s">
        <v>447</v>
      </c>
      <c r="AC184" s="21">
        <v>39699.453738425924</v>
      </c>
      <c r="AD184" s="21">
        <v>42550.736307870371</v>
      </c>
      <c r="AE184" s="13" t="s">
        <v>9629</v>
      </c>
      <c r="AF184" s="13" t="s">
        <v>9634</v>
      </c>
    </row>
    <row r="185" spans="1:32">
      <c r="A185" s="13" t="s">
        <v>10209</v>
      </c>
      <c r="B185" s="13" t="s">
        <v>1150</v>
      </c>
      <c r="C185" s="13" t="s">
        <v>1363</v>
      </c>
      <c r="D185" s="13" t="s">
        <v>1150</v>
      </c>
      <c r="E185" s="13" t="s">
        <v>1363</v>
      </c>
      <c r="F185" s="13" t="s">
        <v>447</v>
      </c>
      <c r="G185" s="13" t="s">
        <v>447</v>
      </c>
      <c r="H185" s="13" t="s">
        <v>1150</v>
      </c>
      <c r="I185" s="13" t="s">
        <v>10210</v>
      </c>
      <c r="J185" s="13" t="s">
        <v>447</v>
      </c>
      <c r="K185" s="13" t="s">
        <v>1363</v>
      </c>
      <c r="L185" s="13" t="s">
        <v>447</v>
      </c>
      <c r="M185" s="13" t="s">
        <v>1363</v>
      </c>
      <c r="N185" s="13" t="s">
        <v>9626</v>
      </c>
      <c r="O185" s="13" t="s">
        <v>9657</v>
      </c>
      <c r="P185" s="15">
        <v>367</v>
      </c>
      <c r="R185" s="13" t="s">
        <v>10210</v>
      </c>
      <c r="S185" s="13" t="s">
        <v>447</v>
      </c>
      <c r="T185" s="13" t="s">
        <v>10211</v>
      </c>
      <c r="U185" s="13" t="s">
        <v>9734</v>
      </c>
      <c r="V185" s="13" t="s">
        <v>9735</v>
      </c>
      <c r="W185" s="13" t="s">
        <v>9736</v>
      </c>
      <c r="X185" s="13" t="s">
        <v>9658</v>
      </c>
      <c r="Z185" s="13" t="s">
        <v>1363</v>
      </c>
      <c r="AA185" s="13" t="s">
        <v>9737</v>
      </c>
      <c r="AB185" s="13" t="s">
        <v>447</v>
      </c>
      <c r="AC185" s="21">
        <v>39646.626516203702</v>
      </c>
      <c r="AD185" s="21">
        <v>42550.736319444448</v>
      </c>
      <c r="AE185" s="13" t="s">
        <v>9629</v>
      </c>
      <c r="AF185" s="13" t="s">
        <v>9795</v>
      </c>
    </row>
    <row r="186" spans="1:32">
      <c r="A186" s="13" t="s">
        <v>10212</v>
      </c>
      <c r="B186" s="13" t="s">
        <v>1150</v>
      </c>
      <c r="C186" s="13" t="s">
        <v>447</v>
      </c>
      <c r="D186" s="13" t="s">
        <v>1150</v>
      </c>
      <c r="E186" s="13" t="s">
        <v>447</v>
      </c>
      <c r="F186" s="13" t="s">
        <v>447</v>
      </c>
      <c r="G186" s="13" t="s">
        <v>447</v>
      </c>
      <c r="H186" s="13" t="s">
        <v>1415</v>
      </c>
      <c r="I186" s="13" t="s">
        <v>10213</v>
      </c>
      <c r="J186" s="13" t="s">
        <v>447</v>
      </c>
      <c r="K186" s="13" t="s">
        <v>1363</v>
      </c>
      <c r="L186" s="13" t="s">
        <v>447</v>
      </c>
      <c r="M186" s="13" t="s">
        <v>1363</v>
      </c>
      <c r="N186" s="13" t="s">
        <v>9626</v>
      </c>
      <c r="O186" s="13" t="s">
        <v>10214</v>
      </c>
      <c r="P186" s="15">
        <v>39448</v>
      </c>
      <c r="R186" s="13" t="s">
        <v>10215</v>
      </c>
      <c r="S186" s="13" t="s">
        <v>1363</v>
      </c>
      <c r="X186" s="13" t="s">
        <v>10205</v>
      </c>
      <c r="Z186" s="13" t="s">
        <v>1363</v>
      </c>
      <c r="AB186" s="13" t="s">
        <v>447</v>
      </c>
      <c r="AC186" s="21">
        <v>39651.509652777779</v>
      </c>
      <c r="AD186" s="21">
        <v>39903.479305555556</v>
      </c>
      <c r="AE186" s="13" t="s">
        <v>9795</v>
      </c>
      <c r="AF186" s="13" t="s">
        <v>9634</v>
      </c>
    </row>
    <row r="187" spans="1:32">
      <c r="A187" s="13" t="s">
        <v>10216</v>
      </c>
      <c r="B187" s="13" t="s">
        <v>1150</v>
      </c>
      <c r="C187" s="13" t="s">
        <v>447</v>
      </c>
      <c r="D187" s="13" t="s">
        <v>1150</v>
      </c>
      <c r="E187" s="13" t="s">
        <v>447</v>
      </c>
      <c r="F187" s="13" t="s">
        <v>447</v>
      </c>
      <c r="G187" s="13" t="s">
        <v>447</v>
      </c>
      <c r="H187" s="13" t="s">
        <v>1415</v>
      </c>
      <c r="I187" s="13" t="s">
        <v>10217</v>
      </c>
      <c r="J187" s="13" t="s">
        <v>447</v>
      </c>
      <c r="K187" s="13" t="s">
        <v>1363</v>
      </c>
      <c r="L187" s="13" t="s">
        <v>447</v>
      </c>
      <c r="M187" s="13" t="s">
        <v>1363</v>
      </c>
      <c r="N187" s="13" t="s">
        <v>9626</v>
      </c>
      <c r="O187" s="13" t="s">
        <v>10218</v>
      </c>
      <c r="P187" s="15">
        <v>39448</v>
      </c>
      <c r="R187" s="13" t="s">
        <v>10219</v>
      </c>
      <c r="S187" s="13" t="s">
        <v>1363</v>
      </c>
      <c r="X187" s="13" t="s">
        <v>10205</v>
      </c>
      <c r="Z187" s="13" t="s">
        <v>1363</v>
      </c>
      <c r="AB187" s="13" t="s">
        <v>447</v>
      </c>
      <c r="AC187" s="21">
        <v>39651.517442129632</v>
      </c>
      <c r="AD187" s="21">
        <v>39903.478009259263</v>
      </c>
      <c r="AE187" s="13" t="s">
        <v>9795</v>
      </c>
      <c r="AF187" s="13" t="s">
        <v>9634</v>
      </c>
    </row>
    <row r="188" spans="1:32">
      <c r="A188" s="13" t="s">
        <v>10220</v>
      </c>
      <c r="B188" s="13" t="s">
        <v>1150</v>
      </c>
      <c r="C188" s="13" t="s">
        <v>1363</v>
      </c>
      <c r="D188" s="13" t="s">
        <v>1150</v>
      </c>
      <c r="E188" s="13" t="s">
        <v>1363</v>
      </c>
      <c r="F188" s="13" t="s">
        <v>447</v>
      </c>
      <c r="G188" s="13" t="s">
        <v>447</v>
      </c>
      <c r="H188" s="13" t="s">
        <v>1150</v>
      </c>
      <c r="I188" s="13" t="s">
        <v>10221</v>
      </c>
      <c r="J188" s="13" t="s">
        <v>447</v>
      </c>
      <c r="K188" s="13" t="s">
        <v>1363</v>
      </c>
      <c r="L188" s="13" t="s">
        <v>447</v>
      </c>
      <c r="M188" s="13" t="s">
        <v>1363</v>
      </c>
      <c r="N188" s="13" t="s">
        <v>9626</v>
      </c>
      <c r="O188" s="13" t="s">
        <v>9670</v>
      </c>
      <c r="P188" s="15">
        <v>367</v>
      </c>
      <c r="R188" s="13" t="s">
        <v>10221</v>
      </c>
      <c r="S188" s="13" t="s">
        <v>447</v>
      </c>
      <c r="T188" s="13" t="s">
        <v>10222</v>
      </c>
      <c r="U188" s="13" t="s">
        <v>9734</v>
      </c>
      <c r="V188" s="13" t="s">
        <v>9735</v>
      </c>
      <c r="W188" s="13" t="s">
        <v>9736</v>
      </c>
      <c r="X188" s="13" t="s">
        <v>9658</v>
      </c>
      <c r="Z188" s="13" t="s">
        <v>1363</v>
      </c>
      <c r="AA188" s="13" t="s">
        <v>9737</v>
      </c>
      <c r="AB188" s="13" t="s">
        <v>447</v>
      </c>
      <c r="AC188" s="21">
        <v>39652.697002314817</v>
      </c>
      <c r="AD188" s="21">
        <v>42550.736319444448</v>
      </c>
      <c r="AE188" s="13" t="s">
        <v>9629</v>
      </c>
      <c r="AF188" s="13" t="s">
        <v>9795</v>
      </c>
    </row>
    <row r="189" spans="1:32">
      <c r="A189" s="13" t="s">
        <v>10223</v>
      </c>
      <c r="B189" s="13" t="s">
        <v>1150</v>
      </c>
      <c r="C189" s="13" t="s">
        <v>1363</v>
      </c>
      <c r="D189" s="13" t="s">
        <v>1150</v>
      </c>
      <c r="E189" s="13" t="s">
        <v>1363</v>
      </c>
      <c r="F189" s="13" t="s">
        <v>447</v>
      </c>
      <c r="G189" s="13" t="s">
        <v>447</v>
      </c>
      <c r="H189" s="13" t="s">
        <v>1150</v>
      </c>
      <c r="I189" s="13" t="s">
        <v>10224</v>
      </c>
      <c r="J189" s="13" t="s">
        <v>447</v>
      </c>
      <c r="K189" s="13" t="s">
        <v>1363</v>
      </c>
      <c r="L189" s="13" t="s">
        <v>447</v>
      </c>
      <c r="M189" s="13" t="s">
        <v>1363</v>
      </c>
      <c r="N189" s="13" t="s">
        <v>9626</v>
      </c>
      <c r="O189" s="13" t="s">
        <v>9667</v>
      </c>
      <c r="P189" s="15">
        <v>367</v>
      </c>
      <c r="R189" s="13" t="s">
        <v>10224</v>
      </c>
      <c r="S189" s="13" t="s">
        <v>447</v>
      </c>
      <c r="T189" s="13" t="s">
        <v>10225</v>
      </c>
      <c r="U189" s="13" t="s">
        <v>9734</v>
      </c>
      <c r="V189" s="13" t="s">
        <v>9735</v>
      </c>
      <c r="W189" s="13" t="s">
        <v>9736</v>
      </c>
      <c r="X189" s="13" t="s">
        <v>9658</v>
      </c>
      <c r="Z189" s="13" t="s">
        <v>1363</v>
      </c>
      <c r="AA189" s="13" t="s">
        <v>9737</v>
      </c>
      <c r="AB189" s="13" t="s">
        <v>447</v>
      </c>
      <c r="AC189" s="21">
        <v>39696.781157407408</v>
      </c>
      <c r="AD189" s="21">
        <v>42550.736319444448</v>
      </c>
      <c r="AE189" s="13" t="s">
        <v>9629</v>
      </c>
      <c r="AF189" s="13" t="s">
        <v>9629</v>
      </c>
    </row>
    <row r="190" spans="1:32">
      <c r="A190" s="13" t="s">
        <v>10226</v>
      </c>
      <c r="B190" s="13" t="s">
        <v>1150</v>
      </c>
      <c r="C190" s="13" t="s">
        <v>1363</v>
      </c>
      <c r="D190" s="13" t="s">
        <v>1150</v>
      </c>
      <c r="E190" s="13" t="s">
        <v>1363</v>
      </c>
      <c r="F190" s="13" t="s">
        <v>447</v>
      </c>
      <c r="G190" s="13" t="s">
        <v>447</v>
      </c>
      <c r="H190" s="13" t="s">
        <v>1150</v>
      </c>
      <c r="I190" s="13" t="s">
        <v>10227</v>
      </c>
      <c r="J190" s="13" t="s">
        <v>447</v>
      </c>
      <c r="K190" s="13" t="s">
        <v>1363</v>
      </c>
      <c r="L190" s="13" t="s">
        <v>447</v>
      </c>
      <c r="M190" s="13" t="s">
        <v>1363</v>
      </c>
      <c r="N190" s="13" t="s">
        <v>9626</v>
      </c>
      <c r="O190" s="13" t="s">
        <v>10159</v>
      </c>
      <c r="P190" s="15">
        <v>367</v>
      </c>
      <c r="R190" s="13" t="s">
        <v>10227</v>
      </c>
      <c r="S190" s="13" t="s">
        <v>1363</v>
      </c>
      <c r="T190" s="13" t="s">
        <v>10228</v>
      </c>
      <c r="U190" s="13" t="s">
        <v>9734</v>
      </c>
      <c r="V190" s="13" t="s">
        <v>9735</v>
      </c>
      <c r="W190" s="13" t="s">
        <v>9736</v>
      </c>
      <c r="X190" s="13" t="s">
        <v>9658</v>
      </c>
      <c r="Z190" s="13" t="s">
        <v>1363</v>
      </c>
      <c r="AA190" s="13" t="s">
        <v>9737</v>
      </c>
      <c r="AB190" s="13" t="s">
        <v>447</v>
      </c>
      <c r="AC190" s="21">
        <v>39699.460439814815</v>
      </c>
      <c r="AD190" s="21">
        <v>42550.736319444448</v>
      </c>
      <c r="AE190" s="13" t="s">
        <v>9629</v>
      </c>
      <c r="AF190" s="13" t="s">
        <v>9634</v>
      </c>
    </row>
    <row r="191" spans="1:32">
      <c r="A191" s="13" t="s">
        <v>10229</v>
      </c>
      <c r="B191" s="13" t="s">
        <v>1150</v>
      </c>
      <c r="C191" s="13" t="s">
        <v>1363</v>
      </c>
      <c r="D191" s="13" t="s">
        <v>1150</v>
      </c>
      <c r="E191" s="13" t="s">
        <v>1363</v>
      </c>
      <c r="F191" s="13" t="s">
        <v>447</v>
      </c>
      <c r="G191" s="13" t="s">
        <v>447</v>
      </c>
      <c r="H191" s="13" t="s">
        <v>1150</v>
      </c>
      <c r="I191" s="13" t="s">
        <v>10230</v>
      </c>
      <c r="J191" s="13" t="s">
        <v>447</v>
      </c>
      <c r="K191" s="13" t="s">
        <v>1363</v>
      </c>
      <c r="L191" s="13" t="s">
        <v>447</v>
      </c>
      <c r="M191" s="13" t="s">
        <v>1363</v>
      </c>
      <c r="N191" s="13" t="s">
        <v>9626</v>
      </c>
      <c r="O191" s="13" t="s">
        <v>9667</v>
      </c>
      <c r="P191" s="15">
        <v>367</v>
      </c>
      <c r="R191" s="13" t="s">
        <v>10230</v>
      </c>
      <c r="S191" s="13" t="s">
        <v>447</v>
      </c>
      <c r="T191" s="13" t="s">
        <v>10231</v>
      </c>
      <c r="U191" s="13" t="s">
        <v>9734</v>
      </c>
      <c r="V191" s="13" t="s">
        <v>9735</v>
      </c>
      <c r="W191" s="13" t="s">
        <v>9736</v>
      </c>
      <c r="X191" s="13" t="s">
        <v>9658</v>
      </c>
      <c r="Z191" s="13" t="s">
        <v>1363</v>
      </c>
      <c r="AA191" s="13" t="s">
        <v>9737</v>
      </c>
      <c r="AB191" s="13" t="s">
        <v>447</v>
      </c>
      <c r="AC191" s="21">
        <v>39696.764814814815</v>
      </c>
      <c r="AD191" s="21">
        <v>42550.736319444448</v>
      </c>
      <c r="AE191" s="13" t="s">
        <v>9629</v>
      </c>
      <c r="AF191" s="13" t="s">
        <v>9629</v>
      </c>
    </row>
    <row r="192" spans="1:32">
      <c r="A192" s="13" t="s">
        <v>10232</v>
      </c>
      <c r="B192" s="13" t="s">
        <v>1150</v>
      </c>
      <c r="C192" s="13" t="s">
        <v>1363</v>
      </c>
      <c r="D192" s="13" t="s">
        <v>1150</v>
      </c>
      <c r="E192" s="13" t="s">
        <v>1363</v>
      </c>
      <c r="F192" s="13" t="s">
        <v>447</v>
      </c>
      <c r="G192" s="13" t="s">
        <v>447</v>
      </c>
      <c r="H192" s="13" t="s">
        <v>1150</v>
      </c>
      <c r="I192" s="13" t="s">
        <v>10233</v>
      </c>
      <c r="J192" s="13" t="s">
        <v>447</v>
      </c>
      <c r="K192" s="13" t="s">
        <v>1363</v>
      </c>
      <c r="L192" s="13" t="s">
        <v>447</v>
      </c>
      <c r="M192" s="13" t="s">
        <v>1363</v>
      </c>
      <c r="N192" s="13" t="s">
        <v>9626</v>
      </c>
      <c r="O192" s="13" t="s">
        <v>10159</v>
      </c>
      <c r="P192" s="15">
        <v>367</v>
      </c>
      <c r="R192" s="13" t="s">
        <v>10233</v>
      </c>
      <c r="S192" s="13" t="s">
        <v>1363</v>
      </c>
      <c r="T192" s="13" t="s">
        <v>10234</v>
      </c>
      <c r="U192" s="13" t="s">
        <v>9734</v>
      </c>
      <c r="V192" s="13" t="s">
        <v>9735</v>
      </c>
      <c r="W192" s="13" t="s">
        <v>9736</v>
      </c>
      <c r="X192" s="13" t="s">
        <v>9658</v>
      </c>
      <c r="Z192" s="13" t="s">
        <v>1363</v>
      </c>
      <c r="AA192" s="13" t="s">
        <v>9737</v>
      </c>
      <c r="AB192" s="13" t="s">
        <v>447</v>
      </c>
      <c r="AC192" s="21">
        <v>39699.480416666665</v>
      </c>
      <c r="AD192" s="21">
        <v>42550.736319444448</v>
      </c>
      <c r="AE192" s="13" t="s">
        <v>9629</v>
      </c>
      <c r="AF192" s="13" t="s">
        <v>9634</v>
      </c>
    </row>
    <row r="193" spans="1:33">
      <c r="A193" s="13" t="s">
        <v>10235</v>
      </c>
      <c r="B193" s="13" t="s">
        <v>1150</v>
      </c>
      <c r="C193" s="13" t="s">
        <v>1363</v>
      </c>
      <c r="D193" s="13" t="s">
        <v>1150</v>
      </c>
      <c r="E193" s="13" t="s">
        <v>1363</v>
      </c>
      <c r="F193" s="13" t="s">
        <v>447</v>
      </c>
      <c r="G193" s="13" t="s">
        <v>447</v>
      </c>
      <c r="H193" s="13" t="s">
        <v>1150</v>
      </c>
      <c r="I193" s="13" t="s">
        <v>10236</v>
      </c>
      <c r="J193" s="13" t="s">
        <v>447</v>
      </c>
      <c r="K193" s="13" t="s">
        <v>1363</v>
      </c>
      <c r="L193" s="13" t="s">
        <v>447</v>
      </c>
      <c r="M193" s="13" t="s">
        <v>1363</v>
      </c>
      <c r="N193" s="13" t="s">
        <v>9626</v>
      </c>
      <c r="O193" s="13" t="s">
        <v>10159</v>
      </c>
      <c r="P193" s="15">
        <v>367</v>
      </c>
      <c r="R193" s="13" t="s">
        <v>10236</v>
      </c>
      <c r="S193" s="13" t="s">
        <v>1363</v>
      </c>
      <c r="T193" s="13" t="s">
        <v>10237</v>
      </c>
      <c r="U193" s="13" t="s">
        <v>9734</v>
      </c>
      <c r="V193" s="13" t="s">
        <v>9735</v>
      </c>
      <c r="W193" s="13" t="s">
        <v>9736</v>
      </c>
      <c r="X193" s="13" t="s">
        <v>9658</v>
      </c>
      <c r="Z193" s="13" t="s">
        <v>1363</v>
      </c>
      <c r="AA193" s="13" t="s">
        <v>9737</v>
      </c>
      <c r="AB193" s="13" t="s">
        <v>447</v>
      </c>
      <c r="AC193" s="21">
        <v>39699.453912037039</v>
      </c>
      <c r="AD193" s="21">
        <v>42550.736319444448</v>
      </c>
      <c r="AE193" s="13" t="s">
        <v>9629</v>
      </c>
      <c r="AF193" s="13" t="s">
        <v>9634</v>
      </c>
    </row>
    <row r="194" spans="1:33">
      <c r="A194" s="13" t="s">
        <v>10238</v>
      </c>
      <c r="B194" s="13" t="s">
        <v>1150</v>
      </c>
      <c r="C194" s="13" t="s">
        <v>1363</v>
      </c>
      <c r="D194" s="13" t="s">
        <v>1150</v>
      </c>
      <c r="E194" s="13" t="s">
        <v>447</v>
      </c>
      <c r="F194" s="13" t="s">
        <v>447</v>
      </c>
      <c r="G194" s="13" t="s">
        <v>447</v>
      </c>
      <c r="H194" s="13" t="s">
        <v>1415</v>
      </c>
      <c r="I194" s="13" t="s">
        <v>10239</v>
      </c>
      <c r="J194" s="13" t="s">
        <v>447</v>
      </c>
      <c r="K194" s="13" t="s">
        <v>1363</v>
      </c>
      <c r="L194" s="13" t="s">
        <v>447</v>
      </c>
      <c r="M194" s="13" t="s">
        <v>1363</v>
      </c>
      <c r="N194" s="13" t="s">
        <v>9626</v>
      </c>
      <c r="O194" s="13" t="s">
        <v>10240</v>
      </c>
      <c r="P194" s="15">
        <v>39722</v>
      </c>
      <c r="R194" s="13" t="s">
        <v>10239</v>
      </c>
      <c r="S194" s="13" t="s">
        <v>1363</v>
      </c>
      <c r="X194" s="13" t="s">
        <v>9628</v>
      </c>
      <c r="Z194" s="13" t="s">
        <v>1363</v>
      </c>
      <c r="AB194" s="13" t="s">
        <v>447</v>
      </c>
      <c r="AC194" s="21">
        <v>39784.625069444446</v>
      </c>
      <c r="AD194" s="21">
        <v>39909.595567129632</v>
      </c>
      <c r="AE194" s="13" t="s">
        <v>9795</v>
      </c>
      <c r="AF194" s="13" t="s">
        <v>9795</v>
      </c>
    </row>
    <row r="195" spans="1:33">
      <c r="A195" s="13" t="s">
        <v>10241</v>
      </c>
      <c r="B195" s="13" t="s">
        <v>1150</v>
      </c>
      <c r="C195" s="13" t="s">
        <v>1363</v>
      </c>
      <c r="D195" s="13" t="s">
        <v>1150</v>
      </c>
      <c r="E195" s="13" t="s">
        <v>447</v>
      </c>
      <c r="F195" s="13" t="s">
        <v>447</v>
      </c>
      <c r="G195" s="13" t="s">
        <v>447</v>
      </c>
      <c r="H195" s="13" t="s">
        <v>1415</v>
      </c>
      <c r="I195" s="13" t="s">
        <v>10242</v>
      </c>
      <c r="J195" s="13" t="s">
        <v>447</v>
      </c>
      <c r="K195" s="13" t="s">
        <v>1363</v>
      </c>
      <c r="L195" s="13" t="s">
        <v>447</v>
      </c>
      <c r="M195" s="13" t="s">
        <v>1363</v>
      </c>
      <c r="N195" s="13" t="s">
        <v>9626</v>
      </c>
      <c r="O195" s="13" t="s">
        <v>10243</v>
      </c>
      <c r="P195" s="15">
        <v>39722</v>
      </c>
      <c r="R195" s="13" t="s">
        <v>10242</v>
      </c>
      <c r="S195" s="13" t="s">
        <v>1363</v>
      </c>
      <c r="X195" s="13" t="s">
        <v>9628</v>
      </c>
      <c r="Z195" s="13" t="s">
        <v>1363</v>
      </c>
      <c r="AB195" s="13" t="s">
        <v>447</v>
      </c>
      <c r="AC195" s="21">
        <v>39785.404560185183</v>
      </c>
      <c r="AD195" s="21">
        <v>44369.329236111109</v>
      </c>
      <c r="AE195" s="13" t="s">
        <v>9629</v>
      </c>
      <c r="AF195" s="13" t="s">
        <v>9795</v>
      </c>
    </row>
    <row r="196" spans="1:33">
      <c r="A196" s="13" t="s">
        <v>10244</v>
      </c>
      <c r="B196" s="13" t="s">
        <v>1150</v>
      </c>
      <c r="C196" s="13" t="s">
        <v>447</v>
      </c>
      <c r="D196" s="13" t="s">
        <v>1150</v>
      </c>
      <c r="E196" s="13" t="s">
        <v>447</v>
      </c>
      <c r="F196" s="13" t="s">
        <v>447</v>
      </c>
      <c r="G196" s="13" t="s">
        <v>447</v>
      </c>
      <c r="H196" s="13" t="s">
        <v>1415</v>
      </c>
      <c r="I196" s="13" t="s">
        <v>10245</v>
      </c>
      <c r="J196" s="13" t="s">
        <v>447</v>
      </c>
      <c r="K196" s="13" t="s">
        <v>1363</v>
      </c>
      <c r="L196" s="13" t="s">
        <v>447</v>
      </c>
      <c r="M196" s="13" t="s">
        <v>1363</v>
      </c>
      <c r="N196" s="13" t="s">
        <v>9626</v>
      </c>
      <c r="O196" s="13" t="s">
        <v>10246</v>
      </c>
      <c r="P196" s="15">
        <v>39722</v>
      </c>
      <c r="R196" s="13" t="s">
        <v>10245</v>
      </c>
      <c r="S196" s="13" t="s">
        <v>1363</v>
      </c>
      <c r="X196" s="13" t="s">
        <v>9628</v>
      </c>
      <c r="Z196" s="13" t="s">
        <v>1363</v>
      </c>
      <c r="AB196" s="13" t="s">
        <v>447</v>
      </c>
      <c r="AC196" s="21">
        <v>39787.383402777778</v>
      </c>
      <c r="AD196" s="21">
        <v>39911.429201388892</v>
      </c>
      <c r="AE196" s="13" t="s">
        <v>9795</v>
      </c>
      <c r="AF196" s="13" t="s">
        <v>9634</v>
      </c>
    </row>
    <row r="197" spans="1:33">
      <c r="A197" s="13" t="s">
        <v>10247</v>
      </c>
      <c r="B197" s="13" t="s">
        <v>1150</v>
      </c>
      <c r="C197" s="13" t="s">
        <v>1363</v>
      </c>
      <c r="D197" s="13" t="s">
        <v>1150</v>
      </c>
      <c r="E197" s="13" t="s">
        <v>447</v>
      </c>
      <c r="F197" s="13" t="s">
        <v>447</v>
      </c>
      <c r="G197" s="13" t="s">
        <v>1363</v>
      </c>
      <c r="H197" s="13" t="s">
        <v>1415</v>
      </c>
      <c r="I197" s="13" t="s">
        <v>10248</v>
      </c>
      <c r="J197" s="13" t="s">
        <v>447</v>
      </c>
      <c r="K197" s="13" t="s">
        <v>1363</v>
      </c>
      <c r="L197" s="13" t="s">
        <v>447</v>
      </c>
      <c r="M197" s="13" t="s">
        <v>1363</v>
      </c>
      <c r="N197" s="13" t="s">
        <v>9626</v>
      </c>
      <c r="O197" s="13" t="s">
        <v>10249</v>
      </c>
      <c r="P197" s="15">
        <v>39722</v>
      </c>
      <c r="R197" s="13" t="s">
        <v>10248</v>
      </c>
      <c r="S197" s="13" t="s">
        <v>1363</v>
      </c>
      <c r="X197" s="13" t="s">
        <v>9628</v>
      </c>
      <c r="Z197" s="13" t="s">
        <v>1363</v>
      </c>
      <c r="AB197" s="13" t="s">
        <v>447</v>
      </c>
      <c r="AC197" s="21">
        <v>39787.391643518517</v>
      </c>
      <c r="AD197" s="21">
        <v>39787.391643518517</v>
      </c>
      <c r="AE197" s="13" t="s">
        <v>9634</v>
      </c>
      <c r="AF197" s="13" t="s">
        <v>9634</v>
      </c>
    </row>
    <row r="198" spans="1:33">
      <c r="A198" s="13" t="s">
        <v>10250</v>
      </c>
      <c r="B198" s="13" t="s">
        <v>1150</v>
      </c>
      <c r="C198" s="13" t="s">
        <v>1363</v>
      </c>
      <c r="D198" s="13" t="s">
        <v>1150</v>
      </c>
      <c r="E198" s="13" t="s">
        <v>1363</v>
      </c>
      <c r="F198" s="13" t="s">
        <v>447</v>
      </c>
      <c r="G198" s="13" t="s">
        <v>1363</v>
      </c>
      <c r="H198" s="13" t="s">
        <v>1237</v>
      </c>
      <c r="I198" s="13" t="s">
        <v>10251</v>
      </c>
      <c r="J198" s="13" t="s">
        <v>1363</v>
      </c>
      <c r="K198" s="13" t="s">
        <v>1363</v>
      </c>
      <c r="L198" s="13" t="s">
        <v>447</v>
      </c>
      <c r="M198" s="13" t="s">
        <v>1363</v>
      </c>
      <c r="N198" s="14">
        <v>10</v>
      </c>
      <c r="P198" s="15">
        <v>-1</v>
      </c>
      <c r="R198" s="13" t="s">
        <v>10252</v>
      </c>
      <c r="S198" s="13" t="s">
        <v>1363</v>
      </c>
      <c r="T198" s="13" t="s">
        <v>10252</v>
      </c>
      <c r="X198" s="13" t="s">
        <v>9628</v>
      </c>
      <c r="Z198" s="13" t="s">
        <v>1363</v>
      </c>
      <c r="AA198" s="13" t="s">
        <v>10253</v>
      </c>
      <c r="AB198" s="13" t="s">
        <v>447</v>
      </c>
      <c r="AC198" s="21">
        <v>39843.694976851853</v>
      </c>
      <c r="AD198" s="21">
        <v>39843.694976851853</v>
      </c>
      <c r="AE198" s="13" t="s">
        <v>9629</v>
      </c>
      <c r="AF198" s="13" t="s">
        <v>9629</v>
      </c>
      <c r="AG198" s="13" t="s">
        <v>10251</v>
      </c>
    </row>
    <row r="199" spans="1:33">
      <c r="A199" s="13" t="s">
        <v>10254</v>
      </c>
      <c r="B199" s="13" t="s">
        <v>1150</v>
      </c>
      <c r="C199" s="13" t="s">
        <v>1363</v>
      </c>
      <c r="D199" s="13" t="s">
        <v>1150</v>
      </c>
      <c r="E199" s="13" t="s">
        <v>447</v>
      </c>
      <c r="F199" s="13" t="s">
        <v>447</v>
      </c>
      <c r="G199" s="13" t="s">
        <v>447</v>
      </c>
      <c r="H199" s="13" t="s">
        <v>1415</v>
      </c>
      <c r="I199" s="13" t="s">
        <v>10255</v>
      </c>
      <c r="J199" s="13" t="s">
        <v>1363</v>
      </c>
      <c r="K199" s="13" t="s">
        <v>1363</v>
      </c>
      <c r="L199" s="13" t="s">
        <v>447</v>
      </c>
      <c r="M199" s="13" t="s">
        <v>1363</v>
      </c>
      <c r="N199" s="13" t="s">
        <v>9626</v>
      </c>
      <c r="O199" s="13" t="s">
        <v>10256</v>
      </c>
      <c r="P199" s="15">
        <v>39814</v>
      </c>
      <c r="R199" s="13" t="s">
        <v>10257</v>
      </c>
      <c r="S199" s="13" t="s">
        <v>1363</v>
      </c>
      <c r="X199" s="13" t="s">
        <v>10258</v>
      </c>
      <c r="Z199" s="13" t="s">
        <v>1363</v>
      </c>
      <c r="AB199" s="13" t="s">
        <v>447</v>
      </c>
      <c r="AC199" s="21">
        <v>39869.535312499997</v>
      </c>
      <c r="AD199" s="21">
        <v>39869.540173611109</v>
      </c>
      <c r="AE199" s="13" t="s">
        <v>9795</v>
      </c>
      <c r="AF199" s="13" t="s">
        <v>9795</v>
      </c>
    </row>
    <row r="200" spans="1:33">
      <c r="A200" s="13" t="s">
        <v>10259</v>
      </c>
      <c r="B200" s="13" t="s">
        <v>1150</v>
      </c>
      <c r="C200" s="13" t="s">
        <v>1363</v>
      </c>
      <c r="D200" s="13" t="s">
        <v>1150</v>
      </c>
      <c r="E200" s="13" t="s">
        <v>1363</v>
      </c>
      <c r="F200" s="13" t="s">
        <v>447</v>
      </c>
      <c r="G200" s="13" t="s">
        <v>447</v>
      </c>
      <c r="H200" s="13" t="s">
        <v>1150</v>
      </c>
      <c r="I200" s="13" t="s">
        <v>10260</v>
      </c>
      <c r="J200" s="13" t="s">
        <v>447</v>
      </c>
      <c r="K200" s="13" t="s">
        <v>1363</v>
      </c>
      <c r="L200" s="13" t="s">
        <v>447</v>
      </c>
      <c r="M200" s="13" t="s">
        <v>1363</v>
      </c>
      <c r="N200" s="13" t="s">
        <v>9626</v>
      </c>
      <c r="O200" s="13" t="s">
        <v>9667</v>
      </c>
      <c r="P200" s="15">
        <v>367</v>
      </c>
      <c r="R200" s="13" t="s">
        <v>10260</v>
      </c>
      <c r="S200" s="13" t="s">
        <v>447</v>
      </c>
      <c r="T200" s="13" t="s">
        <v>10261</v>
      </c>
      <c r="U200" s="13" t="s">
        <v>9734</v>
      </c>
      <c r="V200" s="13" t="s">
        <v>9735</v>
      </c>
      <c r="W200" s="13" t="s">
        <v>9736</v>
      </c>
      <c r="X200" s="13" t="s">
        <v>9658</v>
      </c>
      <c r="Z200" s="13" t="s">
        <v>1363</v>
      </c>
      <c r="AA200" s="13" t="s">
        <v>9737</v>
      </c>
      <c r="AB200" s="13" t="s">
        <v>447</v>
      </c>
      <c r="AC200" s="21">
        <v>39927.473969907405</v>
      </c>
      <c r="AD200" s="21">
        <v>42550.736319444448</v>
      </c>
      <c r="AE200" s="13" t="s">
        <v>9629</v>
      </c>
      <c r="AF200" s="13" t="s">
        <v>9634</v>
      </c>
    </row>
    <row r="201" spans="1:33">
      <c r="A201" s="13" t="s">
        <v>10262</v>
      </c>
      <c r="B201" s="13" t="s">
        <v>1150</v>
      </c>
      <c r="C201" s="13" t="s">
        <v>1363</v>
      </c>
      <c r="D201" s="13" t="s">
        <v>1150</v>
      </c>
      <c r="E201" s="13" t="s">
        <v>1363</v>
      </c>
      <c r="F201" s="13" t="s">
        <v>447</v>
      </c>
      <c r="G201" s="13" t="s">
        <v>447</v>
      </c>
      <c r="H201" s="13" t="s">
        <v>1150</v>
      </c>
      <c r="I201" s="13" t="s">
        <v>10263</v>
      </c>
      <c r="J201" s="13" t="s">
        <v>447</v>
      </c>
      <c r="K201" s="13" t="s">
        <v>1363</v>
      </c>
      <c r="L201" s="13" t="s">
        <v>447</v>
      </c>
      <c r="M201" s="13" t="s">
        <v>1363</v>
      </c>
      <c r="N201" s="13" t="s">
        <v>9626</v>
      </c>
      <c r="O201" s="13" t="s">
        <v>10171</v>
      </c>
      <c r="P201" s="15">
        <v>367</v>
      </c>
      <c r="R201" s="13" t="s">
        <v>10263</v>
      </c>
      <c r="S201" s="13" t="s">
        <v>1363</v>
      </c>
      <c r="T201" s="13" t="s">
        <v>10264</v>
      </c>
      <c r="U201" s="13" t="s">
        <v>9734</v>
      </c>
      <c r="V201" s="13" t="s">
        <v>9735</v>
      </c>
      <c r="W201" s="13" t="s">
        <v>9736</v>
      </c>
      <c r="X201" s="13" t="s">
        <v>9658</v>
      </c>
      <c r="Z201" s="13" t="s">
        <v>1363</v>
      </c>
      <c r="AA201" s="13" t="s">
        <v>9737</v>
      </c>
      <c r="AB201" s="13" t="s">
        <v>447</v>
      </c>
      <c r="AC201" s="21">
        <v>40084.653263888889</v>
      </c>
      <c r="AD201" s="21">
        <v>42550.736319444448</v>
      </c>
      <c r="AE201" s="13" t="s">
        <v>9629</v>
      </c>
      <c r="AF201" s="13" t="s">
        <v>9629</v>
      </c>
    </row>
    <row r="202" spans="1:33">
      <c r="A202" s="13" t="s">
        <v>10265</v>
      </c>
      <c r="B202" s="13" t="s">
        <v>1150</v>
      </c>
      <c r="C202" s="13" t="s">
        <v>1363</v>
      </c>
      <c r="D202" s="13" t="s">
        <v>1150</v>
      </c>
      <c r="E202" s="13" t="s">
        <v>447</v>
      </c>
      <c r="F202" s="13" t="s">
        <v>447</v>
      </c>
      <c r="G202" s="13" t="s">
        <v>1363</v>
      </c>
      <c r="H202" s="13" t="s">
        <v>1367</v>
      </c>
      <c r="I202" s="13" t="s">
        <v>10266</v>
      </c>
      <c r="J202" s="13" t="s">
        <v>447</v>
      </c>
      <c r="K202" s="13" t="s">
        <v>1363</v>
      </c>
      <c r="L202" s="13" t="s">
        <v>1363</v>
      </c>
      <c r="M202" s="13" t="s">
        <v>1363</v>
      </c>
      <c r="N202" s="13" t="s">
        <v>9626</v>
      </c>
      <c r="O202" s="13" t="s">
        <v>10267</v>
      </c>
      <c r="P202" s="15">
        <v>39814</v>
      </c>
      <c r="R202" s="13" t="s">
        <v>10265</v>
      </c>
      <c r="S202" s="13" t="s">
        <v>1363</v>
      </c>
      <c r="X202" s="13" t="s">
        <v>9628</v>
      </c>
      <c r="Z202" s="13" t="s">
        <v>1363</v>
      </c>
      <c r="AB202" s="13" t="s">
        <v>447</v>
      </c>
      <c r="AC202" s="21">
        <v>39953.624479166669</v>
      </c>
      <c r="AD202" s="21">
        <v>40312.543703703705</v>
      </c>
      <c r="AE202" s="13" t="s">
        <v>9629</v>
      </c>
      <c r="AF202" s="13" t="s">
        <v>9634</v>
      </c>
    </row>
    <row r="203" spans="1:33">
      <c r="A203" s="13" t="s">
        <v>10268</v>
      </c>
      <c r="B203" s="13" t="s">
        <v>1150</v>
      </c>
      <c r="C203" s="13" t="s">
        <v>1363</v>
      </c>
      <c r="D203" s="13" t="s">
        <v>1150</v>
      </c>
      <c r="E203" s="13" t="s">
        <v>1363</v>
      </c>
      <c r="F203" s="13" t="s">
        <v>447</v>
      </c>
      <c r="G203" s="13" t="s">
        <v>447</v>
      </c>
      <c r="H203" s="13" t="s">
        <v>1150</v>
      </c>
      <c r="I203" s="13" t="s">
        <v>10269</v>
      </c>
      <c r="J203" s="13" t="s">
        <v>447</v>
      </c>
      <c r="K203" s="13" t="s">
        <v>1363</v>
      </c>
      <c r="L203" s="13" t="s">
        <v>447</v>
      </c>
      <c r="M203" s="13" t="s">
        <v>1363</v>
      </c>
      <c r="N203" s="13" t="s">
        <v>9626</v>
      </c>
      <c r="O203" s="13" t="s">
        <v>10159</v>
      </c>
      <c r="P203" s="15">
        <v>367</v>
      </c>
      <c r="R203" s="13" t="s">
        <v>10269</v>
      </c>
      <c r="S203" s="13" t="s">
        <v>1363</v>
      </c>
      <c r="T203" s="13" t="s">
        <v>10270</v>
      </c>
      <c r="U203" s="13" t="s">
        <v>9734</v>
      </c>
      <c r="V203" s="13" t="s">
        <v>9735</v>
      </c>
      <c r="W203" s="13" t="s">
        <v>9736</v>
      </c>
      <c r="X203" s="13" t="s">
        <v>9658</v>
      </c>
      <c r="Z203" s="13" t="s">
        <v>1363</v>
      </c>
      <c r="AA203" s="13" t="s">
        <v>9737</v>
      </c>
      <c r="AB203" s="13" t="s">
        <v>447</v>
      </c>
      <c r="AC203" s="21">
        <v>40101.734861111108</v>
      </c>
      <c r="AD203" s="21">
        <v>42550.736331018517</v>
      </c>
      <c r="AE203" s="13" t="s">
        <v>9629</v>
      </c>
      <c r="AF203" s="13" t="s">
        <v>9795</v>
      </c>
    </row>
    <row r="204" spans="1:33">
      <c r="A204" s="13" t="s">
        <v>10271</v>
      </c>
      <c r="B204" s="13" t="s">
        <v>1150</v>
      </c>
      <c r="C204" s="13" t="s">
        <v>1363</v>
      </c>
      <c r="D204" s="13" t="s">
        <v>1150</v>
      </c>
      <c r="E204" s="13" t="s">
        <v>1363</v>
      </c>
      <c r="F204" s="13" t="s">
        <v>447</v>
      </c>
      <c r="G204" s="13" t="s">
        <v>447</v>
      </c>
      <c r="H204" s="13" t="s">
        <v>1150</v>
      </c>
      <c r="I204" s="13" t="s">
        <v>10272</v>
      </c>
      <c r="J204" s="13" t="s">
        <v>447</v>
      </c>
      <c r="K204" s="13" t="s">
        <v>1363</v>
      </c>
      <c r="L204" s="13" t="s">
        <v>447</v>
      </c>
      <c r="M204" s="13" t="s">
        <v>1363</v>
      </c>
      <c r="N204" s="13" t="s">
        <v>9626</v>
      </c>
      <c r="O204" s="13" t="s">
        <v>10171</v>
      </c>
      <c r="P204" s="15">
        <v>367</v>
      </c>
      <c r="R204" s="13" t="s">
        <v>10272</v>
      </c>
      <c r="S204" s="13" t="s">
        <v>1363</v>
      </c>
      <c r="T204" s="13" t="s">
        <v>10273</v>
      </c>
      <c r="U204" s="13" t="s">
        <v>9734</v>
      </c>
      <c r="V204" s="13" t="s">
        <v>9735</v>
      </c>
      <c r="W204" s="13" t="s">
        <v>9736</v>
      </c>
      <c r="X204" s="13" t="s">
        <v>9658</v>
      </c>
      <c r="Z204" s="13" t="s">
        <v>1363</v>
      </c>
      <c r="AA204" s="13" t="s">
        <v>9737</v>
      </c>
      <c r="AB204" s="13" t="s">
        <v>447</v>
      </c>
      <c r="AC204" s="21">
        <v>40084.652175925927</v>
      </c>
      <c r="AD204" s="21">
        <v>42550.736331018517</v>
      </c>
      <c r="AE204" s="13" t="s">
        <v>9629</v>
      </c>
      <c r="AF204" s="13" t="s">
        <v>9629</v>
      </c>
    </row>
    <row r="205" spans="1:33">
      <c r="A205" s="13" t="s">
        <v>10274</v>
      </c>
      <c r="B205" s="13" t="s">
        <v>1150</v>
      </c>
      <c r="C205" s="13" t="s">
        <v>1363</v>
      </c>
      <c r="D205" s="13" t="s">
        <v>1150</v>
      </c>
      <c r="E205" s="13" t="s">
        <v>1363</v>
      </c>
      <c r="F205" s="13" t="s">
        <v>447</v>
      </c>
      <c r="G205" s="13" t="s">
        <v>1363</v>
      </c>
      <c r="H205" s="13" t="s">
        <v>1367</v>
      </c>
      <c r="I205" s="13" t="s">
        <v>10275</v>
      </c>
      <c r="J205" s="13" t="s">
        <v>1363</v>
      </c>
      <c r="K205" s="13" t="s">
        <v>1363</v>
      </c>
      <c r="L205" s="13" t="s">
        <v>447</v>
      </c>
      <c r="M205" s="13" t="s">
        <v>447</v>
      </c>
      <c r="N205" s="13" t="s">
        <v>9626</v>
      </c>
      <c r="O205" s="13" t="s">
        <v>10276</v>
      </c>
      <c r="P205" s="15">
        <v>40057</v>
      </c>
      <c r="R205" s="13" t="s">
        <v>10277</v>
      </c>
      <c r="S205" s="13" t="s">
        <v>1363</v>
      </c>
      <c r="X205" s="13" t="s">
        <v>9628</v>
      </c>
      <c r="Z205" s="13" t="s">
        <v>1363</v>
      </c>
      <c r="AB205" s="13" t="s">
        <v>447</v>
      </c>
      <c r="AC205" s="21">
        <v>40079.505555555559</v>
      </c>
      <c r="AD205" s="21">
        <v>40312.543703703705</v>
      </c>
      <c r="AE205" s="13" t="s">
        <v>9629</v>
      </c>
      <c r="AF205" s="13" t="s">
        <v>9814</v>
      </c>
    </row>
    <row r="206" spans="1:33">
      <c r="A206" s="13" t="s">
        <v>10278</v>
      </c>
      <c r="B206" s="13" t="s">
        <v>1150</v>
      </c>
      <c r="C206" s="13" t="s">
        <v>1363</v>
      </c>
      <c r="D206" s="13" t="s">
        <v>1150</v>
      </c>
      <c r="E206" s="13" t="s">
        <v>1363</v>
      </c>
      <c r="F206" s="13" t="s">
        <v>447</v>
      </c>
      <c r="G206" s="13" t="s">
        <v>447</v>
      </c>
      <c r="H206" s="13" t="s">
        <v>1150</v>
      </c>
      <c r="I206" s="13" t="s">
        <v>10279</v>
      </c>
      <c r="J206" s="13" t="s">
        <v>447</v>
      </c>
      <c r="K206" s="13" t="s">
        <v>1363</v>
      </c>
      <c r="L206" s="13" t="s">
        <v>447</v>
      </c>
      <c r="M206" s="13" t="s">
        <v>1363</v>
      </c>
      <c r="N206" s="13" t="s">
        <v>9626</v>
      </c>
      <c r="O206" s="13" t="s">
        <v>9667</v>
      </c>
      <c r="P206" s="15">
        <v>367</v>
      </c>
      <c r="R206" s="13" t="s">
        <v>10279</v>
      </c>
      <c r="S206" s="13" t="s">
        <v>447</v>
      </c>
      <c r="T206" s="13" t="s">
        <v>10280</v>
      </c>
      <c r="U206" s="13" t="s">
        <v>9734</v>
      </c>
      <c r="V206" s="13" t="s">
        <v>9735</v>
      </c>
      <c r="W206" s="13" t="s">
        <v>9736</v>
      </c>
      <c r="X206" s="13" t="s">
        <v>9658</v>
      </c>
      <c r="Z206" s="13" t="s">
        <v>1363</v>
      </c>
      <c r="AA206" s="13" t="s">
        <v>9737</v>
      </c>
      <c r="AB206" s="13" t="s">
        <v>447</v>
      </c>
      <c r="AC206" s="21">
        <v>39995.47078703704</v>
      </c>
      <c r="AD206" s="21">
        <v>42550.736331018517</v>
      </c>
      <c r="AE206" s="13" t="s">
        <v>9629</v>
      </c>
      <c r="AF206" s="13" t="s">
        <v>9634</v>
      </c>
    </row>
    <row r="207" spans="1:33">
      <c r="A207" s="13" t="s">
        <v>10281</v>
      </c>
      <c r="B207" s="13" t="s">
        <v>1150</v>
      </c>
      <c r="C207" s="13" t="s">
        <v>1363</v>
      </c>
      <c r="D207" s="13" t="s">
        <v>1150</v>
      </c>
      <c r="E207" s="13" t="s">
        <v>1363</v>
      </c>
      <c r="F207" s="13" t="s">
        <v>447</v>
      </c>
      <c r="G207" s="13" t="s">
        <v>447</v>
      </c>
      <c r="H207" s="13" t="s">
        <v>1150</v>
      </c>
      <c r="I207" s="13" t="s">
        <v>10282</v>
      </c>
      <c r="J207" s="13" t="s">
        <v>447</v>
      </c>
      <c r="K207" s="13" t="s">
        <v>1363</v>
      </c>
      <c r="L207" s="13" t="s">
        <v>447</v>
      </c>
      <c r="M207" s="13" t="s">
        <v>1363</v>
      </c>
      <c r="N207" s="13" t="s">
        <v>9626</v>
      </c>
      <c r="O207" s="13" t="s">
        <v>10171</v>
      </c>
      <c r="P207" s="15">
        <v>367</v>
      </c>
      <c r="R207" s="13" t="s">
        <v>10282</v>
      </c>
      <c r="S207" s="13" t="s">
        <v>1363</v>
      </c>
      <c r="T207" s="13" t="s">
        <v>10283</v>
      </c>
      <c r="U207" s="13" t="s">
        <v>9734</v>
      </c>
      <c r="V207" s="13" t="s">
        <v>9735</v>
      </c>
      <c r="W207" s="13" t="s">
        <v>9736</v>
      </c>
      <c r="X207" s="13" t="s">
        <v>9658</v>
      </c>
      <c r="Z207" s="13" t="s">
        <v>1363</v>
      </c>
      <c r="AA207" s="13" t="s">
        <v>9737</v>
      </c>
      <c r="AB207" s="13" t="s">
        <v>447</v>
      </c>
      <c r="AC207" s="21">
        <v>40084.654317129629</v>
      </c>
      <c r="AD207" s="21">
        <v>42550.736331018517</v>
      </c>
      <c r="AE207" s="13" t="s">
        <v>9629</v>
      </c>
      <c r="AF207" s="13" t="s">
        <v>9629</v>
      </c>
    </row>
    <row r="208" spans="1:33">
      <c r="A208" s="13" t="s">
        <v>10284</v>
      </c>
      <c r="B208" s="13" t="s">
        <v>1150</v>
      </c>
      <c r="C208" s="13" t="s">
        <v>1363</v>
      </c>
      <c r="D208" s="13" t="s">
        <v>1150</v>
      </c>
      <c r="E208" s="13" t="s">
        <v>1363</v>
      </c>
      <c r="F208" s="13" t="s">
        <v>447</v>
      </c>
      <c r="G208" s="13" t="s">
        <v>447</v>
      </c>
      <c r="H208" s="13" t="s">
        <v>1150</v>
      </c>
      <c r="I208" s="13" t="s">
        <v>10285</v>
      </c>
      <c r="J208" s="13" t="s">
        <v>447</v>
      </c>
      <c r="K208" s="13" t="s">
        <v>1363</v>
      </c>
      <c r="L208" s="13" t="s">
        <v>447</v>
      </c>
      <c r="M208" s="13" t="s">
        <v>1363</v>
      </c>
      <c r="N208" s="13" t="s">
        <v>9626</v>
      </c>
      <c r="O208" s="13" t="s">
        <v>10171</v>
      </c>
      <c r="P208" s="15">
        <v>367</v>
      </c>
      <c r="R208" s="13" t="s">
        <v>10285</v>
      </c>
      <c r="S208" s="13" t="s">
        <v>1363</v>
      </c>
      <c r="T208" s="13" t="s">
        <v>10286</v>
      </c>
      <c r="U208" s="13" t="s">
        <v>9734</v>
      </c>
      <c r="V208" s="13" t="s">
        <v>9735</v>
      </c>
      <c r="W208" s="13" t="s">
        <v>9736</v>
      </c>
      <c r="X208" s="13" t="s">
        <v>9658</v>
      </c>
      <c r="Z208" s="13" t="s">
        <v>1363</v>
      </c>
      <c r="AA208" s="13" t="s">
        <v>9737</v>
      </c>
      <c r="AB208" s="13" t="s">
        <v>447</v>
      </c>
      <c r="AC208" s="21">
        <v>40084.655474537038</v>
      </c>
      <c r="AD208" s="21">
        <v>42550.736331018517</v>
      </c>
      <c r="AE208" s="13" t="s">
        <v>9629</v>
      </c>
      <c r="AF208" s="13" t="s">
        <v>9629</v>
      </c>
    </row>
    <row r="209" spans="1:32">
      <c r="A209" s="13" t="s">
        <v>10287</v>
      </c>
      <c r="B209" s="13" t="s">
        <v>1150</v>
      </c>
      <c r="C209" s="13" t="s">
        <v>447</v>
      </c>
      <c r="D209" s="13" t="s">
        <v>1373</v>
      </c>
      <c r="E209" s="13" t="s">
        <v>447</v>
      </c>
      <c r="F209" s="13" t="s">
        <v>447</v>
      </c>
      <c r="G209" s="13" t="s">
        <v>1363</v>
      </c>
      <c r="H209" s="13" t="s">
        <v>1415</v>
      </c>
      <c r="I209" s="13" t="s">
        <v>10288</v>
      </c>
      <c r="J209" s="13" t="s">
        <v>1363</v>
      </c>
      <c r="K209" s="13" t="s">
        <v>1363</v>
      </c>
      <c r="L209" s="13" t="s">
        <v>1363</v>
      </c>
      <c r="M209" s="13" t="s">
        <v>1363</v>
      </c>
      <c r="N209" s="14">
        <v>71</v>
      </c>
      <c r="O209" s="13" t="s">
        <v>10289</v>
      </c>
      <c r="P209" s="15">
        <v>1</v>
      </c>
      <c r="S209" s="13" t="s">
        <v>1363</v>
      </c>
      <c r="X209" s="13" t="s">
        <v>9397</v>
      </c>
      <c r="Z209" s="13" t="s">
        <v>1363</v>
      </c>
      <c r="AB209" s="13" t="s">
        <v>447</v>
      </c>
      <c r="AC209" s="21">
        <v>40631.730185185188</v>
      </c>
      <c r="AD209" s="21">
        <v>40631.730185185188</v>
      </c>
      <c r="AE209" s="13" t="s">
        <v>9629</v>
      </c>
      <c r="AF209" s="13" t="s">
        <v>9629</v>
      </c>
    </row>
    <row r="210" spans="1:32">
      <c r="A210" s="13" t="s">
        <v>10290</v>
      </c>
      <c r="B210" s="13" t="s">
        <v>1438</v>
      </c>
      <c r="C210" s="13" t="s">
        <v>1363</v>
      </c>
      <c r="D210" s="13" t="s">
        <v>1150</v>
      </c>
      <c r="E210" s="13" t="s">
        <v>1363</v>
      </c>
      <c r="F210" s="13" t="s">
        <v>447</v>
      </c>
      <c r="G210" s="13" t="s">
        <v>1363</v>
      </c>
      <c r="H210" s="13" t="s">
        <v>1367</v>
      </c>
      <c r="I210" s="13" t="s">
        <v>10291</v>
      </c>
      <c r="J210" s="13" t="s">
        <v>1363</v>
      </c>
      <c r="K210" s="13" t="s">
        <v>1363</v>
      </c>
      <c r="L210" s="13" t="s">
        <v>447</v>
      </c>
      <c r="M210" s="13" t="s">
        <v>1363</v>
      </c>
      <c r="N210" s="13" t="s">
        <v>9626</v>
      </c>
      <c r="O210" s="13" t="s">
        <v>10292</v>
      </c>
      <c r="P210" s="15">
        <v>40057</v>
      </c>
      <c r="R210" s="13" t="s">
        <v>10277</v>
      </c>
      <c r="S210" s="13" t="s">
        <v>1363</v>
      </c>
      <c r="X210" s="13" t="s">
        <v>10293</v>
      </c>
      <c r="Z210" s="13" t="s">
        <v>1363</v>
      </c>
      <c r="AB210" s="13" t="s">
        <v>447</v>
      </c>
      <c r="AC210" s="21">
        <v>40133.698182870372</v>
      </c>
      <c r="AD210" s="21">
        <v>40308.515555555554</v>
      </c>
      <c r="AE210" s="13" t="s">
        <v>9629</v>
      </c>
      <c r="AF210" s="13" t="s">
        <v>9814</v>
      </c>
    </row>
    <row r="211" spans="1:32">
      <c r="A211" s="13" t="s">
        <v>10294</v>
      </c>
      <c r="B211" s="13" t="s">
        <v>1438</v>
      </c>
      <c r="C211" s="13" t="s">
        <v>1363</v>
      </c>
      <c r="D211" s="13" t="s">
        <v>1150</v>
      </c>
      <c r="E211" s="13" t="s">
        <v>1363</v>
      </c>
      <c r="F211" s="13" t="s">
        <v>447</v>
      </c>
      <c r="G211" s="13" t="s">
        <v>1363</v>
      </c>
      <c r="H211" s="13" t="s">
        <v>1415</v>
      </c>
      <c r="I211" s="13" t="s">
        <v>2408</v>
      </c>
      <c r="J211" s="13" t="s">
        <v>447</v>
      </c>
      <c r="K211" s="13" t="s">
        <v>1363</v>
      </c>
      <c r="L211" s="13" t="s">
        <v>1363</v>
      </c>
      <c r="M211" s="13" t="s">
        <v>447</v>
      </c>
      <c r="N211" s="13" t="s">
        <v>9626</v>
      </c>
      <c r="O211" s="13" t="s">
        <v>10295</v>
      </c>
      <c r="P211" s="15">
        <v>732</v>
      </c>
      <c r="R211" s="13" t="s">
        <v>2408</v>
      </c>
      <c r="S211" s="13" t="s">
        <v>1363</v>
      </c>
      <c r="X211" s="13" t="s">
        <v>10296</v>
      </c>
      <c r="Z211" s="13" t="s">
        <v>1363</v>
      </c>
      <c r="AB211" s="13" t="s">
        <v>447</v>
      </c>
      <c r="AC211" s="21">
        <v>40137.335381944446</v>
      </c>
      <c r="AD211" s="21">
        <v>44383.465775462966</v>
      </c>
      <c r="AE211" s="13" t="s">
        <v>9629</v>
      </c>
      <c r="AF211" s="13" t="s">
        <v>9634</v>
      </c>
    </row>
    <row r="212" spans="1:32">
      <c r="A212" s="13" t="s">
        <v>10297</v>
      </c>
      <c r="B212" s="13" t="s">
        <v>1438</v>
      </c>
      <c r="C212" s="13" t="s">
        <v>1363</v>
      </c>
      <c r="D212" s="13" t="s">
        <v>1150</v>
      </c>
      <c r="E212" s="13" t="s">
        <v>1363</v>
      </c>
      <c r="F212" s="13" t="s">
        <v>447</v>
      </c>
      <c r="G212" s="13" t="s">
        <v>1363</v>
      </c>
      <c r="H212" s="13" t="s">
        <v>1367</v>
      </c>
      <c r="I212" s="13" t="s">
        <v>10298</v>
      </c>
      <c r="J212" s="13" t="s">
        <v>1363</v>
      </c>
      <c r="K212" s="13" t="s">
        <v>1363</v>
      </c>
      <c r="L212" s="13" t="s">
        <v>447</v>
      </c>
      <c r="M212" s="13" t="s">
        <v>1363</v>
      </c>
      <c r="N212" s="13" t="s">
        <v>9626</v>
      </c>
      <c r="O212" s="13" t="s">
        <v>10299</v>
      </c>
      <c r="P212" s="15">
        <v>40163</v>
      </c>
      <c r="R212" s="13" t="s">
        <v>10300</v>
      </c>
      <c r="S212" s="13" t="s">
        <v>1363</v>
      </c>
      <c r="X212" s="13" t="s">
        <v>10293</v>
      </c>
      <c r="Z212" s="13" t="s">
        <v>1363</v>
      </c>
      <c r="AB212" s="13" t="s">
        <v>447</v>
      </c>
      <c r="AC212" s="21">
        <v>40163.721435185187</v>
      </c>
      <c r="AD212" s="21">
        <v>40312.543275462966</v>
      </c>
      <c r="AE212" s="13" t="s">
        <v>9629</v>
      </c>
      <c r="AF212" s="13" t="s">
        <v>9814</v>
      </c>
    </row>
    <row r="213" spans="1:32">
      <c r="A213" s="13" t="s">
        <v>10301</v>
      </c>
      <c r="B213" s="13" t="s">
        <v>1438</v>
      </c>
      <c r="C213" s="13" t="s">
        <v>1363</v>
      </c>
      <c r="D213" s="13" t="s">
        <v>1150</v>
      </c>
      <c r="E213" s="13" t="s">
        <v>1363</v>
      </c>
      <c r="F213" s="13" t="s">
        <v>447</v>
      </c>
      <c r="G213" s="13" t="s">
        <v>1363</v>
      </c>
      <c r="H213" s="13" t="s">
        <v>1367</v>
      </c>
      <c r="I213" s="13" t="s">
        <v>10302</v>
      </c>
      <c r="J213" s="13" t="s">
        <v>1363</v>
      </c>
      <c r="K213" s="13" t="s">
        <v>1363</v>
      </c>
      <c r="L213" s="13" t="s">
        <v>447</v>
      </c>
      <c r="M213" s="13" t="s">
        <v>1363</v>
      </c>
      <c r="N213" s="13" t="s">
        <v>9626</v>
      </c>
      <c r="O213" s="13" t="s">
        <v>10303</v>
      </c>
      <c r="P213" s="15">
        <v>40164</v>
      </c>
      <c r="R213" s="13" t="s">
        <v>10304</v>
      </c>
      <c r="S213" s="13" t="s">
        <v>1363</v>
      </c>
      <c r="X213" s="13" t="s">
        <v>10293</v>
      </c>
      <c r="Z213" s="13" t="s">
        <v>1363</v>
      </c>
      <c r="AB213" s="13" t="s">
        <v>447</v>
      </c>
      <c r="AC213" s="21">
        <v>40164.71020833333</v>
      </c>
      <c r="AD213" s="21">
        <v>40312.553368055553</v>
      </c>
      <c r="AE213" s="13" t="s">
        <v>9629</v>
      </c>
      <c r="AF213" s="13" t="s">
        <v>9814</v>
      </c>
    </row>
    <row r="214" spans="1:32">
      <c r="A214" s="13" t="s">
        <v>10305</v>
      </c>
      <c r="B214" s="13" t="s">
        <v>1150</v>
      </c>
      <c r="C214" s="13" t="s">
        <v>447</v>
      </c>
      <c r="D214" s="13" t="s">
        <v>1150</v>
      </c>
      <c r="E214" s="13" t="s">
        <v>447</v>
      </c>
      <c r="F214" s="13" t="s">
        <v>447</v>
      </c>
      <c r="G214" s="13" t="s">
        <v>447</v>
      </c>
      <c r="H214" s="13" t="s">
        <v>1415</v>
      </c>
      <c r="I214" s="13" t="s">
        <v>10306</v>
      </c>
      <c r="J214" s="13" t="s">
        <v>447</v>
      </c>
      <c r="K214" s="13" t="s">
        <v>1363</v>
      </c>
      <c r="L214" s="13" t="s">
        <v>447</v>
      </c>
      <c r="M214" s="13" t="s">
        <v>1363</v>
      </c>
      <c r="N214" s="13" t="s">
        <v>9626</v>
      </c>
      <c r="O214" s="13" t="s">
        <v>10307</v>
      </c>
      <c r="P214" s="15">
        <v>40118</v>
      </c>
      <c r="R214" s="13" t="s">
        <v>10308</v>
      </c>
      <c r="S214" s="13" t="s">
        <v>1363</v>
      </c>
      <c r="X214" s="13" t="s">
        <v>9628</v>
      </c>
      <c r="Z214" s="13" t="s">
        <v>1363</v>
      </c>
      <c r="AB214" s="13" t="s">
        <v>447</v>
      </c>
      <c r="AC214" s="21">
        <v>40170.473171296297</v>
      </c>
      <c r="AD214" s="21">
        <v>40170.473171296297</v>
      </c>
      <c r="AE214" s="13" t="s">
        <v>9814</v>
      </c>
      <c r="AF214" s="13" t="s">
        <v>9814</v>
      </c>
    </row>
    <row r="215" spans="1:32">
      <c r="A215" s="13" t="s">
        <v>4304</v>
      </c>
      <c r="B215" s="13" t="s">
        <v>1438</v>
      </c>
      <c r="C215" s="13" t="s">
        <v>1363</v>
      </c>
      <c r="D215" s="13" t="s">
        <v>1150</v>
      </c>
      <c r="E215" s="13" t="s">
        <v>1363</v>
      </c>
      <c r="F215" s="13" t="s">
        <v>447</v>
      </c>
      <c r="G215" s="13" t="s">
        <v>1363</v>
      </c>
      <c r="H215" s="13" t="s">
        <v>1415</v>
      </c>
      <c r="I215" s="13" t="s">
        <v>10309</v>
      </c>
      <c r="J215" s="13" t="s">
        <v>1363</v>
      </c>
      <c r="K215" s="13" t="s">
        <v>1363</v>
      </c>
      <c r="L215" s="13" t="s">
        <v>1363</v>
      </c>
      <c r="M215" s="13" t="s">
        <v>1363</v>
      </c>
      <c r="N215" s="13" t="s">
        <v>9626</v>
      </c>
      <c r="O215" s="13" t="s">
        <v>10310</v>
      </c>
      <c r="P215" s="15">
        <v>40179</v>
      </c>
      <c r="R215" s="13" t="s">
        <v>10309</v>
      </c>
      <c r="S215" s="13" t="s">
        <v>1363</v>
      </c>
      <c r="X215" s="13" t="s">
        <v>9628</v>
      </c>
      <c r="Z215" s="13" t="s">
        <v>1363</v>
      </c>
      <c r="AB215" s="13" t="s">
        <v>447</v>
      </c>
      <c r="AC215" s="21">
        <v>40220.621168981481</v>
      </c>
      <c r="AD215" s="21">
        <v>40220.621168981481</v>
      </c>
      <c r="AE215" s="13" t="s">
        <v>9814</v>
      </c>
      <c r="AF215" s="13" t="s">
        <v>9814</v>
      </c>
    </row>
    <row r="216" spans="1:32">
      <c r="A216" s="13" t="s">
        <v>10311</v>
      </c>
      <c r="B216" s="13" t="s">
        <v>1150</v>
      </c>
      <c r="C216" s="13" t="s">
        <v>447</v>
      </c>
      <c r="D216" s="13" t="s">
        <v>1150</v>
      </c>
      <c r="E216" s="13" t="s">
        <v>1363</v>
      </c>
      <c r="F216" s="13" t="s">
        <v>447</v>
      </c>
      <c r="G216" s="13" t="s">
        <v>447</v>
      </c>
      <c r="H216" s="13" t="s">
        <v>1150</v>
      </c>
      <c r="I216" s="13" t="s">
        <v>10312</v>
      </c>
      <c r="J216" s="13" t="s">
        <v>447</v>
      </c>
      <c r="K216" s="13" t="s">
        <v>1363</v>
      </c>
      <c r="L216" s="13" t="s">
        <v>447</v>
      </c>
      <c r="M216" s="13" t="s">
        <v>1363</v>
      </c>
      <c r="N216" s="13" t="s">
        <v>9626</v>
      </c>
      <c r="O216" s="13" t="s">
        <v>10313</v>
      </c>
      <c r="P216" s="15">
        <v>39814</v>
      </c>
      <c r="R216" s="13" t="s">
        <v>10314</v>
      </c>
      <c r="S216" s="13" t="s">
        <v>1363</v>
      </c>
      <c r="X216" s="13" t="s">
        <v>9658</v>
      </c>
      <c r="Z216" s="13" t="s">
        <v>1363</v>
      </c>
      <c r="AB216" s="13" t="s">
        <v>447</v>
      </c>
      <c r="AC216" s="21">
        <v>40266.660104166665</v>
      </c>
      <c r="AD216" s="21">
        <v>42174.456388888888</v>
      </c>
      <c r="AE216" s="13" t="s">
        <v>9634</v>
      </c>
      <c r="AF216" s="13" t="s">
        <v>9634</v>
      </c>
    </row>
    <row r="217" spans="1:32">
      <c r="A217" s="13" t="s">
        <v>10315</v>
      </c>
      <c r="B217" s="13" t="s">
        <v>1150</v>
      </c>
      <c r="C217" s="13" t="s">
        <v>1363</v>
      </c>
      <c r="D217" s="13" t="s">
        <v>1150</v>
      </c>
      <c r="E217" s="13" t="s">
        <v>1363</v>
      </c>
      <c r="F217" s="13" t="s">
        <v>447</v>
      </c>
      <c r="G217" s="13" t="s">
        <v>447</v>
      </c>
      <c r="H217" s="13" t="s">
        <v>1150</v>
      </c>
      <c r="I217" s="13" t="s">
        <v>10316</v>
      </c>
      <c r="J217" s="13" t="s">
        <v>447</v>
      </c>
      <c r="K217" s="13" t="s">
        <v>1363</v>
      </c>
      <c r="L217" s="13" t="s">
        <v>447</v>
      </c>
      <c r="M217" s="13" t="s">
        <v>1363</v>
      </c>
      <c r="N217" s="13" t="s">
        <v>9626</v>
      </c>
      <c r="O217" s="13" t="s">
        <v>10171</v>
      </c>
      <c r="P217" s="15">
        <v>367</v>
      </c>
      <c r="R217" s="13" t="s">
        <v>10316</v>
      </c>
      <c r="S217" s="13" t="s">
        <v>1363</v>
      </c>
      <c r="T217" s="13" t="s">
        <v>10317</v>
      </c>
      <c r="U217" s="13" t="s">
        <v>9734</v>
      </c>
      <c r="V217" s="13" t="s">
        <v>9735</v>
      </c>
      <c r="W217" s="13" t="s">
        <v>9736</v>
      </c>
      <c r="X217" s="13" t="s">
        <v>9658</v>
      </c>
      <c r="Z217" s="13" t="s">
        <v>1363</v>
      </c>
      <c r="AA217" s="13" t="s">
        <v>9737</v>
      </c>
      <c r="AB217" s="13" t="s">
        <v>447</v>
      </c>
      <c r="AC217" s="21">
        <v>40301.646041666667</v>
      </c>
      <c r="AD217" s="21">
        <v>42550.736331018517</v>
      </c>
      <c r="AE217" s="13" t="s">
        <v>9629</v>
      </c>
      <c r="AF217" s="13" t="s">
        <v>9634</v>
      </c>
    </row>
    <row r="218" spans="1:32">
      <c r="A218" s="13" t="s">
        <v>10318</v>
      </c>
      <c r="B218" s="13" t="s">
        <v>1150</v>
      </c>
      <c r="C218" s="13" t="s">
        <v>1363</v>
      </c>
      <c r="D218" s="13" t="s">
        <v>1150</v>
      </c>
      <c r="E218" s="13" t="s">
        <v>1363</v>
      </c>
      <c r="F218" s="13" t="s">
        <v>447</v>
      </c>
      <c r="G218" s="13" t="s">
        <v>447</v>
      </c>
      <c r="H218" s="13" t="s">
        <v>1367</v>
      </c>
      <c r="I218" s="13" t="s">
        <v>10319</v>
      </c>
      <c r="J218" s="13" t="s">
        <v>447</v>
      </c>
      <c r="K218" s="13" t="s">
        <v>1363</v>
      </c>
      <c r="L218" s="13" t="s">
        <v>1363</v>
      </c>
      <c r="M218" s="13" t="s">
        <v>1363</v>
      </c>
      <c r="N218" s="13" t="s">
        <v>9626</v>
      </c>
      <c r="O218" s="13" t="s">
        <v>10320</v>
      </c>
      <c r="P218" s="15">
        <v>367</v>
      </c>
      <c r="R218" s="13" t="s">
        <v>10321</v>
      </c>
      <c r="S218" s="13" t="s">
        <v>1363</v>
      </c>
      <c r="X218" s="13" t="s">
        <v>10293</v>
      </c>
      <c r="Z218" s="13" t="s">
        <v>1363</v>
      </c>
      <c r="AB218" s="13" t="s">
        <v>447</v>
      </c>
      <c r="AC218" s="21">
        <v>40364.627060185187</v>
      </c>
      <c r="AD218" s="21">
        <v>43965.474953703706</v>
      </c>
      <c r="AE218" s="13" t="s">
        <v>9860</v>
      </c>
      <c r="AF218" s="13" t="s">
        <v>9795</v>
      </c>
    </row>
    <row r="219" spans="1:32">
      <c r="A219" s="13" t="s">
        <v>10322</v>
      </c>
      <c r="B219" s="13" t="s">
        <v>1150</v>
      </c>
      <c r="C219" s="13" t="s">
        <v>447</v>
      </c>
      <c r="D219" s="13" t="s">
        <v>1373</v>
      </c>
      <c r="E219" s="13" t="s">
        <v>447</v>
      </c>
      <c r="F219" s="13" t="s">
        <v>447</v>
      </c>
      <c r="G219" s="13" t="s">
        <v>1363</v>
      </c>
      <c r="H219" s="13" t="s">
        <v>1415</v>
      </c>
      <c r="I219" s="13" t="s">
        <v>10323</v>
      </c>
      <c r="J219" s="13" t="s">
        <v>1363</v>
      </c>
      <c r="K219" s="13" t="s">
        <v>1363</v>
      </c>
      <c r="L219" s="13" t="s">
        <v>1363</v>
      </c>
      <c r="M219" s="13" t="s">
        <v>1363</v>
      </c>
      <c r="N219" s="14">
        <v>64</v>
      </c>
      <c r="O219" s="13" t="s">
        <v>10324</v>
      </c>
      <c r="P219" s="15">
        <v>1</v>
      </c>
      <c r="S219" s="13" t="s">
        <v>1363</v>
      </c>
      <c r="X219" s="13" t="s">
        <v>9397</v>
      </c>
      <c r="Z219" s="13" t="s">
        <v>1363</v>
      </c>
      <c r="AB219" s="13" t="s">
        <v>447</v>
      </c>
      <c r="AC219" s="21">
        <v>40631.730185185188</v>
      </c>
      <c r="AD219" s="21">
        <v>40631.730185185188</v>
      </c>
      <c r="AE219" s="13" t="s">
        <v>9629</v>
      </c>
      <c r="AF219" s="13" t="s">
        <v>9629</v>
      </c>
    </row>
    <row r="220" spans="1:32">
      <c r="A220" s="13" t="s">
        <v>10325</v>
      </c>
      <c r="B220" s="13" t="s">
        <v>1438</v>
      </c>
      <c r="C220" s="13" t="s">
        <v>1363</v>
      </c>
      <c r="D220" s="13" t="s">
        <v>1150</v>
      </c>
      <c r="E220" s="13" t="s">
        <v>1363</v>
      </c>
      <c r="F220" s="13" t="s">
        <v>447</v>
      </c>
      <c r="G220" s="13" t="s">
        <v>1363</v>
      </c>
      <c r="H220" s="13" t="s">
        <v>1415</v>
      </c>
      <c r="I220" s="13" t="s">
        <v>10326</v>
      </c>
      <c r="J220" s="13" t="s">
        <v>1363</v>
      </c>
      <c r="K220" s="13" t="s">
        <v>1363</v>
      </c>
      <c r="L220" s="13" t="s">
        <v>1363</v>
      </c>
      <c r="M220" s="13" t="s">
        <v>1363</v>
      </c>
      <c r="N220" s="13" t="s">
        <v>9626</v>
      </c>
      <c r="O220" s="13" t="s">
        <v>10327</v>
      </c>
      <c r="P220" s="15">
        <v>40179</v>
      </c>
      <c r="R220" s="13" t="s">
        <v>10328</v>
      </c>
      <c r="S220" s="13" t="s">
        <v>1363</v>
      </c>
      <c r="X220" s="13" t="s">
        <v>9628</v>
      </c>
      <c r="Z220" s="13" t="s">
        <v>1363</v>
      </c>
      <c r="AB220" s="13" t="s">
        <v>447</v>
      </c>
      <c r="AC220" s="21">
        <v>40360.650578703702</v>
      </c>
      <c r="AD220" s="21">
        <v>40360.650578703702</v>
      </c>
      <c r="AE220" s="13" t="s">
        <v>9814</v>
      </c>
      <c r="AF220" s="13" t="s">
        <v>9814</v>
      </c>
    </row>
    <row r="221" spans="1:32">
      <c r="A221" s="13" t="s">
        <v>10329</v>
      </c>
      <c r="B221" s="13" t="s">
        <v>1438</v>
      </c>
      <c r="C221" s="13" t="s">
        <v>1363</v>
      </c>
      <c r="D221" s="13" t="s">
        <v>1150</v>
      </c>
      <c r="E221" s="13" t="s">
        <v>1363</v>
      </c>
      <c r="F221" s="13" t="s">
        <v>447</v>
      </c>
      <c r="G221" s="13" t="s">
        <v>1363</v>
      </c>
      <c r="H221" s="13" t="s">
        <v>1415</v>
      </c>
      <c r="I221" s="13" t="s">
        <v>10330</v>
      </c>
      <c r="J221" s="13" t="s">
        <v>1363</v>
      </c>
      <c r="K221" s="13" t="s">
        <v>1363</v>
      </c>
      <c r="L221" s="13" t="s">
        <v>1363</v>
      </c>
      <c r="M221" s="13" t="s">
        <v>1363</v>
      </c>
      <c r="N221" s="13" t="s">
        <v>9626</v>
      </c>
      <c r="O221" s="13" t="s">
        <v>10331</v>
      </c>
      <c r="P221" s="15">
        <v>40179</v>
      </c>
      <c r="R221" s="13" t="s">
        <v>10332</v>
      </c>
      <c r="S221" s="13" t="s">
        <v>1363</v>
      </c>
      <c r="X221" s="13" t="s">
        <v>9628</v>
      </c>
      <c r="Z221" s="13" t="s">
        <v>1363</v>
      </c>
      <c r="AB221" s="13" t="s">
        <v>447</v>
      </c>
      <c r="AC221" s="21">
        <v>40360.657986111109</v>
      </c>
      <c r="AD221" s="21">
        <v>40360.657986111109</v>
      </c>
      <c r="AE221" s="13" t="s">
        <v>9814</v>
      </c>
      <c r="AF221" s="13" t="s">
        <v>9814</v>
      </c>
    </row>
    <row r="222" spans="1:32">
      <c r="A222" s="13" t="s">
        <v>10333</v>
      </c>
      <c r="B222" s="13" t="s">
        <v>1150</v>
      </c>
      <c r="C222" s="13" t="s">
        <v>1363</v>
      </c>
      <c r="D222" s="13" t="s">
        <v>1150</v>
      </c>
      <c r="E222" s="13" t="s">
        <v>1363</v>
      </c>
      <c r="F222" s="13" t="s">
        <v>447</v>
      </c>
      <c r="G222" s="13" t="s">
        <v>447</v>
      </c>
      <c r="H222" s="13" t="s">
        <v>1150</v>
      </c>
      <c r="I222" s="13" t="s">
        <v>10334</v>
      </c>
      <c r="J222" s="13" t="s">
        <v>447</v>
      </c>
      <c r="K222" s="13" t="s">
        <v>1363</v>
      </c>
      <c r="L222" s="13" t="s">
        <v>447</v>
      </c>
      <c r="M222" s="13" t="s">
        <v>1363</v>
      </c>
      <c r="N222" s="13" t="s">
        <v>9626</v>
      </c>
      <c r="O222" s="13" t="s">
        <v>9667</v>
      </c>
      <c r="P222" s="15">
        <v>367</v>
      </c>
      <c r="R222" s="13" t="s">
        <v>10334</v>
      </c>
      <c r="S222" s="13" t="s">
        <v>447</v>
      </c>
      <c r="T222" s="13" t="s">
        <v>10335</v>
      </c>
      <c r="U222" s="13" t="s">
        <v>9734</v>
      </c>
      <c r="V222" s="13" t="s">
        <v>9735</v>
      </c>
      <c r="W222" s="13" t="s">
        <v>9736</v>
      </c>
      <c r="X222" s="13" t="s">
        <v>9658</v>
      </c>
      <c r="Z222" s="13" t="s">
        <v>1363</v>
      </c>
      <c r="AA222" s="13" t="s">
        <v>9737</v>
      </c>
      <c r="AB222" s="13" t="s">
        <v>447</v>
      </c>
      <c r="AC222" s="21">
        <v>40585.518460648149</v>
      </c>
      <c r="AD222" s="21">
        <v>42550.736331018517</v>
      </c>
      <c r="AE222" s="13" t="s">
        <v>9629</v>
      </c>
      <c r="AF222" s="13" t="s">
        <v>9634</v>
      </c>
    </row>
    <row r="223" spans="1:32">
      <c r="A223" s="13" t="s">
        <v>10336</v>
      </c>
      <c r="B223" s="13" t="s">
        <v>1150</v>
      </c>
      <c r="C223" s="13" t="s">
        <v>447</v>
      </c>
      <c r="D223" s="13" t="s">
        <v>1150</v>
      </c>
      <c r="E223" s="13" t="s">
        <v>1363</v>
      </c>
      <c r="F223" s="13" t="s">
        <v>447</v>
      </c>
      <c r="G223" s="13" t="s">
        <v>447</v>
      </c>
      <c r="H223" s="13" t="s">
        <v>1150</v>
      </c>
      <c r="I223" s="13" t="s">
        <v>10337</v>
      </c>
      <c r="J223" s="13" t="s">
        <v>447</v>
      </c>
      <c r="K223" s="13" t="s">
        <v>1363</v>
      </c>
      <c r="L223" s="13" t="s">
        <v>1363</v>
      </c>
      <c r="M223" s="13" t="s">
        <v>447</v>
      </c>
      <c r="N223" s="13" t="s">
        <v>9626</v>
      </c>
      <c r="O223" s="13" t="s">
        <v>10338</v>
      </c>
      <c r="P223" s="15">
        <v>367</v>
      </c>
      <c r="R223" s="13" t="s">
        <v>10337</v>
      </c>
      <c r="S223" s="13" t="s">
        <v>1363</v>
      </c>
      <c r="X223" s="13" t="s">
        <v>9658</v>
      </c>
      <c r="Z223" s="13" t="s">
        <v>1363</v>
      </c>
      <c r="AB223" s="13" t="s">
        <v>447</v>
      </c>
      <c r="AC223" s="21">
        <v>40449.417743055557</v>
      </c>
      <c r="AD223" s="21">
        <v>40449.417743055557</v>
      </c>
      <c r="AE223" s="13" t="s">
        <v>9629</v>
      </c>
      <c r="AF223" s="13" t="s">
        <v>9629</v>
      </c>
    </row>
    <row r="224" spans="1:32">
      <c r="A224" s="13" t="s">
        <v>10339</v>
      </c>
      <c r="B224" s="13" t="s">
        <v>1150</v>
      </c>
      <c r="C224" s="13" t="s">
        <v>1363</v>
      </c>
      <c r="D224" s="13" t="s">
        <v>1150</v>
      </c>
      <c r="E224" s="13" t="s">
        <v>1363</v>
      </c>
      <c r="F224" s="13" t="s">
        <v>447</v>
      </c>
      <c r="G224" s="13" t="s">
        <v>1363</v>
      </c>
      <c r="H224" s="13" t="s">
        <v>1415</v>
      </c>
      <c r="I224" s="13" t="s">
        <v>10340</v>
      </c>
      <c r="J224" s="13" t="s">
        <v>447</v>
      </c>
      <c r="K224" s="13" t="s">
        <v>1363</v>
      </c>
      <c r="L224" s="13" t="s">
        <v>1363</v>
      </c>
      <c r="M224" s="13" t="s">
        <v>1363</v>
      </c>
      <c r="N224" s="14">
        <v>1</v>
      </c>
      <c r="O224" s="13" t="s">
        <v>10341</v>
      </c>
      <c r="P224" s="15">
        <v>39448</v>
      </c>
      <c r="R224" s="13" t="s">
        <v>10340</v>
      </c>
      <c r="S224" s="13" t="s">
        <v>1363</v>
      </c>
      <c r="X224" s="13" t="s">
        <v>9628</v>
      </c>
      <c r="Z224" s="13" t="s">
        <v>1363</v>
      </c>
      <c r="AB224" s="13" t="s">
        <v>447</v>
      </c>
      <c r="AC224" s="21">
        <v>40514.604699074072</v>
      </c>
      <c r="AD224" s="21">
        <v>42402.508831018517</v>
      </c>
      <c r="AE224" s="13" t="s">
        <v>9629</v>
      </c>
      <c r="AF224" s="13" t="s">
        <v>9629</v>
      </c>
    </row>
    <row r="225" spans="1:32">
      <c r="A225" s="13" t="s">
        <v>10342</v>
      </c>
      <c r="B225" s="13" t="s">
        <v>1150</v>
      </c>
      <c r="C225" s="13" t="s">
        <v>1363</v>
      </c>
      <c r="D225" s="13" t="s">
        <v>1150</v>
      </c>
      <c r="E225" s="13" t="s">
        <v>1363</v>
      </c>
      <c r="F225" s="13" t="s">
        <v>447</v>
      </c>
      <c r="G225" s="13" t="s">
        <v>447</v>
      </c>
      <c r="H225" s="13" t="s">
        <v>1150</v>
      </c>
      <c r="I225" s="13" t="s">
        <v>10343</v>
      </c>
      <c r="J225" s="13" t="s">
        <v>447</v>
      </c>
      <c r="K225" s="13" t="s">
        <v>1363</v>
      </c>
      <c r="L225" s="13" t="s">
        <v>447</v>
      </c>
      <c r="M225" s="13" t="s">
        <v>1363</v>
      </c>
      <c r="N225" s="13" t="s">
        <v>9626</v>
      </c>
      <c r="O225" s="13" t="s">
        <v>10171</v>
      </c>
      <c r="P225" s="15">
        <v>367</v>
      </c>
      <c r="R225" s="13" t="s">
        <v>10343</v>
      </c>
      <c r="S225" s="13" t="s">
        <v>1363</v>
      </c>
      <c r="T225" s="13" t="s">
        <v>10344</v>
      </c>
      <c r="U225" s="13" t="s">
        <v>9734</v>
      </c>
      <c r="V225" s="13" t="s">
        <v>9735</v>
      </c>
      <c r="W225" s="13" t="s">
        <v>9736</v>
      </c>
      <c r="X225" s="13" t="s">
        <v>9658</v>
      </c>
      <c r="Z225" s="13" t="s">
        <v>1363</v>
      </c>
      <c r="AA225" s="13" t="s">
        <v>9737</v>
      </c>
      <c r="AB225" s="13" t="s">
        <v>447</v>
      </c>
      <c r="AC225" s="21">
        <v>40585.518090277779</v>
      </c>
      <c r="AD225" s="21">
        <v>42550.736331018517</v>
      </c>
      <c r="AE225" s="13" t="s">
        <v>9629</v>
      </c>
      <c r="AF225" s="13" t="s">
        <v>9634</v>
      </c>
    </row>
    <row r="226" spans="1:32">
      <c r="A226" s="13" t="s">
        <v>10345</v>
      </c>
      <c r="B226" s="13" t="s">
        <v>1150</v>
      </c>
      <c r="C226" s="13" t="s">
        <v>1363</v>
      </c>
      <c r="D226" s="13" t="s">
        <v>1150</v>
      </c>
      <c r="E226" s="13" t="s">
        <v>1363</v>
      </c>
      <c r="F226" s="13" t="s">
        <v>447</v>
      </c>
      <c r="G226" s="13" t="s">
        <v>447</v>
      </c>
      <c r="H226" s="13" t="s">
        <v>1150</v>
      </c>
      <c r="I226" s="13" t="s">
        <v>10346</v>
      </c>
      <c r="J226" s="13" t="s">
        <v>447</v>
      </c>
      <c r="K226" s="13" t="s">
        <v>1363</v>
      </c>
      <c r="L226" s="13" t="s">
        <v>447</v>
      </c>
      <c r="M226" s="13" t="s">
        <v>1363</v>
      </c>
      <c r="N226" s="13" t="s">
        <v>9626</v>
      </c>
      <c r="O226" s="13" t="s">
        <v>10159</v>
      </c>
      <c r="P226" s="15">
        <v>367</v>
      </c>
      <c r="R226" s="13" t="s">
        <v>10346</v>
      </c>
      <c r="S226" s="13" t="s">
        <v>1363</v>
      </c>
      <c r="T226" s="13" t="s">
        <v>10347</v>
      </c>
      <c r="U226" s="13" t="s">
        <v>9734</v>
      </c>
      <c r="V226" s="13" t="s">
        <v>9735</v>
      </c>
      <c r="W226" s="13" t="s">
        <v>9736</v>
      </c>
      <c r="X226" s="13" t="s">
        <v>9658</v>
      </c>
      <c r="Z226" s="13" t="s">
        <v>1363</v>
      </c>
      <c r="AA226" s="13" t="s">
        <v>9737</v>
      </c>
      <c r="AB226" s="13" t="s">
        <v>447</v>
      </c>
      <c r="AC226" s="21">
        <v>40585.519282407404</v>
      </c>
      <c r="AD226" s="21">
        <v>42550.736342592594</v>
      </c>
      <c r="AE226" s="13" t="s">
        <v>9629</v>
      </c>
      <c r="AF226" s="13" t="s">
        <v>9634</v>
      </c>
    </row>
    <row r="227" spans="1:32">
      <c r="A227" s="13" t="s">
        <v>10348</v>
      </c>
      <c r="B227" s="13" t="s">
        <v>1150</v>
      </c>
      <c r="C227" s="13" t="s">
        <v>447</v>
      </c>
      <c r="D227" s="13" t="s">
        <v>1373</v>
      </c>
      <c r="E227" s="13" t="s">
        <v>447</v>
      </c>
      <c r="F227" s="13" t="s">
        <v>447</v>
      </c>
      <c r="G227" s="13" t="s">
        <v>1363</v>
      </c>
      <c r="H227" s="13" t="s">
        <v>1415</v>
      </c>
      <c r="I227" s="13" t="s">
        <v>10349</v>
      </c>
      <c r="J227" s="13" t="s">
        <v>1363</v>
      </c>
      <c r="K227" s="13" t="s">
        <v>1363</v>
      </c>
      <c r="L227" s="13" t="s">
        <v>1363</v>
      </c>
      <c r="M227" s="13" t="s">
        <v>1363</v>
      </c>
      <c r="N227" s="14">
        <v>70</v>
      </c>
      <c r="O227" s="13" t="s">
        <v>10350</v>
      </c>
      <c r="P227" s="15">
        <v>1</v>
      </c>
      <c r="S227" s="13" t="s">
        <v>1363</v>
      </c>
      <c r="X227" s="13" t="s">
        <v>9397</v>
      </c>
      <c r="Z227" s="13" t="s">
        <v>1363</v>
      </c>
      <c r="AB227" s="13" t="s">
        <v>447</v>
      </c>
      <c r="AC227" s="21">
        <v>40631.730185185188</v>
      </c>
      <c r="AD227" s="21">
        <v>40631.730185185188</v>
      </c>
      <c r="AE227" s="13" t="s">
        <v>9629</v>
      </c>
      <c r="AF227" s="13" t="s">
        <v>9629</v>
      </c>
    </row>
    <row r="228" spans="1:32">
      <c r="A228" s="13" t="s">
        <v>10351</v>
      </c>
      <c r="B228" s="13" t="s">
        <v>1150</v>
      </c>
      <c r="C228" s="13" t="s">
        <v>447</v>
      </c>
      <c r="D228" s="13" t="s">
        <v>1373</v>
      </c>
      <c r="E228" s="13" t="s">
        <v>447</v>
      </c>
      <c r="F228" s="13" t="s">
        <v>447</v>
      </c>
      <c r="G228" s="13" t="s">
        <v>1363</v>
      </c>
      <c r="H228" s="13" t="s">
        <v>1415</v>
      </c>
      <c r="I228" s="13" t="s">
        <v>10352</v>
      </c>
      <c r="J228" s="13" t="s">
        <v>1363</v>
      </c>
      <c r="K228" s="13" t="s">
        <v>1363</v>
      </c>
      <c r="L228" s="13" t="s">
        <v>1363</v>
      </c>
      <c r="M228" s="13" t="s">
        <v>1363</v>
      </c>
      <c r="N228" s="14">
        <v>65</v>
      </c>
      <c r="O228" s="13" t="s">
        <v>10353</v>
      </c>
      <c r="P228" s="15">
        <v>1</v>
      </c>
      <c r="S228" s="13" t="s">
        <v>1363</v>
      </c>
      <c r="X228" s="13" t="s">
        <v>9397</v>
      </c>
      <c r="Z228" s="13" t="s">
        <v>1363</v>
      </c>
      <c r="AB228" s="13" t="s">
        <v>447</v>
      </c>
      <c r="AC228" s="21">
        <v>40631.730185185188</v>
      </c>
      <c r="AD228" s="21">
        <v>40631.730185185188</v>
      </c>
      <c r="AE228" s="13" t="s">
        <v>9629</v>
      </c>
      <c r="AF228" s="13" t="s">
        <v>9629</v>
      </c>
    </row>
    <row r="229" spans="1:32">
      <c r="A229" s="13" t="s">
        <v>10354</v>
      </c>
      <c r="B229" s="13" t="s">
        <v>1150</v>
      </c>
      <c r="C229" s="13" t="s">
        <v>447</v>
      </c>
      <c r="D229" s="13" t="s">
        <v>1373</v>
      </c>
      <c r="E229" s="13" t="s">
        <v>447</v>
      </c>
      <c r="F229" s="13" t="s">
        <v>447</v>
      </c>
      <c r="G229" s="13" t="s">
        <v>1363</v>
      </c>
      <c r="H229" s="13" t="s">
        <v>1415</v>
      </c>
      <c r="I229" s="13" t="s">
        <v>10355</v>
      </c>
      <c r="J229" s="13" t="s">
        <v>1363</v>
      </c>
      <c r="K229" s="13" t="s">
        <v>1363</v>
      </c>
      <c r="L229" s="13" t="s">
        <v>1363</v>
      </c>
      <c r="M229" s="13" t="s">
        <v>1363</v>
      </c>
      <c r="N229" s="14">
        <v>67</v>
      </c>
      <c r="O229" s="13" t="s">
        <v>10356</v>
      </c>
      <c r="P229" s="15">
        <v>1</v>
      </c>
      <c r="S229" s="13" t="s">
        <v>1363</v>
      </c>
      <c r="X229" s="13" t="s">
        <v>9397</v>
      </c>
      <c r="Z229" s="13" t="s">
        <v>1363</v>
      </c>
      <c r="AB229" s="13" t="s">
        <v>447</v>
      </c>
      <c r="AC229" s="21">
        <v>40631.730185185188</v>
      </c>
      <c r="AD229" s="21">
        <v>40631.730185185188</v>
      </c>
      <c r="AE229" s="13" t="s">
        <v>9629</v>
      </c>
      <c r="AF229" s="13" t="s">
        <v>9629</v>
      </c>
    </row>
    <row r="230" spans="1:32">
      <c r="A230" s="13" t="s">
        <v>10357</v>
      </c>
      <c r="B230" s="13" t="s">
        <v>1150</v>
      </c>
      <c r="C230" s="13" t="s">
        <v>447</v>
      </c>
      <c r="D230" s="13" t="s">
        <v>1373</v>
      </c>
      <c r="E230" s="13" t="s">
        <v>447</v>
      </c>
      <c r="F230" s="13" t="s">
        <v>447</v>
      </c>
      <c r="G230" s="13" t="s">
        <v>1363</v>
      </c>
      <c r="H230" s="13" t="s">
        <v>1415</v>
      </c>
      <c r="I230" s="13" t="s">
        <v>10358</v>
      </c>
      <c r="J230" s="13" t="s">
        <v>1363</v>
      </c>
      <c r="K230" s="13" t="s">
        <v>1363</v>
      </c>
      <c r="L230" s="13" t="s">
        <v>1363</v>
      </c>
      <c r="M230" s="13" t="s">
        <v>1363</v>
      </c>
      <c r="N230" s="14">
        <v>68</v>
      </c>
      <c r="O230" s="13" t="s">
        <v>10359</v>
      </c>
      <c r="P230" s="15">
        <v>1</v>
      </c>
      <c r="S230" s="13" t="s">
        <v>1363</v>
      </c>
      <c r="X230" s="13" t="s">
        <v>9397</v>
      </c>
      <c r="Z230" s="13" t="s">
        <v>1363</v>
      </c>
      <c r="AB230" s="13" t="s">
        <v>447</v>
      </c>
      <c r="AC230" s="21">
        <v>40631.730185185188</v>
      </c>
      <c r="AD230" s="21">
        <v>40631.730185185188</v>
      </c>
      <c r="AE230" s="13" t="s">
        <v>9629</v>
      </c>
      <c r="AF230" s="13" t="s">
        <v>9629</v>
      </c>
    </row>
    <row r="231" spans="1:32">
      <c r="A231" s="13" t="s">
        <v>10360</v>
      </c>
      <c r="B231" s="13" t="s">
        <v>1150</v>
      </c>
      <c r="C231" s="13" t="s">
        <v>447</v>
      </c>
      <c r="D231" s="13" t="s">
        <v>1373</v>
      </c>
      <c r="E231" s="13" t="s">
        <v>1363</v>
      </c>
      <c r="F231" s="13" t="s">
        <v>447</v>
      </c>
      <c r="G231" s="13" t="s">
        <v>1363</v>
      </c>
      <c r="H231" s="13" t="s">
        <v>1415</v>
      </c>
      <c r="I231" s="13" t="s">
        <v>10361</v>
      </c>
      <c r="J231" s="13" t="s">
        <v>1363</v>
      </c>
      <c r="K231" s="13" t="s">
        <v>1363</v>
      </c>
      <c r="L231" s="13" t="s">
        <v>1363</v>
      </c>
      <c r="M231" s="13" t="s">
        <v>1363</v>
      </c>
      <c r="N231" s="14">
        <v>75</v>
      </c>
      <c r="O231" s="13" t="s">
        <v>10362</v>
      </c>
      <c r="P231" s="15">
        <v>1</v>
      </c>
      <c r="S231" s="13" t="s">
        <v>1363</v>
      </c>
      <c r="X231" s="13" t="s">
        <v>9397</v>
      </c>
      <c r="Z231" s="13" t="s">
        <v>1363</v>
      </c>
      <c r="AB231" s="13" t="s">
        <v>447</v>
      </c>
      <c r="AC231" s="21">
        <v>40631.730185185188</v>
      </c>
      <c r="AD231" s="21">
        <v>40631.730185185188</v>
      </c>
      <c r="AE231" s="13" t="s">
        <v>9629</v>
      </c>
      <c r="AF231" s="13" t="s">
        <v>9629</v>
      </c>
    </row>
    <row r="232" spans="1:32">
      <c r="A232" s="13" t="s">
        <v>10363</v>
      </c>
      <c r="B232" s="13" t="s">
        <v>1150</v>
      </c>
      <c r="C232" s="13" t="s">
        <v>447</v>
      </c>
      <c r="D232" s="13" t="s">
        <v>1373</v>
      </c>
      <c r="E232" s="13" t="s">
        <v>447</v>
      </c>
      <c r="F232" s="13" t="s">
        <v>447</v>
      </c>
      <c r="G232" s="13" t="s">
        <v>1363</v>
      </c>
      <c r="H232" s="13" t="s">
        <v>1415</v>
      </c>
      <c r="I232" s="13" t="s">
        <v>10364</v>
      </c>
      <c r="J232" s="13" t="s">
        <v>1363</v>
      </c>
      <c r="K232" s="13" t="s">
        <v>1363</v>
      </c>
      <c r="L232" s="13" t="s">
        <v>1363</v>
      </c>
      <c r="M232" s="13" t="s">
        <v>1363</v>
      </c>
      <c r="N232" s="14">
        <v>66</v>
      </c>
      <c r="O232" s="13" t="s">
        <v>10365</v>
      </c>
      <c r="P232" s="15">
        <v>1</v>
      </c>
      <c r="S232" s="13" t="s">
        <v>1363</v>
      </c>
      <c r="X232" s="13" t="s">
        <v>9397</v>
      </c>
      <c r="Z232" s="13" t="s">
        <v>1363</v>
      </c>
      <c r="AB232" s="13" t="s">
        <v>447</v>
      </c>
      <c r="AC232" s="21">
        <v>40631.730185185188</v>
      </c>
      <c r="AD232" s="21">
        <v>40631.730185185188</v>
      </c>
      <c r="AE232" s="13" t="s">
        <v>9629</v>
      </c>
      <c r="AF232" s="13" t="s">
        <v>9629</v>
      </c>
    </row>
    <row r="233" spans="1:32">
      <c r="A233" s="13" t="s">
        <v>10366</v>
      </c>
      <c r="B233" s="13" t="s">
        <v>1150</v>
      </c>
      <c r="C233" s="13" t="s">
        <v>447</v>
      </c>
      <c r="D233" s="13" t="s">
        <v>1373</v>
      </c>
      <c r="E233" s="13" t="s">
        <v>447</v>
      </c>
      <c r="F233" s="13" t="s">
        <v>447</v>
      </c>
      <c r="G233" s="13" t="s">
        <v>1363</v>
      </c>
      <c r="H233" s="13" t="s">
        <v>1415</v>
      </c>
      <c r="I233" s="13" t="s">
        <v>10367</v>
      </c>
      <c r="J233" s="13" t="s">
        <v>1363</v>
      </c>
      <c r="K233" s="13" t="s">
        <v>1363</v>
      </c>
      <c r="L233" s="13" t="s">
        <v>1363</v>
      </c>
      <c r="M233" s="13" t="s">
        <v>1363</v>
      </c>
      <c r="N233" s="14">
        <v>69</v>
      </c>
      <c r="O233" s="13" t="s">
        <v>10368</v>
      </c>
      <c r="P233" s="15">
        <v>1</v>
      </c>
      <c r="S233" s="13" t="s">
        <v>1363</v>
      </c>
      <c r="X233" s="13" t="s">
        <v>9397</v>
      </c>
      <c r="Z233" s="13" t="s">
        <v>1363</v>
      </c>
      <c r="AB233" s="13" t="s">
        <v>447</v>
      </c>
      <c r="AC233" s="21">
        <v>40631.730185185188</v>
      </c>
      <c r="AD233" s="21">
        <v>40631.730185185188</v>
      </c>
      <c r="AE233" s="13" t="s">
        <v>9629</v>
      </c>
      <c r="AF233" s="13" t="s">
        <v>9629</v>
      </c>
    </row>
    <row r="234" spans="1:32">
      <c r="A234" s="13" t="s">
        <v>10369</v>
      </c>
      <c r="B234" s="13" t="s">
        <v>1150</v>
      </c>
      <c r="C234" s="13" t="s">
        <v>1363</v>
      </c>
      <c r="D234" s="13" t="s">
        <v>1150</v>
      </c>
      <c r="E234" s="13" t="s">
        <v>1363</v>
      </c>
      <c r="F234" s="13" t="s">
        <v>447</v>
      </c>
      <c r="G234" s="13" t="s">
        <v>447</v>
      </c>
      <c r="H234" s="13" t="s">
        <v>1150</v>
      </c>
      <c r="I234" s="13" t="s">
        <v>10370</v>
      </c>
      <c r="J234" s="13" t="s">
        <v>447</v>
      </c>
      <c r="K234" s="13" t="s">
        <v>1363</v>
      </c>
      <c r="L234" s="13" t="s">
        <v>447</v>
      </c>
      <c r="M234" s="13" t="s">
        <v>1363</v>
      </c>
      <c r="N234" s="13" t="s">
        <v>9626</v>
      </c>
      <c r="O234" s="13" t="s">
        <v>9667</v>
      </c>
      <c r="P234" s="15">
        <v>367</v>
      </c>
      <c r="R234" s="13" t="s">
        <v>10370</v>
      </c>
      <c r="S234" s="13" t="s">
        <v>447</v>
      </c>
      <c r="T234" s="13" t="s">
        <v>10371</v>
      </c>
      <c r="U234" s="13" t="s">
        <v>9734</v>
      </c>
      <c r="V234" s="13" t="s">
        <v>9735</v>
      </c>
      <c r="W234" s="13" t="s">
        <v>9736</v>
      </c>
      <c r="X234" s="13" t="s">
        <v>9658</v>
      </c>
      <c r="Z234" s="13" t="s">
        <v>1363</v>
      </c>
      <c r="AA234" s="13" t="s">
        <v>9737</v>
      </c>
      <c r="AB234" s="13" t="s">
        <v>447</v>
      </c>
      <c r="AC234" s="21">
        <v>40717.4528125</v>
      </c>
      <c r="AD234" s="21">
        <v>42550.736342592594</v>
      </c>
      <c r="AE234" s="13" t="s">
        <v>9629</v>
      </c>
      <c r="AF234" s="13" t="s">
        <v>9634</v>
      </c>
    </row>
    <row r="235" spans="1:32">
      <c r="A235" s="13" t="s">
        <v>10372</v>
      </c>
      <c r="B235" s="13" t="s">
        <v>1150</v>
      </c>
      <c r="C235" s="13" t="s">
        <v>1363</v>
      </c>
      <c r="D235" s="13" t="s">
        <v>1150</v>
      </c>
      <c r="E235" s="13" t="s">
        <v>1363</v>
      </c>
      <c r="F235" s="13" t="s">
        <v>447</v>
      </c>
      <c r="G235" s="13" t="s">
        <v>447</v>
      </c>
      <c r="H235" s="13" t="s">
        <v>1415</v>
      </c>
      <c r="I235" s="13" t="s">
        <v>10373</v>
      </c>
      <c r="J235" s="13" t="s">
        <v>447</v>
      </c>
      <c r="K235" s="13" t="s">
        <v>1363</v>
      </c>
      <c r="L235" s="13" t="s">
        <v>1363</v>
      </c>
      <c r="M235" s="13" t="s">
        <v>1363</v>
      </c>
      <c r="N235" s="13" t="s">
        <v>9626</v>
      </c>
      <c r="O235" s="13" t="s">
        <v>10374</v>
      </c>
      <c r="P235" s="15">
        <v>40725</v>
      </c>
      <c r="R235" s="13" t="s">
        <v>10375</v>
      </c>
      <c r="S235" s="13" t="s">
        <v>1363</v>
      </c>
      <c r="X235" s="13" t="s">
        <v>9628</v>
      </c>
      <c r="Z235" s="13" t="s">
        <v>1363</v>
      </c>
      <c r="AB235" s="13" t="s">
        <v>447</v>
      </c>
      <c r="AC235" s="21">
        <v>40781.492291666669</v>
      </c>
      <c r="AD235" s="21">
        <v>44369.337673611109</v>
      </c>
      <c r="AE235" s="13" t="s">
        <v>9629</v>
      </c>
      <c r="AF235" s="13" t="s">
        <v>9634</v>
      </c>
    </row>
    <row r="236" spans="1:32">
      <c r="A236" s="13" t="s">
        <v>10376</v>
      </c>
      <c r="B236" s="13" t="s">
        <v>1150</v>
      </c>
      <c r="C236" s="13" t="s">
        <v>1363</v>
      </c>
      <c r="D236" s="13" t="s">
        <v>1150</v>
      </c>
      <c r="E236" s="13" t="s">
        <v>1363</v>
      </c>
      <c r="F236" s="13" t="s">
        <v>447</v>
      </c>
      <c r="G236" s="13" t="s">
        <v>447</v>
      </c>
      <c r="H236" s="13" t="s">
        <v>1150</v>
      </c>
      <c r="I236" s="13" t="s">
        <v>10377</v>
      </c>
      <c r="J236" s="13" t="s">
        <v>447</v>
      </c>
      <c r="K236" s="13" t="s">
        <v>1363</v>
      </c>
      <c r="L236" s="13" t="s">
        <v>447</v>
      </c>
      <c r="M236" s="13" t="s">
        <v>1363</v>
      </c>
      <c r="N236" s="13" t="s">
        <v>9626</v>
      </c>
      <c r="O236" s="13" t="s">
        <v>10171</v>
      </c>
      <c r="P236" s="15">
        <v>367</v>
      </c>
      <c r="R236" s="13" t="s">
        <v>10377</v>
      </c>
      <c r="S236" s="13" t="s">
        <v>1363</v>
      </c>
      <c r="T236" s="13" t="s">
        <v>10378</v>
      </c>
      <c r="U236" s="13" t="s">
        <v>9734</v>
      </c>
      <c r="V236" s="13" t="s">
        <v>9735</v>
      </c>
      <c r="W236" s="13" t="s">
        <v>9736</v>
      </c>
      <c r="X236" s="13" t="s">
        <v>9658</v>
      </c>
      <c r="Z236" s="13" t="s">
        <v>1363</v>
      </c>
      <c r="AA236" s="13" t="s">
        <v>9737</v>
      </c>
      <c r="AB236" s="13" t="s">
        <v>447</v>
      </c>
      <c r="AC236" s="21">
        <v>40717.453946759262</v>
      </c>
      <c r="AD236" s="21">
        <v>42550.736342592594</v>
      </c>
      <c r="AE236" s="13" t="s">
        <v>9629</v>
      </c>
      <c r="AF236" s="13" t="s">
        <v>9634</v>
      </c>
    </row>
    <row r="237" spans="1:32">
      <c r="A237" s="13" t="s">
        <v>10379</v>
      </c>
      <c r="B237" s="13" t="s">
        <v>1150</v>
      </c>
      <c r="C237" s="13" t="s">
        <v>1363</v>
      </c>
      <c r="D237" s="13" t="s">
        <v>1150</v>
      </c>
      <c r="E237" s="13" t="s">
        <v>1363</v>
      </c>
      <c r="F237" s="13" t="s">
        <v>447</v>
      </c>
      <c r="G237" s="13" t="s">
        <v>447</v>
      </c>
      <c r="H237" s="13" t="s">
        <v>1150</v>
      </c>
      <c r="I237" s="13" t="s">
        <v>10380</v>
      </c>
      <c r="J237" s="13" t="s">
        <v>447</v>
      </c>
      <c r="K237" s="13" t="s">
        <v>1363</v>
      </c>
      <c r="L237" s="13" t="s">
        <v>447</v>
      </c>
      <c r="M237" s="13" t="s">
        <v>1363</v>
      </c>
      <c r="N237" s="13" t="s">
        <v>9626</v>
      </c>
      <c r="O237" s="13" t="s">
        <v>10159</v>
      </c>
      <c r="P237" s="15">
        <v>367</v>
      </c>
      <c r="R237" s="13" t="s">
        <v>10380</v>
      </c>
      <c r="S237" s="13" t="s">
        <v>1363</v>
      </c>
      <c r="T237" s="13" t="s">
        <v>10381</v>
      </c>
      <c r="U237" s="13" t="s">
        <v>9734</v>
      </c>
      <c r="V237" s="13" t="s">
        <v>9735</v>
      </c>
      <c r="W237" s="13" t="s">
        <v>9736</v>
      </c>
      <c r="X237" s="13" t="s">
        <v>9658</v>
      </c>
      <c r="Z237" s="13" t="s">
        <v>1363</v>
      </c>
      <c r="AA237" s="13" t="s">
        <v>9737</v>
      </c>
      <c r="AB237" s="13" t="s">
        <v>447</v>
      </c>
      <c r="AC237" s="21">
        <v>40750.486851851849</v>
      </c>
      <c r="AD237" s="21">
        <v>42550.736342592594</v>
      </c>
      <c r="AE237" s="13" t="s">
        <v>9629</v>
      </c>
      <c r="AF237" s="13" t="s">
        <v>9634</v>
      </c>
    </row>
    <row r="238" spans="1:32">
      <c r="A238" s="13" t="s">
        <v>10382</v>
      </c>
      <c r="B238" s="13" t="s">
        <v>1438</v>
      </c>
      <c r="C238" s="13" t="s">
        <v>1363</v>
      </c>
      <c r="D238" s="13" t="s">
        <v>1150</v>
      </c>
      <c r="E238" s="13" t="s">
        <v>1363</v>
      </c>
      <c r="F238" s="13" t="s">
        <v>447</v>
      </c>
      <c r="G238" s="13" t="s">
        <v>447</v>
      </c>
      <c r="H238" s="13" t="s">
        <v>1367</v>
      </c>
      <c r="I238" s="13" t="s">
        <v>10383</v>
      </c>
      <c r="J238" s="13" t="s">
        <v>1363</v>
      </c>
      <c r="K238" s="13" t="s">
        <v>1363</v>
      </c>
      <c r="L238" s="13" t="s">
        <v>447</v>
      </c>
      <c r="M238" s="13" t="s">
        <v>1363</v>
      </c>
      <c r="N238" s="13" t="s">
        <v>9626</v>
      </c>
      <c r="O238" s="13" t="s">
        <v>10384</v>
      </c>
      <c r="P238" s="15">
        <v>40179</v>
      </c>
      <c r="R238" s="13" t="s">
        <v>10385</v>
      </c>
      <c r="S238" s="13" t="s">
        <v>1363</v>
      </c>
      <c r="X238" s="13" t="s">
        <v>10293</v>
      </c>
      <c r="Z238" s="13" t="s">
        <v>1363</v>
      </c>
      <c r="AB238" s="13" t="s">
        <v>447</v>
      </c>
      <c r="AC238" s="21">
        <v>40787.496886574074</v>
      </c>
      <c r="AD238" s="21">
        <v>40791.510405092595</v>
      </c>
      <c r="AE238" s="13" t="s">
        <v>9634</v>
      </c>
      <c r="AF238" s="13" t="s">
        <v>9634</v>
      </c>
    </row>
    <row r="239" spans="1:32">
      <c r="A239" s="13" t="s">
        <v>10386</v>
      </c>
      <c r="B239" s="13" t="s">
        <v>1438</v>
      </c>
      <c r="C239" s="13" t="s">
        <v>1363</v>
      </c>
      <c r="D239" s="13" t="s">
        <v>1150</v>
      </c>
      <c r="E239" s="13" t="s">
        <v>1363</v>
      </c>
      <c r="F239" s="13" t="s">
        <v>1363</v>
      </c>
      <c r="G239" s="13" t="s">
        <v>1363</v>
      </c>
      <c r="H239" s="13" t="s">
        <v>1146</v>
      </c>
      <c r="I239" s="13" t="s">
        <v>10387</v>
      </c>
      <c r="J239" s="13" t="s">
        <v>1363</v>
      </c>
      <c r="K239" s="13" t="s">
        <v>1363</v>
      </c>
      <c r="L239" s="13" t="s">
        <v>1363</v>
      </c>
      <c r="M239" s="13" t="s">
        <v>1363</v>
      </c>
      <c r="N239" s="13" t="s">
        <v>9626</v>
      </c>
      <c r="O239" s="13" t="s">
        <v>10388</v>
      </c>
      <c r="P239" s="15">
        <v>367</v>
      </c>
      <c r="S239" s="13" t="s">
        <v>1363</v>
      </c>
      <c r="T239" s="13" t="s">
        <v>10389</v>
      </c>
      <c r="X239" s="13" t="s">
        <v>10390</v>
      </c>
      <c r="Z239" s="13" t="s">
        <v>1363</v>
      </c>
      <c r="AA239" s="13" t="s">
        <v>10391</v>
      </c>
      <c r="AB239" s="13" t="s">
        <v>447</v>
      </c>
      <c r="AC239" s="21">
        <v>40806.575416666667</v>
      </c>
      <c r="AD239" s="21">
        <v>40806.575416666667</v>
      </c>
      <c r="AE239" s="13" t="s">
        <v>9629</v>
      </c>
      <c r="AF239" s="13" t="s">
        <v>9629</v>
      </c>
    </row>
    <row r="240" spans="1:32">
      <c r="A240" s="13" t="s">
        <v>10392</v>
      </c>
      <c r="B240" s="13" t="s">
        <v>1438</v>
      </c>
      <c r="C240" s="13" t="s">
        <v>1363</v>
      </c>
      <c r="D240" s="13" t="s">
        <v>1150</v>
      </c>
      <c r="E240" s="13" t="s">
        <v>1363</v>
      </c>
      <c r="F240" s="13" t="s">
        <v>1363</v>
      </c>
      <c r="G240" s="13" t="s">
        <v>1363</v>
      </c>
      <c r="H240" s="13" t="s">
        <v>1237</v>
      </c>
      <c r="I240" s="13" t="s">
        <v>10393</v>
      </c>
      <c r="J240" s="13" t="s">
        <v>1363</v>
      </c>
      <c r="K240" s="13" t="s">
        <v>1363</v>
      </c>
      <c r="L240" s="13" t="s">
        <v>1363</v>
      </c>
      <c r="M240" s="13" t="s">
        <v>1363</v>
      </c>
      <c r="N240" s="14">
        <v>1</v>
      </c>
      <c r="O240" s="13" t="s">
        <v>10394</v>
      </c>
      <c r="P240" s="15">
        <v>367</v>
      </c>
      <c r="R240" s="13" t="s">
        <v>10395</v>
      </c>
      <c r="S240" s="13" t="s">
        <v>1363</v>
      </c>
      <c r="T240" s="13" t="s">
        <v>10396</v>
      </c>
      <c r="X240" s="13" t="s">
        <v>9397</v>
      </c>
      <c r="Z240" s="13" t="s">
        <v>1363</v>
      </c>
      <c r="AB240" s="13" t="s">
        <v>447</v>
      </c>
      <c r="AC240" s="21">
        <v>40829.579884259256</v>
      </c>
      <c r="AD240" s="21">
        <v>40829.580266203702</v>
      </c>
      <c r="AE240" s="13" t="s">
        <v>9629</v>
      </c>
      <c r="AF240" s="13" t="s">
        <v>9629</v>
      </c>
    </row>
    <row r="241" spans="1:32">
      <c r="A241" s="13" t="s">
        <v>10397</v>
      </c>
      <c r="B241" s="13" t="s">
        <v>1150</v>
      </c>
      <c r="C241" s="13" t="s">
        <v>1363</v>
      </c>
      <c r="D241" s="13" t="s">
        <v>1150</v>
      </c>
      <c r="E241" s="13" t="s">
        <v>1363</v>
      </c>
      <c r="F241" s="13" t="s">
        <v>447</v>
      </c>
      <c r="G241" s="13" t="s">
        <v>447</v>
      </c>
      <c r="H241" s="13" t="s">
        <v>1367</v>
      </c>
      <c r="I241" s="13" t="s">
        <v>10398</v>
      </c>
      <c r="J241" s="13" t="s">
        <v>447</v>
      </c>
      <c r="K241" s="13" t="s">
        <v>1363</v>
      </c>
      <c r="L241" s="13" t="s">
        <v>447</v>
      </c>
      <c r="M241" s="13" t="s">
        <v>1363</v>
      </c>
      <c r="N241" s="13" t="s">
        <v>9626</v>
      </c>
      <c r="O241" s="13" t="s">
        <v>10399</v>
      </c>
      <c r="P241" s="15">
        <v>39814</v>
      </c>
      <c r="R241" s="13" t="s">
        <v>10398</v>
      </c>
      <c r="S241" s="13" t="s">
        <v>1363</v>
      </c>
      <c r="X241" s="13" t="s">
        <v>10293</v>
      </c>
      <c r="Z241" s="13" t="s">
        <v>1363</v>
      </c>
      <c r="AB241" s="13" t="s">
        <v>447</v>
      </c>
      <c r="AC241" s="21">
        <v>40889.71193287037</v>
      </c>
      <c r="AD241" s="21">
        <v>40889.71193287037</v>
      </c>
      <c r="AE241" s="13" t="s">
        <v>9634</v>
      </c>
      <c r="AF241" s="13" t="s">
        <v>9634</v>
      </c>
    </row>
    <row r="242" spans="1:32">
      <c r="A242" s="13" t="s">
        <v>10400</v>
      </c>
      <c r="B242" s="13" t="s">
        <v>1438</v>
      </c>
      <c r="C242" s="13" t="s">
        <v>447</v>
      </c>
      <c r="D242" s="13" t="s">
        <v>1150</v>
      </c>
      <c r="E242" s="13" t="s">
        <v>1363</v>
      </c>
      <c r="F242" s="13" t="s">
        <v>447</v>
      </c>
      <c r="G242" s="13" t="s">
        <v>1363</v>
      </c>
      <c r="H242" s="13" t="s">
        <v>1415</v>
      </c>
      <c r="I242" s="13" t="s">
        <v>10401</v>
      </c>
      <c r="J242" s="13" t="s">
        <v>1363</v>
      </c>
      <c r="K242" s="13" t="s">
        <v>1363</v>
      </c>
      <c r="L242" s="13" t="s">
        <v>447</v>
      </c>
      <c r="M242" s="13" t="s">
        <v>1363</v>
      </c>
      <c r="N242" s="13" t="s">
        <v>9626</v>
      </c>
      <c r="O242" s="13" t="s">
        <v>10402</v>
      </c>
      <c r="P242" s="15">
        <v>39083</v>
      </c>
      <c r="R242" s="13" t="s">
        <v>10403</v>
      </c>
      <c r="S242" s="13" t="s">
        <v>1363</v>
      </c>
      <c r="X242" s="13" t="s">
        <v>10205</v>
      </c>
      <c r="Z242" s="13" t="s">
        <v>1363</v>
      </c>
      <c r="AB242" s="13" t="s">
        <v>447</v>
      </c>
      <c r="AC242" s="21">
        <v>40900.458182870374</v>
      </c>
      <c r="AD242" s="21">
        <v>41093.4768287037</v>
      </c>
      <c r="AE242" s="13" t="s">
        <v>9634</v>
      </c>
      <c r="AF242" s="13" t="s">
        <v>9634</v>
      </c>
    </row>
    <row r="243" spans="1:32">
      <c r="A243" s="13" t="s">
        <v>10404</v>
      </c>
      <c r="B243" s="13" t="s">
        <v>1150</v>
      </c>
      <c r="C243" s="13" t="s">
        <v>1363</v>
      </c>
      <c r="D243" s="13" t="s">
        <v>1150</v>
      </c>
      <c r="E243" s="13" t="s">
        <v>447</v>
      </c>
      <c r="F243" s="13" t="s">
        <v>447</v>
      </c>
      <c r="G243" s="13" t="s">
        <v>447</v>
      </c>
      <c r="H243" s="13" t="s">
        <v>1415</v>
      </c>
      <c r="I243" s="13" t="s">
        <v>10405</v>
      </c>
      <c r="J243" s="13" t="s">
        <v>447</v>
      </c>
      <c r="K243" s="13" t="s">
        <v>1363</v>
      </c>
      <c r="L243" s="13" t="s">
        <v>447</v>
      </c>
      <c r="M243" s="13" t="s">
        <v>1363</v>
      </c>
      <c r="N243" s="13" t="s">
        <v>9626</v>
      </c>
      <c r="O243" s="13" t="s">
        <v>10406</v>
      </c>
      <c r="P243" s="15">
        <v>40725</v>
      </c>
      <c r="R243" s="13" t="s">
        <v>10405</v>
      </c>
      <c r="S243" s="13" t="s">
        <v>1363</v>
      </c>
      <c r="X243" s="13" t="s">
        <v>9628</v>
      </c>
      <c r="Z243" s="13" t="s">
        <v>1363</v>
      </c>
      <c r="AB243" s="13" t="s">
        <v>447</v>
      </c>
      <c r="AC243" s="21">
        <v>40947.395173611112</v>
      </c>
      <c r="AD243" s="21">
        <v>41093.623761574076</v>
      </c>
      <c r="AE243" s="13" t="s">
        <v>9814</v>
      </c>
      <c r="AF243" s="13" t="s">
        <v>9814</v>
      </c>
    </row>
    <row r="244" spans="1:32">
      <c r="A244" s="13" t="s">
        <v>2111</v>
      </c>
      <c r="B244" s="13" t="s">
        <v>1438</v>
      </c>
      <c r="C244" s="13" t="s">
        <v>1363</v>
      </c>
      <c r="D244" s="13" t="s">
        <v>1150</v>
      </c>
      <c r="E244" s="13" t="s">
        <v>1363</v>
      </c>
      <c r="F244" s="13" t="s">
        <v>447</v>
      </c>
      <c r="G244" s="13" t="s">
        <v>447</v>
      </c>
      <c r="H244" s="13" t="s">
        <v>1415</v>
      </c>
      <c r="I244" s="13" t="s">
        <v>10407</v>
      </c>
      <c r="J244" s="13" t="s">
        <v>1363</v>
      </c>
      <c r="K244" s="13" t="s">
        <v>1363</v>
      </c>
      <c r="L244" s="13" t="s">
        <v>447</v>
      </c>
      <c r="M244" s="13" t="s">
        <v>1363</v>
      </c>
      <c r="N244" s="13" t="s">
        <v>9626</v>
      </c>
      <c r="O244" s="13" t="s">
        <v>10408</v>
      </c>
      <c r="P244" s="15">
        <v>40725</v>
      </c>
      <c r="R244" s="13" t="s">
        <v>10409</v>
      </c>
      <c r="S244" s="13" t="s">
        <v>1363</v>
      </c>
      <c r="X244" s="13" t="s">
        <v>9628</v>
      </c>
      <c r="Z244" s="13" t="s">
        <v>1363</v>
      </c>
      <c r="AB244" s="13" t="s">
        <v>447</v>
      </c>
      <c r="AC244" s="21">
        <v>40947.400810185187</v>
      </c>
      <c r="AD244" s="21">
        <v>40947.400810185187</v>
      </c>
      <c r="AE244" s="13" t="s">
        <v>9814</v>
      </c>
      <c r="AF244" s="13" t="s">
        <v>9814</v>
      </c>
    </row>
    <row r="245" spans="1:32">
      <c r="A245" s="13" t="s">
        <v>10410</v>
      </c>
      <c r="B245" s="13" t="s">
        <v>1150</v>
      </c>
      <c r="C245" s="13" t="s">
        <v>1363</v>
      </c>
      <c r="D245" s="13" t="s">
        <v>1150</v>
      </c>
      <c r="E245" s="13" t="s">
        <v>447</v>
      </c>
      <c r="F245" s="13" t="s">
        <v>447</v>
      </c>
      <c r="G245" s="13" t="s">
        <v>447</v>
      </c>
      <c r="H245" s="13" t="s">
        <v>1415</v>
      </c>
      <c r="I245" s="13" t="s">
        <v>10411</v>
      </c>
      <c r="J245" s="13" t="s">
        <v>1363</v>
      </c>
      <c r="K245" s="13" t="s">
        <v>1363</v>
      </c>
      <c r="L245" s="13" t="s">
        <v>447</v>
      </c>
      <c r="M245" s="13" t="s">
        <v>1363</v>
      </c>
      <c r="N245" s="13" t="s">
        <v>9626</v>
      </c>
      <c r="O245" s="13" t="s">
        <v>10412</v>
      </c>
      <c r="P245" s="15">
        <v>40725</v>
      </c>
      <c r="R245" s="13" t="s">
        <v>10410</v>
      </c>
      <c r="S245" s="13" t="s">
        <v>1363</v>
      </c>
      <c r="X245" s="13" t="s">
        <v>9628</v>
      </c>
      <c r="Z245" s="13" t="s">
        <v>1363</v>
      </c>
      <c r="AB245" s="13" t="s">
        <v>447</v>
      </c>
      <c r="AC245" s="21">
        <v>40947.406550925924</v>
      </c>
      <c r="AD245" s="21">
        <v>40947.406550925924</v>
      </c>
      <c r="AE245" s="13" t="s">
        <v>9814</v>
      </c>
      <c r="AF245" s="13" t="s">
        <v>9814</v>
      </c>
    </row>
    <row r="246" spans="1:32">
      <c r="A246" s="13" t="s">
        <v>10413</v>
      </c>
      <c r="B246" s="13" t="s">
        <v>1150</v>
      </c>
      <c r="C246" s="13" t="s">
        <v>1363</v>
      </c>
      <c r="D246" s="13" t="s">
        <v>1150</v>
      </c>
      <c r="E246" s="13" t="s">
        <v>447</v>
      </c>
      <c r="F246" s="13" t="s">
        <v>447</v>
      </c>
      <c r="G246" s="13" t="s">
        <v>447</v>
      </c>
      <c r="H246" s="13" t="s">
        <v>1415</v>
      </c>
      <c r="I246" s="13" t="s">
        <v>10414</v>
      </c>
      <c r="J246" s="13" t="s">
        <v>447</v>
      </c>
      <c r="K246" s="13" t="s">
        <v>1363</v>
      </c>
      <c r="L246" s="13" t="s">
        <v>447</v>
      </c>
      <c r="M246" s="13" t="s">
        <v>1363</v>
      </c>
      <c r="N246" s="13" t="s">
        <v>9626</v>
      </c>
      <c r="O246" s="13" t="s">
        <v>10415</v>
      </c>
      <c r="P246" s="15">
        <v>40725</v>
      </c>
      <c r="R246" s="13" t="s">
        <v>10416</v>
      </c>
      <c r="S246" s="13" t="s">
        <v>1363</v>
      </c>
      <c r="X246" s="13" t="s">
        <v>10258</v>
      </c>
      <c r="Z246" s="13" t="s">
        <v>1363</v>
      </c>
      <c r="AB246" s="13" t="s">
        <v>447</v>
      </c>
      <c r="AC246" s="21">
        <v>41192.390243055554</v>
      </c>
      <c r="AD246" s="21">
        <v>41192.580682870372</v>
      </c>
      <c r="AE246" s="13" t="s">
        <v>9814</v>
      </c>
      <c r="AF246" s="13" t="s">
        <v>9814</v>
      </c>
    </row>
    <row r="247" spans="1:32">
      <c r="A247" s="13" t="s">
        <v>10417</v>
      </c>
      <c r="B247" s="13" t="s">
        <v>1150</v>
      </c>
      <c r="C247" s="13" t="s">
        <v>1363</v>
      </c>
      <c r="D247" s="13" t="s">
        <v>1150</v>
      </c>
      <c r="E247" s="13" t="s">
        <v>1363</v>
      </c>
      <c r="F247" s="13" t="s">
        <v>447</v>
      </c>
      <c r="G247" s="13" t="s">
        <v>447</v>
      </c>
      <c r="H247" s="13" t="s">
        <v>1150</v>
      </c>
      <c r="I247" s="13" t="s">
        <v>10418</v>
      </c>
      <c r="J247" s="13" t="s">
        <v>447</v>
      </c>
      <c r="K247" s="13" t="s">
        <v>1363</v>
      </c>
      <c r="L247" s="13" t="s">
        <v>447</v>
      </c>
      <c r="M247" s="13" t="s">
        <v>1363</v>
      </c>
      <c r="N247" s="13" t="s">
        <v>9626</v>
      </c>
      <c r="O247" s="13" t="s">
        <v>9667</v>
      </c>
      <c r="P247" s="15">
        <v>367</v>
      </c>
      <c r="R247" s="13" t="s">
        <v>10418</v>
      </c>
      <c r="S247" s="13" t="s">
        <v>447</v>
      </c>
      <c r="T247" s="13" t="s">
        <v>10419</v>
      </c>
      <c r="U247" s="13" t="s">
        <v>9734</v>
      </c>
      <c r="V247" s="13" t="s">
        <v>9735</v>
      </c>
      <c r="W247" s="13" t="s">
        <v>9736</v>
      </c>
      <c r="X247" s="13" t="s">
        <v>9658</v>
      </c>
      <c r="Z247" s="13" t="s">
        <v>1363</v>
      </c>
      <c r="AA247" s="13" t="s">
        <v>9737</v>
      </c>
      <c r="AB247" s="13" t="s">
        <v>447</v>
      </c>
      <c r="AC247" s="21">
        <v>41166.640775462962</v>
      </c>
      <c r="AD247" s="21">
        <v>42550.736342592594</v>
      </c>
      <c r="AE247" s="13" t="s">
        <v>9629</v>
      </c>
      <c r="AF247" s="13" t="s">
        <v>9634</v>
      </c>
    </row>
    <row r="248" spans="1:32">
      <c r="A248" s="13" t="s">
        <v>2833</v>
      </c>
      <c r="B248" s="13" t="s">
        <v>1438</v>
      </c>
      <c r="C248" s="13" t="s">
        <v>1363</v>
      </c>
      <c r="D248" s="13" t="s">
        <v>1150</v>
      </c>
      <c r="E248" s="13" t="s">
        <v>1363</v>
      </c>
      <c r="F248" s="13" t="s">
        <v>447</v>
      </c>
      <c r="G248" s="13" t="s">
        <v>1363</v>
      </c>
      <c r="H248" s="13" t="s">
        <v>1415</v>
      </c>
      <c r="I248" s="13" t="s">
        <v>10420</v>
      </c>
      <c r="J248" s="13" t="s">
        <v>1363</v>
      </c>
      <c r="K248" s="13" t="s">
        <v>1363</v>
      </c>
      <c r="L248" s="13" t="s">
        <v>447</v>
      </c>
      <c r="M248" s="13" t="s">
        <v>447</v>
      </c>
      <c r="N248" s="13" t="s">
        <v>9626</v>
      </c>
      <c r="O248" s="13" t="s">
        <v>10421</v>
      </c>
      <c r="P248" s="15">
        <v>39448</v>
      </c>
      <c r="R248" s="13" t="s">
        <v>10422</v>
      </c>
      <c r="S248" s="13" t="s">
        <v>1363</v>
      </c>
      <c r="X248" s="13" t="s">
        <v>9628</v>
      </c>
      <c r="Z248" s="13" t="s">
        <v>447</v>
      </c>
      <c r="AB248" s="13" t="s">
        <v>447</v>
      </c>
      <c r="AC248" s="21">
        <v>41278.403229166666</v>
      </c>
      <c r="AD248" s="21">
        <v>41304.618923611109</v>
      </c>
      <c r="AE248" s="13" t="s">
        <v>9629</v>
      </c>
      <c r="AF248" s="13" t="s">
        <v>9629</v>
      </c>
    </row>
    <row r="249" spans="1:32">
      <c r="A249" s="13" t="s">
        <v>10423</v>
      </c>
      <c r="B249" s="13" t="s">
        <v>1150</v>
      </c>
      <c r="C249" s="13" t="s">
        <v>1363</v>
      </c>
      <c r="D249" s="13" t="s">
        <v>1150</v>
      </c>
      <c r="E249" s="13" t="s">
        <v>1363</v>
      </c>
      <c r="F249" s="13" t="s">
        <v>447</v>
      </c>
      <c r="G249" s="13" t="s">
        <v>447</v>
      </c>
      <c r="H249" s="13" t="s">
        <v>1415</v>
      </c>
      <c r="I249" s="13" t="s">
        <v>10424</v>
      </c>
      <c r="J249" s="13" t="s">
        <v>1363</v>
      </c>
      <c r="K249" s="13" t="s">
        <v>1363</v>
      </c>
      <c r="L249" s="13" t="s">
        <v>447</v>
      </c>
      <c r="M249" s="13" t="s">
        <v>1363</v>
      </c>
      <c r="N249" s="13" t="s">
        <v>9626</v>
      </c>
      <c r="P249" s="15">
        <v>39814</v>
      </c>
      <c r="R249" s="13" t="s">
        <v>10424</v>
      </c>
      <c r="S249" s="13" t="s">
        <v>1363</v>
      </c>
      <c r="X249" s="13" t="s">
        <v>10258</v>
      </c>
      <c r="Z249" s="13" t="s">
        <v>1363</v>
      </c>
      <c r="AB249" s="13" t="s">
        <v>447</v>
      </c>
      <c r="AC249" s="21">
        <v>41204.444340277776</v>
      </c>
      <c r="AD249" s="21">
        <v>41204.444340277776</v>
      </c>
      <c r="AE249" s="13" t="s">
        <v>9629</v>
      </c>
      <c r="AF249" s="13" t="s">
        <v>9629</v>
      </c>
    </row>
    <row r="250" spans="1:32">
      <c r="A250" s="13" t="s">
        <v>10425</v>
      </c>
      <c r="B250" s="13" t="s">
        <v>1150</v>
      </c>
      <c r="C250" s="13" t="s">
        <v>1363</v>
      </c>
      <c r="D250" s="13" t="s">
        <v>1150</v>
      </c>
      <c r="E250" s="13" t="s">
        <v>447</v>
      </c>
      <c r="F250" s="13" t="s">
        <v>447</v>
      </c>
      <c r="G250" s="13" t="s">
        <v>447</v>
      </c>
      <c r="H250" s="13" t="s">
        <v>1237</v>
      </c>
      <c r="I250" s="13" t="s">
        <v>10426</v>
      </c>
      <c r="J250" s="13" t="s">
        <v>1363</v>
      </c>
      <c r="K250" s="13" t="s">
        <v>1363</v>
      </c>
      <c r="L250" s="13" t="s">
        <v>447</v>
      </c>
      <c r="M250" s="13" t="s">
        <v>1363</v>
      </c>
      <c r="N250" s="13" t="s">
        <v>9626</v>
      </c>
      <c r="P250" s="15">
        <v>39814</v>
      </c>
      <c r="R250" s="13" t="s">
        <v>10427</v>
      </c>
      <c r="S250" s="13" t="s">
        <v>1363</v>
      </c>
      <c r="T250" s="13" t="s">
        <v>10428</v>
      </c>
      <c r="X250" s="13" t="s">
        <v>10258</v>
      </c>
      <c r="Z250" s="13" t="s">
        <v>1363</v>
      </c>
      <c r="AA250" s="13" t="s">
        <v>10429</v>
      </c>
      <c r="AB250" s="13" t="s">
        <v>447</v>
      </c>
      <c r="AC250" s="21">
        <v>41114.666886574072</v>
      </c>
      <c r="AD250" s="21">
        <v>41114.666886574072</v>
      </c>
      <c r="AE250" s="13" t="s">
        <v>9629</v>
      </c>
      <c r="AF250" s="13" t="s">
        <v>9629</v>
      </c>
    </row>
    <row r="251" spans="1:32">
      <c r="A251" s="13" t="s">
        <v>10430</v>
      </c>
      <c r="B251" s="13" t="s">
        <v>1438</v>
      </c>
      <c r="C251" s="13" t="s">
        <v>1363</v>
      </c>
      <c r="D251" s="13" t="s">
        <v>1150</v>
      </c>
      <c r="E251" s="13" t="s">
        <v>1363</v>
      </c>
      <c r="F251" s="13" t="s">
        <v>447</v>
      </c>
      <c r="G251" s="13" t="s">
        <v>1363</v>
      </c>
      <c r="H251" s="13" t="s">
        <v>1415</v>
      </c>
      <c r="I251" s="13" t="s">
        <v>10431</v>
      </c>
      <c r="J251" s="13" t="s">
        <v>1363</v>
      </c>
      <c r="K251" s="13" t="s">
        <v>447</v>
      </c>
      <c r="L251" s="13" t="s">
        <v>447</v>
      </c>
      <c r="M251" s="13" t="s">
        <v>1363</v>
      </c>
      <c r="N251" s="13" t="s">
        <v>9626</v>
      </c>
      <c r="O251" s="13" t="s">
        <v>10432</v>
      </c>
      <c r="P251" s="15">
        <v>36526</v>
      </c>
      <c r="R251" s="13" t="s">
        <v>10431</v>
      </c>
      <c r="S251" s="13" t="s">
        <v>1363</v>
      </c>
      <c r="X251" s="13" t="s">
        <v>10258</v>
      </c>
      <c r="Z251" s="13" t="s">
        <v>1363</v>
      </c>
      <c r="AB251" s="13" t="s">
        <v>447</v>
      </c>
      <c r="AC251" s="21">
        <v>41109.290509259263</v>
      </c>
      <c r="AD251" s="21">
        <v>42566.574513888889</v>
      </c>
      <c r="AE251" s="13" t="s">
        <v>9629</v>
      </c>
      <c r="AF251" s="13" t="s">
        <v>9629</v>
      </c>
    </row>
    <row r="252" spans="1:32">
      <c r="A252" s="13" t="s">
        <v>10433</v>
      </c>
      <c r="B252" s="13" t="s">
        <v>1150</v>
      </c>
      <c r="C252" s="13" t="s">
        <v>1363</v>
      </c>
      <c r="D252" s="13" t="s">
        <v>1150</v>
      </c>
      <c r="E252" s="13" t="s">
        <v>447</v>
      </c>
      <c r="F252" s="13" t="s">
        <v>447</v>
      </c>
      <c r="G252" s="13" t="s">
        <v>447</v>
      </c>
      <c r="H252" s="13" t="s">
        <v>1415</v>
      </c>
      <c r="I252" s="13" t="s">
        <v>10434</v>
      </c>
      <c r="J252" s="13" t="s">
        <v>1363</v>
      </c>
      <c r="K252" s="13" t="s">
        <v>1363</v>
      </c>
      <c r="L252" s="13" t="s">
        <v>447</v>
      </c>
      <c r="M252" s="13" t="s">
        <v>1363</v>
      </c>
      <c r="N252" s="13" t="s">
        <v>9626</v>
      </c>
      <c r="O252" s="13" t="s">
        <v>10435</v>
      </c>
      <c r="P252" s="15">
        <v>39814</v>
      </c>
      <c r="R252" s="13" t="s">
        <v>10436</v>
      </c>
      <c r="S252" s="13" t="s">
        <v>1363</v>
      </c>
      <c r="X252" s="13" t="s">
        <v>10258</v>
      </c>
      <c r="Z252" s="13" t="s">
        <v>1363</v>
      </c>
      <c r="AB252" s="13" t="s">
        <v>447</v>
      </c>
      <c r="AC252" s="21">
        <v>41108.229537037034</v>
      </c>
      <c r="AD252" s="21">
        <v>41108.271921296298</v>
      </c>
      <c r="AE252" s="13" t="s">
        <v>9629</v>
      </c>
      <c r="AF252" s="13" t="s">
        <v>9629</v>
      </c>
    </row>
    <row r="253" spans="1:32">
      <c r="A253" s="13" t="s">
        <v>10437</v>
      </c>
      <c r="B253" s="13" t="s">
        <v>1150</v>
      </c>
      <c r="C253" s="13" t="s">
        <v>1363</v>
      </c>
      <c r="D253" s="13" t="s">
        <v>1150</v>
      </c>
      <c r="E253" s="13" t="s">
        <v>447</v>
      </c>
      <c r="F253" s="13" t="s">
        <v>447</v>
      </c>
      <c r="G253" s="13" t="s">
        <v>447</v>
      </c>
      <c r="H253" s="13" t="s">
        <v>1237</v>
      </c>
      <c r="I253" s="13" t="s">
        <v>10438</v>
      </c>
      <c r="J253" s="13" t="s">
        <v>1363</v>
      </c>
      <c r="K253" s="13" t="s">
        <v>1363</v>
      </c>
      <c r="L253" s="13" t="s">
        <v>447</v>
      </c>
      <c r="M253" s="13" t="s">
        <v>1363</v>
      </c>
      <c r="N253" s="13" t="s">
        <v>9626</v>
      </c>
      <c r="P253" s="15">
        <v>39814</v>
      </c>
      <c r="R253" s="13" t="s">
        <v>10439</v>
      </c>
      <c r="S253" s="13" t="s">
        <v>1363</v>
      </c>
      <c r="T253" s="13" t="s">
        <v>10440</v>
      </c>
      <c r="X253" s="13" t="s">
        <v>10258</v>
      </c>
      <c r="Z253" s="13" t="s">
        <v>1363</v>
      </c>
      <c r="AA253" s="13" t="s">
        <v>10429</v>
      </c>
      <c r="AB253" s="13" t="s">
        <v>447</v>
      </c>
      <c r="AC253" s="21">
        <v>41113.524814814817</v>
      </c>
      <c r="AD253" s="21">
        <v>41176.538969907408</v>
      </c>
      <c r="AE253" s="13" t="s">
        <v>9629</v>
      </c>
      <c r="AF253" s="13" t="s">
        <v>9629</v>
      </c>
    </row>
    <row r="254" spans="1:32">
      <c r="A254" s="13" t="s">
        <v>10441</v>
      </c>
      <c r="B254" s="13" t="s">
        <v>1150</v>
      </c>
      <c r="C254" s="13" t="s">
        <v>1363</v>
      </c>
      <c r="D254" s="13" t="s">
        <v>1150</v>
      </c>
      <c r="E254" s="13" t="s">
        <v>1363</v>
      </c>
      <c r="F254" s="13" t="s">
        <v>447</v>
      </c>
      <c r="G254" s="13" t="s">
        <v>447</v>
      </c>
      <c r="H254" s="13" t="s">
        <v>1150</v>
      </c>
      <c r="I254" s="13" t="s">
        <v>10442</v>
      </c>
      <c r="J254" s="13" t="s">
        <v>447</v>
      </c>
      <c r="K254" s="13" t="s">
        <v>1363</v>
      </c>
      <c r="L254" s="13" t="s">
        <v>447</v>
      </c>
      <c r="M254" s="13" t="s">
        <v>1363</v>
      </c>
      <c r="N254" s="13" t="s">
        <v>9626</v>
      </c>
      <c r="O254" s="13" t="s">
        <v>10171</v>
      </c>
      <c r="P254" s="15">
        <v>367</v>
      </c>
      <c r="R254" s="13" t="s">
        <v>10442</v>
      </c>
      <c r="S254" s="13" t="s">
        <v>1363</v>
      </c>
      <c r="T254" s="13" t="s">
        <v>10443</v>
      </c>
      <c r="U254" s="13" t="s">
        <v>9734</v>
      </c>
      <c r="V254" s="13" t="s">
        <v>9735</v>
      </c>
      <c r="W254" s="13" t="s">
        <v>9736</v>
      </c>
      <c r="X254" s="13" t="s">
        <v>9658</v>
      </c>
      <c r="Z254" s="13" t="s">
        <v>1363</v>
      </c>
      <c r="AA254" s="13" t="s">
        <v>9737</v>
      </c>
      <c r="AB254" s="13" t="s">
        <v>447</v>
      </c>
      <c r="AC254" s="21">
        <v>41166.640162037038</v>
      </c>
      <c r="AD254" s="21">
        <v>42550.736342592594</v>
      </c>
      <c r="AE254" s="13" t="s">
        <v>9629</v>
      </c>
      <c r="AF254" s="13" t="s">
        <v>9634</v>
      </c>
    </row>
    <row r="255" spans="1:32">
      <c r="A255" s="13" t="s">
        <v>10444</v>
      </c>
      <c r="B255" s="13" t="s">
        <v>1150</v>
      </c>
      <c r="C255" s="13" t="s">
        <v>1363</v>
      </c>
      <c r="D255" s="13" t="s">
        <v>1150</v>
      </c>
      <c r="E255" s="13" t="s">
        <v>1363</v>
      </c>
      <c r="F255" s="13" t="s">
        <v>447</v>
      </c>
      <c r="G255" s="13" t="s">
        <v>447</v>
      </c>
      <c r="H255" s="13" t="s">
        <v>1150</v>
      </c>
      <c r="I255" s="13" t="s">
        <v>10445</v>
      </c>
      <c r="J255" s="13" t="s">
        <v>447</v>
      </c>
      <c r="K255" s="13" t="s">
        <v>1363</v>
      </c>
      <c r="L255" s="13" t="s">
        <v>447</v>
      </c>
      <c r="M255" s="13" t="s">
        <v>1363</v>
      </c>
      <c r="N255" s="13" t="s">
        <v>9626</v>
      </c>
      <c r="O255" s="13" t="s">
        <v>10159</v>
      </c>
      <c r="P255" s="15">
        <v>367</v>
      </c>
      <c r="R255" s="13" t="s">
        <v>10445</v>
      </c>
      <c r="S255" s="13" t="s">
        <v>1363</v>
      </c>
      <c r="T255" s="13" t="s">
        <v>10446</v>
      </c>
      <c r="U255" s="13" t="s">
        <v>9734</v>
      </c>
      <c r="V255" s="13" t="s">
        <v>9735</v>
      </c>
      <c r="W255" s="13" t="s">
        <v>9736</v>
      </c>
      <c r="X255" s="13" t="s">
        <v>9658</v>
      </c>
      <c r="Z255" s="13" t="s">
        <v>1363</v>
      </c>
      <c r="AA255" s="13" t="s">
        <v>9737</v>
      </c>
      <c r="AB255" s="13" t="s">
        <v>447</v>
      </c>
      <c r="AC255" s="21">
        <v>41166.641944444447</v>
      </c>
      <c r="AD255" s="21">
        <v>42550.736342592594</v>
      </c>
      <c r="AE255" s="13" t="s">
        <v>9629</v>
      </c>
      <c r="AF255" s="13" t="s">
        <v>9634</v>
      </c>
    </row>
    <row r="256" spans="1:32">
      <c r="A256" s="13" t="s">
        <v>10447</v>
      </c>
      <c r="B256" s="13" t="s">
        <v>1150</v>
      </c>
      <c r="C256" s="13" t="s">
        <v>1363</v>
      </c>
      <c r="D256" s="13" t="s">
        <v>1150</v>
      </c>
      <c r="E256" s="13" t="s">
        <v>1363</v>
      </c>
      <c r="F256" s="13" t="s">
        <v>447</v>
      </c>
      <c r="G256" s="13" t="s">
        <v>1363</v>
      </c>
      <c r="H256" s="13" t="s">
        <v>1381</v>
      </c>
      <c r="I256" s="13" t="s">
        <v>10448</v>
      </c>
      <c r="J256" s="13" t="s">
        <v>447</v>
      </c>
      <c r="K256" s="13" t="s">
        <v>1363</v>
      </c>
      <c r="L256" s="13" t="s">
        <v>447</v>
      </c>
      <c r="M256" s="13" t="s">
        <v>1363</v>
      </c>
      <c r="N256" s="13" t="s">
        <v>9626</v>
      </c>
      <c r="P256" s="15">
        <v>367</v>
      </c>
      <c r="Q256" s="15">
        <v>42550</v>
      </c>
      <c r="R256" s="13" t="s">
        <v>10449</v>
      </c>
      <c r="S256" s="13" t="s">
        <v>1363</v>
      </c>
      <c r="T256" s="13" t="s">
        <v>10450</v>
      </c>
      <c r="U256" s="13" t="s">
        <v>9734</v>
      </c>
      <c r="V256" s="13" t="s">
        <v>9735</v>
      </c>
      <c r="W256" s="13" t="s">
        <v>9736</v>
      </c>
      <c r="X256" s="13" t="s">
        <v>9658</v>
      </c>
      <c r="Z256" s="13" t="s">
        <v>1363</v>
      </c>
      <c r="AA256" s="13" t="s">
        <v>9737</v>
      </c>
      <c r="AB256" s="13" t="s">
        <v>447</v>
      </c>
      <c r="AC256" s="21">
        <v>41394.459282407406</v>
      </c>
      <c r="AD256" s="21">
        <v>42550.737013888887</v>
      </c>
      <c r="AE256" s="13" t="s">
        <v>9629</v>
      </c>
      <c r="AF256" s="13" t="s">
        <v>9634</v>
      </c>
    </row>
    <row r="257" spans="1:32">
      <c r="A257" s="13" t="s">
        <v>10451</v>
      </c>
      <c r="B257" s="13" t="s">
        <v>1150</v>
      </c>
      <c r="C257" s="13" t="s">
        <v>1363</v>
      </c>
      <c r="D257" s="13" t="s">
        <v>1150</v>
      </c>
      <c r="E257" s="13" t="s">
        <v>1363</v>
      </c>
      <c r="F257" s="13" t="s">
        <v>447</v>
      </c>
      <c r="G257" s="13" t="s">
        <v>1363</v>
      </c>
      <c r="H257" s="13" t="s">
        <v>1381</v>
      </c>
      <c r="I257" s="13" t="s">
        <v>10452</v>
      </c>
      <c r="J257" s="13" t="s">
        <v>447</v>
      </c>
      <c r="K257" s="13" t="s">
        <v>1363</v>
      </c>
      <c r="L257" s="13" t="s">
        <v>447</v>
      </c>
      <c r="M257" s="13" t="s">
        <v>1363</v>
      </c>
      <c r="N257" s="13" t="s">
        <v>9626</v>
      </c>
      <c r="P257" s="15">
        <v>367</v>
      </c>
      <c r="Q257" s="15">
        <v>42550</v>
      </c>
      <c r="R257" s="13" t="s">
        <v>10449</v>
      </c>
      <c r="S257" s="13" t="s">
        <v>1363</v>
      </c>
      <c r="T257" s="13" t="s">
        <v>10453</v>
      </c>
      <c r="U257" s="13" t="s">
        <v>9734</v>
      </c>
      <c r="V257" s="13" t="s">
        <v>9735</v>
      </c>
      <c r="W257" s="13" t="s">
        <v>9736</v>
      </c>
      <c r="X257" s="13" t="s">
        <v>9658</v>
      </c>
      <c r="Z257" s="13" t="s">
        <v>1363</v>
      </c>
      <c r="AA257" s="13" t="s">
        <v>9737</v>
      </c>
      <c r="AB257" s="13" t="s">
        <v>447</v>
      </c>
      <c r="AC257" s="21">
        <v>41394.459293981483</v>
      </c>
      <c r="AD257" s="21">
        <v>42550.737013888887</v>
      </c>
      <c r="AE257" s="13" t="s">
        <v>9629</v>
      </c>
      <c r="AF257" s="13" t="s">
        <v>9634</v>
      </c>
    </row>
    <row r="258" spans="1:32">
      <c r="A258" s="13" t="s">
        <v>10454</v>
      </c>
      <c r="B258" s="13" t="s">
        <v>1150</v>
      </c>
      <c r="C258" s="13" t="s">
        <v>1363</v>
      </c>
      <c r="D258" s="13" t="s">
        <v>1150</v>
      </c>
      <c r="E258" s="13" t="s">
        <v>1363</v>
      </c>
      <c r="F258" s="13" t="s">
        <v>447</v>
      </c>
      <c r="G258" s="13" t="s">
        <v>1363</v>
      </c>
      <c r="H258" s="13" t="s">
        <v>1381</v>
      </c>
      <c r="I258" s="13" t="s">
        <v>10455</v>
      </c>
      <c r="J258" s="13" t="s">
        <v>447</v>
      </c>
      <c r="K258" s="13" t="s">
        <v>1363</v>
      </c>
      <c r="L258" s="13" t="s">
        <v>447</v>
      </c>
      <c r="M258" s="13" t="s">
        <v>1363</v>
      </c>
      <c r="N258" s="13" t="s">
        <v>9626</v>
      </c>
      <c r="P258" s="15">
        <v>367</v>
      </c>
      <c r="Q258" s="15">
        <v>42550</v>
      </c>
      <c r="R258" s="13" t="s">
        <v>10449</v>
      </c>
      <c r="S258" s="13" t="s">
        <v>1363</v>
      </c>
      <c r="T258" s="13" t="s">
        <v>10456</v>
      </c>
      <c r="U258" s="13" t="s">
        <v>9734</v>
      </c>
      <c r="V258" s="13" t="s">
        <v>9735</v>
      </c>
      <c r="W258" s="13" t="s">
        <v>9736</v>
      </c>
      <c r="X258" s="13" t="s">
        <v>9658</v>
      </c>
      <c r="Z258" s="13" t="s">
        <v>1363</v>
      </c>
      <c r="AA258" s="13" t="s">
        <v>9737</v>
      </c>
      <c r="AB258" s="13" t="s">
        <v>447</v>
      </c>
      <c r="AC258" s="21">
        <v>41394.459293981483</v>
      </c>
      <c r="AD258" s="21">
        <v>42550.737025462964</v>
      </c>
      <c r="AE258" s="13" t="s">
        <v>9629</v>
      </c>
      <c r="AF258" s="13" t="s">
        <v>9634</v>
      </c>
    </row>
    <row r="259" spans="1:32">
      <c r="A259" s="13" t="s">
        <v>10457</v>
      </c>
      <c r="B259" s="13" t="s">
        <v>1150</v>
      </c>
      <c r="C259" s="13" t="s">
        <v>1363</v>
      </c>
      <c r="D259" s="13" t="s">
        <v>1150</v>
      </c>
      <c r="E259" s="13" t="s">
        <v>1363</v>
      </c>
      <c r="F259" s="13" t="s">
        <v>447</v>
      </c>
      <c r="G259" s="13" t="s">
        <v>1363</v>
      </c>
      <c r="H259" s="13" t="s">
        <v>1381</v>
      </c>
      <c r="I259" s="13" t="s">
        <v>10458</v>
      </c>
      <c r="J259" s="13" t="s">
        <v>447</v>
      </c>
      <c r="K259" s="13" t="s">
        <v>1363</v>
      </c>
      <c r="L259" s="13" t="s">
        <v>447</v>
      </c>
      <c r="M259" s="13" t="s">
        <v>1363</v>
      </c>
      <c r="N259" s="13" t="s">
        <v>9626</v>
      </c>
      <c r="P259" s="15">
        <v>367</v>
      </c>
      <c r="Q259" s="15">
        <v>42550</v>
      </c>
      <c r="R259" s="13" t="s">
        <v>10449</v>
      </c>
      <c r="S259" s="13" t="s">
        <v>1363</v>
      </c>
      <c r="T259" s="13" t="s">
        <v>10459</v>
      </c>
      <c r="U259" s="13" t="s">
        <v>9734</v>
      </c>
      <c r="V259" s="13" t="s">
        <v>9735</v>
      </c>
      <c r="W259" s="13" t="s">
        <v>9736</v>
      </c>
      <c r="X259" s="13" t="s">
        <v>9658</v>
      </c>
      <c r="Z259" s="13" t="s">
        <v>1363</v>
      </c>
      <c r="AA259" s="13" t="s">
        <v>9737</v>
      </c>
      <c r="AB259" s="13" t="s">
        <v>447</v>
      </c>
      <c r="AC259" s="21">
        <v>41394.459293981483</v>
      </c>
      <c r="AD259" s="21">
        <v>42550.737025462964</v>
      </c>
      <c r="AE259" s="13" t="s">
        <v>9629</v>
      </c>
      <c r="AF259" s="13" t="s">
        <v>9634</v>
      </c>
    </row>
    <row r="260" spans="1:32">
      <c r="A260" s="13" t="s">
        <v>10460</v>
      </c>
      <c r="B260" s="13" t="s">
        <v>1150</v>
      </c>
      <c r="C260" s="13" t="s">
        <v>1363</v>
      </c>
      <c r="D260" s="13" t="s">
        <v>1150</v>
      </c>
      <c r="E260" s="13" t="s">
        <v>1363</v>
      </c>
      <c r="F260" s="13" t="s">
        <v>447</v>
      </c>
      <c r="G260" s="13" t="s">
        <v>1363</v>
      </c>
      <c r="H260" s="13" t="s">
        <v>1381</v>
      </c>
      <c r="I260" s="13" t="s">
        <v>10461</v>
      </c>
      <c r="J260" s="13" t="s">
        <v>447</v>
      </c>
      <c r="K260" s="13" t="s">
        <v>1363</v>
      </c>
      <c r="L260" s="13" t="s">
        <v>447</v>
      </c>
      <c r="M260" s="13" t="s">
        <v>1363</v>
      </c>
      <c r="N260" s="13" t="s">
        <v>9626</v>
      </c>
      <c r="P260" s="15">
        <v>367</v>
      </c>
      <c r="Q260" s="15">
        <v>42550</v>
      </c>
      <c r="R260" s="13" t="s">
        <v>10449</v>
      </c>
      <c r="S260" s="13" t="s">
        <v>1363</v>
      </c>
      <c r="T260" s="13" t="s">
        <v>10462</v>
      </c>
      <c r="U260" s="13" t="s">
        <v>9734</v>
      </c>
      <c r="V260" s="13" t="s">
        <v>9735</v>
      </c>
      <c r="W260" s="13" t="s">
        <v>9736</v>
      </c>
      <c r="X260" s="13" t="s">
        <v>9658</v>
      </c>
      <c r="Z260" s="13" t="s">
        <v>1363</v>
      </c>
      <c r="AA260" s="13" t="s">
        <v>9737</v>
      </c>
      <c r="AB260" s="13" t="s">
        <v>447</v>
      </c>
      <c r="AC260" s="21">
        <v>41394.459293981483</v>
      </c>
      <c r="AD260" s="21">
        <v>42550.737025462964</v>
      </c>
      <c r="AE260" s="13" t="s">
        <v>9629</v>
      </c>
      <c r="AF260" s="13" t="s">
        <v>9634</v>
      </c>
    </row>
    <row r="261" spans="1:32">
      <c r="A261" s="13" t="s">
        <v>10463</v>
      </c>
      <c r="B261" s="13" t="s">
        <v>1150</v>
      </c>
      <c r="C261" s="13" t="s">
        <v>1363</v>
      </c>
      <c r="D261" s="13" t="s">
        <v>1150</v>
      </c>
      <c r="E261" s="13" t="s">
        <v>1363</v>
      </c>
      <c r="F261" s="13" t="s">
        <v>447</v>
      </c>
      <c r="G261" s="13" t="s">
        <v>1363</v>
      </c>
      <c r="H261" s="13" t="s">
        <v>1381</v>
      </c>
      <c r="I261" s="13" t="s">
        <v>10464</v>
      </c>
      <c r="J261" s="13" t="s">
        <v>447</v>
      </c>
      <c r="K261" s="13" t="s">
        <v>1363</v>
      </c>
      <c r="L261" s="13" t="s">
        <v>447</v>
      </c>
      <c r="M261" s="13" t="s">
        <v>1363</v>
      </c>
      <c r="N261" s="13" t="s">
        <v>9626</v>
      </c>
      <c r="P261" s="15">
        <v>367</v>
      </c>
      <c r="Q261" s="15">
        <v>42550</v>
      </c>
      <c r="R261" s="13" t="s">
        <v>10449</v>
      </c>
      <c r="S261" s="13" t="s">
        <v>1363</v>
      </c>
      <c r="T261" s="13" t="s">
        <v>10465</v>
      </c>
      <c r="U261" s="13" t="s">
        <v>9734</v>
      </c>
      <c r="V261" s="13" t="s">
        <v>9735</v>
      </c>
      <c r="W261" s="13" t="s">
        <v>9736</v>
      </c>
      <c r="X261" s="13" t="s">
        <v>9658</v>
      </c>
      <c r="Z261" s="13" t="s">
        <v>1363</v>
      </c>
      <c r="AA261" s="13" t="s">
        <v>9737</v>
      </c>
      <c r="AB261" s="13" t="s">
        <v>447</v>
      </c>
      <c r="AC261" s="21">
        <v>41394.459305555552</v>
      </c>
      <c r="AD261" s="21">
        <v>42550.737025462964</v>
      </c>
      <c r="AE261" s="13" t="s">
        <v>9629</v>
      </c>
      <c r="AF261" s="13" t="s">
        <v>9634</v>
      </c>
    </row>
    <row r="262" spans="1:32">
      <c r="A262" s="13" t="s">
        <v>10466</v>
      </c>
      <c r="B262" s="13" t="s">
        <v>1150</v>
      </c>
      <c r="C262" s="13" t="s">
        <v>1363</v>
      </c>
      <c r="D262" s="13" t="s">
        <v>1150</v>
      </c>
      <c r="E262" s="13" t="s">
        <v>1363</v>
      </c>
      <c r="F262" s="13" t="s">
        <v>447</v>
      </c>
      <c r="G262" s="13" t="s">
        <v>1363</v>
      </c>
      <c r="H262" s="13" t="s">
        <v>1381</v>
      </c>
      <c r="I262" s="13" t="s">
        <v>10467</v>
      </c>
      <c r="J262" s="13" t="s">
        <v>447</v>
      </c>
      <c r="K262" s="13" t="s">
        <v>1363</v>
      </c>
      <c r="L262" s="13" t="s">
        <v>447</v>
      </c>
      <c r="M262" s="13" t="s">
        <v>1363</v>
      </c>
      <c r="N262" s="13" t="s">
        <v>9626</v>
      </c>
      <c r="P262" s="15">
        <v>367</v>
      </c>
      <c r="Q262" s="15">
        <v>42550</v>
      </c>
      <c r="R262" s="13" t="s">
        <v>10449</v>
      </c>
      <c r="S262" s="13" t="s">
        <v>1363</v>
      </c>
      <c r="T262" s="13" t="s">
        <v>10468</v>
      </c>
      <c r="U262" s="13" t="s">
        <v>9734</v>
      </c>
      <c r="V262" s="13" t="s">
        <v>9735</v>
      </c>
      <c r="W262" s="13" t="s">
        <v>9736</v>
      </c>
      <c r="X262" s="13" t="s">
        <v>9658</v>
      </c>
      <c r="Z262" s="13" t="s">
        <v>1363</v>
      </c>
      <c r="AA262" s="13" t="s">
        <v>9737</v>
      </c>
      <c r="AB262" s="13" t="s">
        <v>447</v>
      </c>
      <c r="AC262" s="21">
        <v>41394.459305555552</v>
      </c>
      <c r="AD262" s="21">
        <v>42550.737037037034</v>
      </c>
      <c r="AE262" s="13" t="s">
        <v>9629</v>
      </c>
      <c r="AF262" s="13" t="s">
        <v>9634</v>
      </c>
    </row>
    <row r="263" spans="1:32">
      <c r="A263" s="13" t="s">
        <v>10469</v>
      </c>
      <c r="B263" s="13" t="s">
        <v>1150</v>
      </c>
      <c r="C263" s="13" t="s">
        <v>1363</v>
      </c>
      <c r="D263" s="13" t="s">
        <v>1150</v>
      </c>
      <c r="E263" s="13" t="s">
        <v>1363</v>
      </c>
      <c r="F263" s="13" t="s">
        <v>447</v>
      </c>
      <c r="G263" s="13" t="s">
        <v>1363</v>
      </c>
      <c r="H263" s="13" t="s">
        <v>1381</v>
      </c>
      <c r="I263" s="13" t="s">
        <v>10470</v>
      </c>
      <c r="J263" s="13" t="s">
        <v>447</v>
      </c>
      <c r="K263" s="13" t="s">
        <v>1363</v>
      </c>
      <c r="L263" s="13" t="s">
        <v>447</v>
      </c>
      <c r="M263" s="13" t="s">
        <v>1363</v>
      </c>
      <c r="N263" s="13" t="s">
        <v>9626</v>
      </c>
      <c r="P263" s="15">
        <v>367</v>
      </c>
      <c r="Q263" s="15">
        <v>42550</v>
      </c>
      <c r="R263" s="13" t="s">
        <v>10449</v>
      </c>
      <c r="S263" s="13" t="s">
        <v>1363</v>
      </c>
      <c r="T263" s="13" t="s">
        <v>10471</v>
      </c>
      <c r="U263" s="13" t="s">
        <v>9734</v>
      </c>
      <c r="V263" s="13" t="s">
        <v>9735</v>
      </c>
      <c r="W263" s="13" t="s">
        <v>9736</v>
      </c>
      <c r="X263" s="13" t="s">
        <v>9658</v>
      </c>
      <c r="Z263" s="13" t="s">
        <v>1363</v>
      </c>
      <c r="AA263" s="13" t="s">
        <v>9737</v>
      </c>
      <c r="AB263" s="13" t="s">
        <v>447</v>
      </c>
      <c r="AC263" s="21">
        <v>41394.459305555552</v>
      </c>
      <c r="AD263" s="21">
        <v>42550.737037037034</v>
      </c>
      <c r="AE263" s="13" t="s">
        <v>9629</v>
      </c>
      <c r="AF263" s="13" t="s">
        <v>9634</v>
      </c>
    </row>
    <row r="264" spans="1:32">
      <c r="A264" s="13" t="s">
        <v>10472</v>
      </c>
      <c r="B264" s="13" t="s">
        <v>1150</v>
      </c>
      <c r="C264" s="13" t="s">
        <v>1363</v>
      </c>
      <c r="D264" s="13" t="s">
        <v>1150</v>
      </c>
      <c r="E264" s="13" t="s">
        <v>1363</v>
      </c>
      <c r="F264" s="13" t="s">
        <v>447</v>
      </c>
      <c r="G264" s="13" t="s">
        <v>1363</v>
      </c>
      <c r="H264" s="13" t="s">
        <v>1381</v>
      </c>
      <c r="I264" s="13" t="s">
        <v>10473</v>
      </c>
      <c r="J264" s="13" t="s">
        <v>447</v>
      </c>
      <c r="K264" s="13" t="s">
        <v>1363</v>
      </c>
      <c r="L264" s="13" t="s">
        <v>447</v>
      </c>
      <c r="M264" s="13" t="s">
        <v>1363</v>
      </c>
      <c r="N264" s="13" t="s">
        <v>9626</v>
      </c>
      <c r="P264" s="15">
        <v>367</v>
      </c>
      <c r="Q264" s="15">
        <v>42550</v>
      </c>
      <c r="R264" s="13" t="s">
        <v>10449</v>
      </c>
      <c r="S264" s="13" t="s">
        <v>1363</v>
      </c>
      <c r="T264" s="13" t="s">
        <v>10474</v>
      </c>
      <c r="U264" s="13" t="s">
        <v>9734</v>
      </c>
      <c r="V264" s="13" t="s">
        <v>9735</v>
      </c>
      <c r="W264" s="13" t="s">
        <v>9736</v>
      </c>
      <c r="X264" s="13" t="s">
        <v>9658</v>
      </c>
      <c r="Z264" s="13" t="s">
        <v>1363</v>
      </c>
      <c r="AA264" s="13" t="s">
        <v>9737</v>
      </c>
      <c r="AB264" s="13" t="s">
        <v>447</v>
      </c>
      <c r="AC264" s="21">
        <v>41394.459305555552</v>
      </c>
      <c r="AD264" s="21">
        <v>42550.737037037034</v>
      </c>
      <c r="AE264" s="13" t="s">
        <v>9629</v>
      </c>
      <c r="AF264" s="13" t="s">
        <v>9634</v>
      </c>
    </row>
    <row r="265" spans="1:32">
      <c r="A265" s="13" t="s">
        <v>10475</v>
      </c>
      <c r="B265" s="13" t="s">
        <v>1150</v>
      </c>
      <c r="C265" s="13" t="s">
        <v>1363</v>
      </c>
      <c r="D265" s="13" t="s">
        <v>1150</v>
      </c>
      <c r="E265" s="13" t="s">
        <v>1363</v>
      </c>
      <c r="F265" s="13" t="s">
        <v>447</v>
      </c>
      <c r="G265" s="13" t="s">
        <v>1363</v>
      </c>
      <c r="H265" s="13" t="s">
        <v>1381</v>
      </c>
      <c r="I265" s="13" t="s">
        <v>10476</v>
      </c>
      <c r="J265" s="13" t="s">
        <v>447</v>
      </c>
      <c r="K265" s="13" t="s">
        <v>1363</v>
      </c>
      <c r="L265" s="13" t="s">
        <v>447</v>
      </c>
      <c r="M265" s="13" t="s">
        <v>1363</v>
      </c>
      <c r="N265" s="13" t="s">
        <v>9626</v>
      </c>
      <c r="P265" s="15">
        <v>367</v>
      </c>
      <c r="Q265" s="15">
        <v>42550</v>
      </c>
      <c r="R265" s="13" t="s">
        <v>10449</v>
      </c>
      <c r="S265" s="13" t="s">
        <v>1363</v>
      </c>
      <c r="T265" s="13" t="s">
        <v>10477</v>
      </c>
      <c r="U265" s="13" t="s">
        <v>9734</v>
      </c>
      <c r="V265" s="13" t="s">
        <v>9735</v>
      </c>
      <c r="W265" s="13" t="s">
        <v>9736</v>
      </c>
      <c r="X265" s="13" t="s">
        <v>9658</v>
      </c>
      <c r="Z265" s="13" t="s">
        <v>1363</v>
      </c>
      <c r="AA265" s="13" t="s">
        <v>9737</v>
      </c>
      <c r="AB265" s="13" t="s">
        <v>447</v>
      </c>
      <c r="AC265" s="21">
        <v>41394.459317129629</v>
      </c>
      <c r="AD265" s="21">
        <v>42550.737037037034</v>
      </c>
      <c r="AE265" s="13" t="s">
        <v>9629</v>
      </c>
      <c r="AF265" s="13" t="s">
        <v>9634</v>
      </c>
    </row>
    <row r="266" spans="1:32">
      <c r="A266" s="13" t="s">
        <v>10478</v>
      </c>
      <c r="B266" s="13" t="s">
        <v>1150</v>
      </c>
      <c r="C266" s="13" t="s">
        <v>1363</v>
      </c>
      <c r="D266" s="13" t="s">
        <v>1150</v>
      </c>
      <c r="E266" s="13" t="s">
        <v>1363</v>
      </c>
      <c r="F266" s="13" t="s">
        <v>447</v>
      </c>
      <c r="G266" s="13" t="s">
        <v>1363</v>
      </c>
      <c r="H266" s="13" t="s">
        <v>1381</v>
      </c>
      <c r="I266" s="13" t="s">
        <v>10479</v>
      </c>
      <c r="J266" s="13" t="s">
        <v>447</v>
      </c>
      <c r="K266" s="13" t="s">
        <v>1363</v>
      </c>
      <c r="L266" s="13" t="s">
        <v>447</v>
      </c>
      <c r="M266" s="13" t="s">
        <v>1363</v>
      </c>
      <c r="N266" s="13" t="s">
        <v>9626</v>
      </c>
      <c r="P266" s="15">
        <v>367</v>
      </c>
      <c r="Q266" s="15">
        <v>42550</v>
      </c>
      <c r="R266" s="13" t="s">
        <v>10449</v>
      </c>
      <c r="S266" s="13" t="s">
        <v>1363</v>
      </c>
      <c r="T266" s="13" t="s">
        <v>10480</v>
      </c>
      <c r="U266" s="13" t="s">
        <v>9734</v>
      </c>
      <c r="V266" s="13" t="s">
        <v>9735</v>
      </c>
      <c r="W266" s="13" t="s">
        <v>9736</v>
      </c>
      <c r="X266" s="13" t="s">
        <v>9658</v>
      </c>
      <c r="Z266" s="13" t="s">
        <v>1363</v>
      </c>
      <c r="AA266" s="13" t="s">
        <v>9737</v>
      </c>
      <c r="AB266" s="13" t="s">
        <v>447</v>
      </c>
      <c r="AC266" s="21">
        <v>41394.459317129629</v>
      </c>
      <c r="AD266" s="21">
        <v>42550.73704861111</v>
      </c>
      <c r="AE266" s="13" t="s">
        <v>9629</v>
      </c>
      <c r="AF266" s="13" t="s">
        <v>9634</v>
      </c>
    </row>
    <row r="267" spans="1:32">
      <c r="A267" s="13" t="s">
        <v>10481</v>
      </c>
      <c r="B267" s="13" t="s">
        <v>1150</v>
      </c>
      <c r="C267" s="13" t="s">
        <v>1363</v>
      </c>
      <c r="D267" s="13" t="s">
        <v>1150</v>
      </c>
      <c r="E267" s="13" t="s">
        <v>1363</v>
      </c>
      <c r="F267" s="13" t="s">
        <v>447</v>
      </c>
      <c r="G267" s="13" t="s">
        <v>1363</v>
      </c>
      <c r="H267" s="13" t="s">
        <v>1381</v>
      </c>
      <c r="I267" s="13" t="s">
        <v>10482</v>
      </c>
      <c r="J267" s="13" t="s">
        <v>447</v>
      </c>
      <c r="K267" s="13" t="s">
        <v>1363</v>
      </c>
      <c r="L267" s="13" t="s">
        <v>447</v>
      </c>
      <c r="M267" s="13" t="s">
        <v>1363</v>
      </c>
      <c r="N267" s="13" t="s">
        <v>9626</v>
      </c>
      <c r="P267" s="15">
        <v>367</v>
      </c>
      <c r="Q267" s="15">
        <v>42550</v>
      </c>
      <c r="R267" s="13" t="s">
        <v>10449</v>
      </c>
      <c r="S267" s="13" t="s">
        <v>1363</v>
      </c>
      <c r="T267" s="13" t="s">
        <v>10483</v>
      </c>
      <c r="U267" s="13" t="s">
        <v>9734</v>
      </c>
      <c r="V267" s="13" t="s">
        <v>9735</v>
      </c>
      <c r="W267" s="13" t="s">
        <v>9736</v>
      </c>
      <c r="X267" s="13" t="s">
        <v>9658</v>
      </c>
      <c r="Z267" s="13" t="s">
        <v>1363</v>
      </c>
      <c r="AA267" s="13" t="s">
        <v>9737</v>
      </c>
      <c r="AB267" s="13" t="s">
        <v>447</v>
      </c>
      <c r="AC267" s="21">
        <v>41394.459317129629</v>
      </c>
      <c r="AD267" s="21">
        <v>42550.73704861111</v>
      </c>
      <c r="AE267" s="13" t="s">
        <v>9629</v>
      </c>
      <c r="AF267" s="13" t="s">
        <v>9634</v>
      </c>
    </row>
    <row r="268" spans="1:32">
      <c r="A268" s="13" t="s">
        <v>10484</v>
      </c>
      <c r="B268" s="13" t="s">
        <v>1150</v>
      </c>
      <c r="C268" s="13" t="s">
        <v>1363</v>
      </c>
      <c r="D268" s="13" t="s">
        <v>1150</v>
      </c>
      <c r="E268" s="13" t="s">
        <v>1363</v>
      </c>
      <c r="F268" s="13" t="s">
        <v>447</v>
      </c>
      <c r="G268" s="13" t="s">
        <v>1363</v>
      </c>
      <c r="H268" s="13" t="s">
        <v>1381</v>
      </c>
      <c r="I268" s="13" t="s">
        <v>10485</v>
      </c>
      <c r="J268" s="13" t="s">
        <v>447</v>
      </c>
      <c r="K268" s="13" t="s">
        <v>1363</v>
      </c>
      <c r="L268" s="13" t="s">
        <v>447</v>
      </c>
      <c r="M268" s="13" t="s">
        <v>1363</v>
      </c>
      <c r="N268" s="13" t="s">
        <v>9626</v>
      </c>
      <c r="P268" s="15">
        <v>367</v>
      </c>
      <c r="Q268" s="15">
        <v>42550</v>
      </c>
      <c r="R268" s="13" t="s">
        <v>10449</v>
      </c>
      <c r="S268" s="13" t="s">
        <v>1363</v>
      </c>
      <c r="T268" s="13" t="s">
        <v>10486</v>
      </c>
      <c r="U268" s="13" t="s">
        <v>9734</v>
      </c>
      <c r="V268" s="13" t="s">
        <v>9735</v>
      </c>
      <c r="W268" s="13" t="s">
        <v>9736</v>
      </c>
      <c r="X268" s="13" t="s">
        <v>9658</v>
      </c>
      <c r="Z268" s="13" t="s">
        <v>1363</v>
      </c>
      <c r="AA268" s="13" t="s">
        <v>9737</v>
      </c>
      <c r="AB268" s="13" t="s">
        <v>447</v>
      </c>
      <c r="AC268" s="21">
        <v>41394.459317129629</v>
      </c>
      <c r="AD268" s="21">
        <v>42550.73704861111</v>
      </c>
      <c r="AE268" s="13" t="s">
        <v>9629</v>
      </c>
      <c r="AF268" s="13" t="s">
        <v>9634</v>
      </c>
    </row>
    <row r="269" spans="1:32">
      <c r="A269" s="13" t="s">
        <v>10487</v>
      </c>
      <c r="B269" s="13" t="s">
        <v>1150</v>
      </c>
      <c r="C269" s="13" t="s">
        <v>1363</v>
      </c>
      <c r="D269" s="13" t="s">
        <v>1150</v>
      </c>
      <c r="E269" s="13" t="s">
        <v>1363</v>
      </c>
      <c r="F269" s="13" t="s">
        <v>447</v>
      </c>
      <c r="G269" s="13" t="s">
        <v>1363</v>
      </c>
      <c r="H269" s="13" t="s">
        <v>1381</v>
      </c>
      <c r="I269" s="13" t="s">
        <v>10488</v>
      </c>
      <c r="J269" s="13" t="s">
        <v>447</v>
      </c>
      <c r="K269" s="13" t="s">
        <v>1363</v>
      </c>
      <c r="L269" s="13" t="s">
        <v>447</v>
      </c>
      <c r="M269" s="13" t="s">
        <v>1363</v>
      </c>
      <c r="N269" s="13" t="s">
        <v>9626</v>
      </c>
      <c r="P269" s="15">
        <v>367</v>
      </c>
      <c r="Q269" s="15">
        <v>42550</v>
      </c>
      <c r="R269" s="13" t="s">
        <v>10449</v>
      </c>
      <c r="S269" s="13" t="s">
        <v>1363</v>
      </c>
      <c r="T269" s="13" t="s">
        <v>10489</v>
      </c>
      <c r="U269" s="13" t="s">
        <v>9734</v>
      </c>
      <c r="V269" s="13" t="s">
        <v>9735</v>
      </c>
      <c r="W269" s="13" t="s">
        <v>9736</v>
      </c>
      <c r="X269" s="13" t="s">
        <v>9658</v>
      </c>
      <c r="Z269" s="13" t="s">
        <v>1363</v>
      </c>
      <c r="AA269" s="13" t="s">
        <v>9737</v>
      </c>
      <c r="AB269" s="13" t="s">
        <v>447</v>
      </c>
      <c r="AC269" s="21">
        <v>41394.459317129629</v>
      </c>
      <c r="AD269" s="21">
        <v>42550.73704861111</v>
      </c>
      <c r="AE269" s="13" t="s">
        <v>9629</v>
      </c>
      <c r="AF269" s="13" t="s">
        <v>9634</v>
      </c>
    </row>
    <row r="270" spans="1:32">
      <c r="A270" s="13" t="s">
        <v>10490</v>
      </c>
      <c r="B270" s="13" t="s">
        <v>1150</v>
      </c>
      <c r="C270" s="13" t="s">
        <v>1363</v>
      </c>
      <c r="D270" s="13" t="s">
        <v>1150</v>
      </c>
      <c r="E270" s="13" t="s">
        <v>1363</v>
      </c>
      <c r="F270" s="13" t="s">
        <v>447</v>
      </c>
      <c r="G270" s="13" t="s">
        <v>1363</v>
      </c>
      <c r="H270" s="13" t="s">
        <v>1381</v>
      </c>
      <c r="I270" s="13" t="s">
        <v>10491</v>
      </c>
      <c r="J270" s="13" t="s">
        <v>447</v>
      </c>
      <c r="K270" s="13" t="s">
        <v>1363</v>
      </c>
      <c r="L270" s="13" t="s">
        <v>447</v>
      </c>
      <c r="M270" s="13" t="s">
        <v>1363</v>
      </c>
      <c r="N270" s="13" t="s">
        <v>9626</v>
      </c>
      <c r="P270" s="15">
        <v>367</v>
      </c>
      <c r="Q270" s="15">
        <v>42550</v>
      </c>
      <c r="R270" s="13" t="s">
        <v>10449</v>
      </c>
      <c r="S270" s="13" t="s">
        <v>1363</v>
      </c>
      <c r="T270" s="13" t="s">
        <v>10492</v>
      </c>
      <c r="U270" s="13" t="s">
        <v>9734</v>
      </c>
      <c r="V270" s="13" t="s">
        <v>9735</v>
      </c>
      <c r="W270" s="13" t="s">
        <v>9736</v>
      </c>
      <c r="X270" s="13" t="s">
        <v>9658</v>
      </c>
      <c r="Z270" s="13" t="s">
        <v>1363</v>
      </c>
      <c r="AA270" s="13" t="s">
        <v>9737</v>
      </c>
      <c r="AB270" s="13" t="s">
        <v>447</v>
      </c>
      <c r="AC270" s="21">
        <v>41394.459317129629</v>
      </c>
      <c r="AD270" s="21">
        <v>42550.737060185187</v>
      </c>
      <c r="AE270" s="13" t="s">
        <v>9629</v>
      </c>
      <c r="AF270" s="13" t="s">
        <v>9634</v>
      </c>
    </row>
    <row r="271" spans="1:32">
      <c r="A271" s="13" t="s">
        <v>10493</v>
      </c>
      <c r="B271" s="13" t="s">
        <v>1150</v>
      </c>
      <c r="C271" s="13" t="s">
        <v>1363</v>
      </c>
      <c r="D271" s="13" t="s">
        <v>1150</v>
      </c>
      <c r="E271" s="13" t="s">
        <v>1363</v>
      </c>
      <c r="F271" s="13" t="s">
        <v>447</v>
      </c>
      <c r="G271" s="13" t="s">
        <v>1363</v>
      </c>
      <c r="H271" s="13" t="s">
        <v>1381</v>
      </c>
      <c r="I271" s="13" t="s">
        <v>10494</v>
      </c>
      <c r="J271" s="13" t="s">
        <v>447</v>
      </c>
      <c r="K271" s="13" t="s">
        <v>1363</v>
      </c>
      <c r="L271" s="13" t="s">
        <v>447</v>
      </c>
      <c r="M271" s="13" t="s">
        <v>1363</v>
      </c>
      <c r="N271" s="13" t="s">
        <v>9626</v>
      </c>
      <c r="P271" s="15">
        <v>367</v>
      </c>
      <c r="Q271" s="15">
        <v>42550</v>
      </c>
      <c r="R271" s="13" t="s">
        <v>10449</v>
      </c>
      <c r="S271" s="13" t="s">
        <v>1363</v>
      </c>
      <c r="T271" s="13" t="s">
        <v>10495</v>
      </c>
      <c r="U271" s="13" t="s">
        <v>9734</v>
      </c>
      <c r="V271" s="13" t="s">
        <v>9735</v>
      </c>
      <c r="W271" s="13" t="s">
        <v>9736</v>
      </c>
      <c r="X271" s="13" t="s">
        <v>9658</v>
      </c>
      <c r="Z271" s="13" t="s">
        <v>1363</v>
      </c>
      <c r="AA271" s="13" t="s">
        <v>9737</v>
      </c>
      <c r="AB271" s="13" t="s">
        <v>447</v>
      </c>
      <c r="AC271" s="21">
        <v>41394.459328703706</v>
      </c>
      <c r="AD271" s="21">
        <v>42550.737060185187</v>
      </c>
      <c r="AE271" s="13" t="s">
        <v>9629</v>
      </c>
      <c r="AF271" s="13" t="s">
        <v>9634</v>
      </c>
    </row>
    <row r="272" spans="1:32">
      <c r="A272" s="13" t="s">
        <v>10496</v>
      </c>
      <c r="B272" s="13" t="s">
        <v>1150</v>
      </c>
      <c r="C272" s="13" t="s">
        <v>1363</v>
      </c>
      <c r="D272" s="13" t="s">
        <v>1150</v>
      </c>
      <c r="E272" s="13" t="s">
        <v>1363</v>
      </c>
      <c r="F272" s="13" t="s">
        <v>447</v>
      </c>
      <c r="G272" s="13" t="s">
        <v>1363</v>
      </c>
      <c r="H272" s="13" t="s">
        <v>1381</v>
      </c>
      <c r="I272" s="13" t="s">
        <v>10497</v>
      </c>
      <c r="J272" s="13" t="s">
        <v>447</v>
      </c>
      <c r="K272" s="13" t="s">
        <v>1363</v>
      </c>
      <c r="L272" s="13" t="s">
        <v>447</v>
      </c>
      <c r="M272" s="13" t="s">
        <v>1363</v>
      </c>
      <c r="N272" s="13" t="s">
        <v>9626</v>
      </c>
      <c r="P272" s="15">
        <v>367</v>
      </c>
      <c r="Q272" s="15">
        <v>42550</v>
      </c>
      <c r="R272" s="13" t="s">
        <v>10449</v>
      </c>
      <c r="S272" s="13" t="s">
        <v>1363</v>
      </c>
      <c r="T272" s="13" t="s">
        <v>10498</v>
      </c>
      <c r="U272" s="13" t="s">
        <v>9734</v>
      </c>
      <c r="V272" s="13" t="s">
        <v>9735</v>
      </c>
      <c r="W272" s="13" t="s">
        <v>9736</v>
      </c>
      <c r="X272" s="13" t="s">
        <v>9658</v>
      </c>
      <c r="Z272" s="13" t="s">
        <v>1363</v>
      </c>
      <c r="AA272" s="13" t="s">
        <v>9737</v>
      </c>
      <c r="AB272" s="13" t="s">
        <v>447</v>
      </c>
      <c r="AC272" s="21">
        <v>41394.459328703706</v>
      </c>
      <c r="AD272" s="21">
        <v>42550.737060185187</v>
      </c>
      <c r="AE272" s="13" t="s">
        <v>9629</v>
      </c>
      <c r="AF272" s="13" t="s">
        <v>9634</v>
      </c>
    </row>
    <row r="273" spans="1:32">
      <c r="A273" s="13" t="s">
        <v>10499</v>
      </c>
      <c r="B273" s="13" t="s">
        <v>1150</v>
      </c>
      <c r="C273" s="13" t="s">
        <v>1363</v>
      </c>
      <c r="D273" s="13" t="s">
        <v>1150</v>
      </c>
      <c r="E273" s="13" t="s">
        <v>1363</v>
      </c>
      <c r="F273" s="13" t="s">
        <v>447</v>
      </c>
      <c r="G273" s="13" t="s">
        <v>1363</v>
      </c>
      <c r="H273" s="13" t="s">
        <v>1381</v>
      </c>
      <c r="I273" s="13" t="s">
        <v>10500</v>
      </c>
      <c r="J273" s="13" t="s">
        <v>447</v>
      </c>
      <c r="K273" s="13" t="s">
        <v>1363</v>
      </c>
      <c r="L273" s="13" t="s">
        <v>447</v>
      </c>
      <c r="M273" s="13" t="s">
        <v>1363</v>
      </c>
      <c r="N273" s="13" t="s">
        <v>9626</v>
      </c>
      <c r="P273" s="15">
        <v>367</v>
      </c>
      <c r="Q273" s="15">
        <v>42550</v>
      </c>
      <c r="R273" s="13" t="s">
        <v>10449</v>
      </c>
      <c r="S273" s="13" t="s">
        <v>1363</v>
      </c>
      <c r="T273" s="13" t="s">
        <v>10501</v>
      </c>
      <c r="U273" s="13" t="s">
        <v>9734</v>
      </c>
      <c r="V273" s="13" t="s">
        <v>9735</v>
      </c>
      <c r="W273" s="13" t="s">
        <v>9736</v>
      </c>
      <c r="X273" s="13" t="s">
        <v>9658</v>
      </c>
      <c r="Z273" s="13" t="s">
        <v>1363</v>
      </c>
      <c r="AA273" s="13" t="s">
        <v>9737</v>
      </c>
      <c r="AB273" s="13" t="s">
        <v>447</v>
      </c>
      <c r="AC273" s="21">
        <v>41394.459328703706</v>
      </c>
      <c r="AD273" s="21">
        <v>42550.737060185187</v>
      </c>
      <c r="AE273" s="13" t="s">
        <v>9629</v>
      </c>
      <c r="AF273" s="13" t="s">
        <v>9634</v>
      </c>
    </row>
    <row r="274" spans="1:32">
      <c r="A274" s="13" t="s">
        <v>10502</v>
      </c>
      <c r="B274" s="13" t="s">
        <v>1150</v>
      </c>
      <c r="C274" s="13" t="s">
        <v>1363</v>
      </c>
      <c r="D274" s="13" t="s">
        <v>1150</v>
      </c>
      <c r="E274" s="13" t="s">
        <v>1363</v>
      </c>
      <c r="F274" s="13" t="s">
        <v>447</v>
      </c>
      <c r="G274" s="13" t="s">
        <v>1363</v>
      </c>
      <c r="H274" s="13" t="s">
        <v>1381</v>
      </c>
      <c r="I274" s="13" t="s">
        <v>10503</v>
      </c>
      <c r="J274" s="13" t="s">
        <v>447</v>
      </c>
      <c r="K274" s="13" t="s">
        <v>1363</v>
      </c>
      <c r="L274" s="13" t="s">
        <v>447</v>
      </c>
      <c r="M274" s="13" t="s">
        <v>1363</v>
      </c>
      <c r="N274" s="13" t="s">
        <v>9626</v>
      </c>
      <c r="P274" s="15">
        <v>367</v>
      </c>
      <c r="Q274" s="15">
        <v>42550</v>
      </c>
      <c r="R274" s="13" t="s">
        <v>10449</v>
      </c>
      <c r="S274" s="13" t="s">
        <v>1363</v>
      </c>
      <c r="T274" s="13" t="s">
        <v>10504</v>
      </c>
      <c r="U274" s="13" t="s">
        <v>9734</v>
      </c>
      <c r="V274" s="13" t="s">
        <v>9735</v>
      </c>
      <c r="W274" s="13" t="s">
        <v>9736</v>
      </c>
      <c r="X274" s="13" t="s">
        <v>9658</v>
      </c>
      <c r="Z274" s="13" t="s">
        <v>1363</v>
      </c>
      <c r="AA274" s="13" t="s">
        <v>9737</v>
      </c>
      <c r="AB274" s="13" t="s">
        <v>447</v>
      </c>
      <c r="AC274" s="21">
        <v>41394.459328703706</v>
      </c>
      <c r="AD274" s="21">
        <v>42550.737071759257</v>
      </c>
      <c r="AE274" s="13" t="s">
        <v>9629</v>
      </c>
      <c r="AF274" s="13" t="s">
        <v>9634</v>
      </c>
    </row>
    <row r="275" spans="1:32">
      <c r="A275" s="13" t="s">
        <v>10505</v>
      </c>
      <c r="B275" s="13" t="s">
        <v>1150</v>
      </c>
      <c r="C275" s="13" t="s">
        <v>1363</v>
      </c>
      <c r="D275" s="13" t="s">
        <v>1150</v>
      </c>
      <c r="E275" s="13" t="s">
        <v>1363</v>
      </c>
      <c r="F275" s="13" t="s">
        <v>447</v>
      </c>
      <c r="G275" s="13" t="s">
        <v>1363</v>
      </c>
      <c r="H275" s="13" t="s">
        <v>1381</v>
      </c>
      <c r="I275" s="13" t="s">
        <v>10506</v>
      </c>
      <c r="J275" s="13" t="s">
        <v>447</v>
      </c>
      <c r="K275" s="13" t="s">
        <v>1363</v>
      </c>
      <c r="L275" s="13" t="s">
        <v>447</v>
      </c>
      <c r="M275" s="13" t="s">
        <v>1363</v>
      </c>
      <c r="N275" s="13" t="s">
        <v>9626</v>
      </c>
      <c r="P275" s="15">
        <v>367</v>
      </c>
      <c r="Q275" s="15">
        <v>42550</v>
      </c>
      <c r="R275" s="13" t="s">
        <v>10449</v>
      </c>
      <c r="S275" s="13" t="s">
        <v>1363</v>
      </c>
      <c r="T275" s="13" t="s">
        <v>10507</v>
      </c>
      <c r="U275" s="13" t="s">
        <v>9734</v>
      </c>
      <c r="V275" s="13" t="s">
        <v>9735</v>
      </c>
      <c r="W275" s="13" t="s">
        <v>9736</v>
      </c>
      <c r="X275" s="13" t="s">
        <v>9658</v>
      </c>
      <c r="Z275" s="13" t="s">
        <v>1363</v>
      </c>
      <c r="AA275" s="13" t="s">
        <v>9737</v>
      </c>
      <c r="AB275" s="13" t="s">
        <v>447</v>
      </c>
      <c r="AC275" s="21">
        <v>41394.459328703706</v>
      </c>
      <c r="AD275" s="21">
        <v>42550.737071759257</v>
      </c>
      <c r="AE275" s="13" t="s">
        <v>9629</v>
      </c>
      <c r="AF275" s="13" t="s">
        <v>9634</v>
      </c>
    </row>
    <row r="276" spans="1:32">
      <c r="A276" s="13" t="s">
        <v>10508</v>
      </c>
      <c r="B276" s="13" t="s">
        <v>1150</v>
      </c>
      <c r="C276" s="13" t="s">
        <v>1363</v>
      </c>
      <c r="D276" s="13" t="s">
        <v>1150</v>
      </c>
      <c r="E276" s="13" t="s">
        <v>1363</v>
      </c>
      <c r="F276" s="13" t="s">
        <v>447</v>
      </c>
      <c r="G276" s="13" t="s">
        <v>1363</v>
      </c>
      <c r="H276" s="13" t="s">
        <v>1381</v>
      </c>
      <c r="I276" s="13" t="s">
        <v>10509</v>
      </c>
      <c r="J276" s="13" t="s">
        <v>447</v>
      </c>
      <c r="K276" s="13" t="s">
        <v>1363</v>
      </c>
      <c r="L276" s="13" t="s">
        <v>447</v>
      </c>
      <c r="M276" s="13" t="s">
        <v>1363</v>
      </c>
      <c r="N276" s="13" t="s">
        <v>9626</v>
      </c>
      <c r="P276" s="15">
        <v>367</v>
      </c>
      <c r="Q276" s="15">
        <v>42550</v>
      </c>
      <c r="R276" s="13" t="s">
        <v>10449</v>
      </c>
      <c r="S276" s="13" t="s">
        <v>1363</v>
      </c>
      <c r="T276" s="13" t="s">
        <v>10510</v>
      </c>
      <c r="U276" s="13" t="s">
        <v>9734</v>
      </c>
      <c r="V276" s="13" t="s">
        <v>9735</v>
      </c>
      <c r="W276" s="13" t="s">
        <v>9736</v>
      </c>
      <c r="X276" s="13" t="s">
        <v>9658</v>
      </c>
      <c r="Z276" s="13" t="s">
        <v>1363</v>
      </c>
      <c r="AA276" s="13" t="s">
        <v>9737</v>
      </c>
      <c r="AB276" s="13" t="s">
        <v>447</v>
      </c>
      <c r="AC276" s="21">
        <v>41394.459328703706</v>
      </c>
      <c r="AD276" s="21">
        <v>42550.737071759257</v>
      </c>
      <c r="AE276" s="13" t="s">
        <v>9629</v>
      </c>
      <c r="AF276" s="13" t="s">
        <v>9634</v>
      </c>
    </row>
    <row r="277" spans="1:32">
      <c r="A277" s="13" t="s">
        <v>10511</v>
      </c>
      <c r="B277" s="13" t="s">
        <v>1150</v>
      </c>
      <c r="C277" s="13" t="s">
        <v>1363</v>
      </c>
      <c r="D277" s="13" t="s">
        <v>1150</v>
      </c>
      <c r="E277" s="13" t="s">
        <v>1363</v>
      </c>
      <c r="F277" s="13" t="s">
        <v>447</v>
      </c>
      <c r="G277" s="13" t="s">
        <v>1363</v>
      </c>
      <c r="H277" s="13" t="s">
        <v>1381</v>
      </c>
      <c r="I277" s="13" t="s">
        <v>10512</v>
      </c>
      <c r="J277" s="13" t="s">
        <v>447</v>
      </c>
      <c r="K277" s="13" t="s">
        <v>1363</v>
      </c>
      <c r="L277" s="13" t="s">
        <v>447</v>
      </c>
      <c r="M277" s="13" t="s">
        <v>1363</v>
      </c>
      <c r="N277" s="13" t="s">
        <v>9626</v>
      </c>
      <c r="P277" s="15">
        <v>367</v>
      </c>
      <c r="Q277" s="15">
        <v>42550</v>
      </c>
      <c r="R277" s="13" t="s">
        <v>10449</v>
      </c>
      <c r="S277" s="13" t="s">
        <v>1363</v>
      </c>
      <c r="T277" s="13" t="s">
        <v>10513</v>
      </c>
      <c r="U277" s="13" t="s">
        <v>9734</v>
      </c>
      <c r="V277" s="13" t="s">
        <v>9735</v>
      </c>
      <c r="W277" s="13" t="s">
        <v>9736</v>
      </c>
      <c r="X277" s="13" t="s">
        <v>9658</v>
      </c>
      <c r="Z277" s="13" t="s">
        <v>1363</v>
      </c>
      <c r="AA277" s="13" t="s">
        <v>9737</v>
      </c>
      <c r="AB277" s="13" t="s">
        <v>447</v>
      </c>
      <c r="AC277" s="21">
        <v>41394.459340277775</v>
      </c>
      <c r="AD277" s="21">
        <v>42550.737071759257</v>
      </c>
      <c r="AE277" s="13" t="s">
        <v>9629</v>
      </c>
      <c r="AF277" s="13" t="s">
        <v>9634</v>
      </c>
    </row>
    <row r="278" spans="1:32">
      <c r="A278" s="13" t="s">
        <v>10514</v>
      </c>
      <c r="B278" s="13" t="s">
        <v>1150</v>
      </c>
      <c r="C278" s="13" t="s">
        <v>1363</v>
      </c>
      <c r="D278" s="13" t="s">
        <v>1150</v>
      </c>
      <c r="E278" s="13" t="s">
        <v>1363</v>
      </c>
      <c r="F278" s="13" t="s">
        <v>447</v>
      </c>
      <c r="G278" s="13" t="s">
        <v>1363</v>
      </c>
      <c r="H278" s="13" t="s">
        <v>1381</v>
      </c>
      <c r="I278" s="13" t="s">
        <v>10515</v>
      </c>
      <c r="J278" s="13" t="s">
        <v>447</v>
      </c>
      <c r="K278" s="13" t="s">
        <v>1363</v>
      </c>
      <c r="L278" s="13" t="s">
        <v>447</v>
      </c>
      <c r="M278" s="13" t="s">
        <v>1363</v>
      </c>
      <c r="N278" s="13" t="s">
        <v>9626</v>
      </c>
      <c r="P278" s="15">
        <v>367</v>
      </c>
      <c r="Q278" s="15">
        <v>42550</v>
      </c>
      <c r="R278" s="13" t="s">
        <v>10449</v>
      </c>
      <c r="S278" s="13" t="s">
        <v>1363</v>
      </c>
      <c r="T278" s="13" t="s">
        <v>10516</v>
      </c>
      <c r="U278" s="13" t="s">
        <v>9734</v>
      </c>
      <c r="V278" s="13" t="s">
        <v>9735</v>
      </c>
      <c r="W278" s="13" t="s">
        <v>9736</v>
      </c>
      <c r="X278" s="13" t="s">
        <v>9658</v>
      </c>
      <c r="Z278" s="13" t="s">
        <v>1363</v>
      </c>
      <c r="AA278" s="13" t="s">
        <v>9737</v>
      </c>
      <c r="AB278" s="13" t="s">
        <v>447</v>
      </c>
      <c r="AC278" s="21">
        <v>41394.459340277775</v>
      </c>
      <c r="AD278" s="21">
        <v>42550.737083333333</v>
      </c>
      <c r="AE278" s="13" t="s">
        <v>9629</v>
      </c>
      <c r="AF278" s="13" t="s">
        <v>9634</v>
      </c>
    </row>
    <row r="279" spans="1:32">
      <c r="A279" s="13" t="s">
        <v>10517</v>
      </c>
      <c r="B279" s="13" t="s">
        <v>1150</v>
      </c>
      <c r="C279" s="13" t="s">
        <v>1363</v>
      </c>
      <c r="D279" s="13" t="s">
        <v>1150</v>
      </c>
      <c r="E279" s="13" t="s">
        <v>1363</v>
      </c>
      <c r="F279" s="13" t="s">
        <v>447</v>
      </c>
      <c r="G279" s="13" t="s">
        <v>1363</v>
      </c>
      <c r="H279" s="13" t="s">
        <v>1381</v>
      </c>
      <c r="I279" s="13" t="s">
        <v>10518</v>
      </c>
      <c r="J279" s="13" t="s">
        <v>447</v>
      </c>
      <c r="K279" s="13" t="s">
        <v>1363</v>
      </c>
      <c r="L279" s="13" t="s">
        <v>447</v>
      </c>
      <c r="M279" s="13" t="s">
        <v>1363</v>
      </c>
      <c r="N279" s="13" t="s">
        <v>9626</v>
      </c>
      <c r="P279" s="15">
        <v>367</v>
      </c>
      <c r="Q279" s="15">
        <v>42550</v>
      </c>
      <c r="R279" s="13" t="s">
        <v>10449</v>
      </c>
      <c r="S279" s="13" t="s">
        <v>1363</v>
      </c>
      <c r="T279" s="13" t="s">
        <v>10519</v>
      </c>
      <c r="U279" s="13" t="s">
        <v>9734</v>
      </c>
      <c r="V279" s="13" t="s">
        <v>9735</v>
      </c>
      <c r="W279" s="13" t="s">
        <v>9736</v>
      </c>
      <c r="X279" s="13" t="s">
        <v>9658</v>
      </c>
      <c r="Z279" s="13" t="s">
        <v>1363</v>
      </c>
      <c r="AA279" s="13" t="s">
        <v>9737</v>
      </c>
      <c r="AB279" s="13" t="s">
        <v>447</v>
      </c>
      <c r="AC279" s="21">
        <v>41394.459340277775</v>
      </c>
      <c r="AD279" s="21">
        <v>42550.737083333333</v>
      </c>
      <c r="AE279" s="13" t="s">
        <v>9629</v>
      </c>
      <c r="AF279" s="13" t="s">
        <v>9634</v>
      </c>
    </row>
    <row r="280" spans="1:32">
      <c r="A280" s="13" t="s">
        <v>10520</v>
      </c>
      <c r="B280" s="13" t="s">
        <v>1150</v>
      </c>
      <c r="C280" s="13" t="s">
        <v>1363</v>
      </c>
      <c r="D280" s="13" t="s">
        <v>1150</v>
      </c>
      <c r="E280" s="13" t="s">
        <v>1363</v>
      </c>
      <c r="F280" s="13" t="s">
        <v>447</v>
      </c>
      <c r="G280" s="13" t="s">
        <v>1363</v>
      </c>
      <c r="H280" s="13" t="s">
        <v>1381</v>
      </c>
      <c r="I280" s="13" t="s">
        <v>10521</v>
      </c>
      <c r="J280" s="13" t="s">
        <v>447</v>
      </c>
      <c r="K280" s="13" t="s">
        <v>1363</v>
      </c>
      <c r="L280" s="13" t="s">
        <v>447</v>
      </c>
      <c r="M280" s="13" t="s">
        <v>1363</v>
      </c>
      <c r="N280" s="13" t="s">
        <v>9626</v>
      </c>
      <c r="P280" s="15">
        <v>367</v>
      </c>
      <c r="Q280" s="15">
        <v>42550</v>
      </c>
      <c r="R280" s="13" t="s">
        <v>10449</v>
      </c>
      <c r="S280" s="13" t="s">
        <v>1363</v>
      </c>
      <c r="T280" s="13" t="s">
        <v>10522</v>
      </c>
      <c r="U280" s="13" t="s">
        <v>9734</v>
      </c>
      <c r="V280" s="13" t="s">
        <v>9735</v>
      </c>
      <c r="W280" s="13" t="s">
        <v>9736</v>
      </c>
      <c r="X280" s="13" t="s">
        <v>9658</v>
      </c>
      <c r="Z280" s="13" t="s">
        <v>1363</v>
      </c>
      <c r="AA280" s="13" t="s">
        <v>9737</v>
      </c>
      <c r="AB280" s="13" t="s">
        <v>447</v>
      </c>
      <c r="AC280" s="21">
        <v>41394.459340277775</v>
      </c>
      <c r="AD280" s="21">
        <v>42550.737083333333</v>
      </c>
      <c r="AE280" s="13" t="s">
        <v>9629</v>
      </c>
      <c r="AF280" s="13" t="s">
        <v>9634</v>
      </c>
    </row>
    <row r="281" spans="1:32">
      <c r="A281" s="13" t="s">
        <v>10523</v>
      </c>
      <c r="B281" s="13" t="s">
        <v>1150</v>
      </c>
      <c r="C281" s="13" t="s">
        <v>1363</v>
      </c>
      <c r="D281" s="13" t="s">
        <v>1150</v>
      </c>
      <c r="E281" s="13" t="s">
        <v>1363</v>
      </c>
      <c r="F281" s="13" t="s">
        <v>447</v>
      </c>
      <c r="G281" s="13" t="s">
        <v>1363</v>
      </c>
      <c r="H281" s="13" t="s">
        <v>1381</v>
      </c>
      <c r="I281" s="13" t="s">
        <v>10524</v>
      </c>
      <c r="J281" s="13" t="s">
        <v>447</v>
      </c>
      <c r="K281" s="13" t="s">
        <v>1363</v>
      </c>
      <c r="L281" s="13" t="s">
        <v>447</v>
      </c>
      <c r="M281" s="13" t="s">
        <v>1363</v>
      </c>
      <c r="N281" s="13" t="s">
        <v>9626</v>
      </c>
      <c r="P281" s="15">
        <v>367</v>
      </c>
      <c r="Q281" s="15">
        <v>42550</v>
      </c>
      <c r="R281" s="13" t="s">
        <v>10449</v>
      </c>
      <c r="S281" s="13" t="s">
        <v>1363</v>
      </c>
      <c r="T281" s="13" t="s">
        <v>10525</v>
      </c>
      <c r="U281" s="13" t="s">
        <v>9734</v>
      </c>
      <c r="V281" s="13" t="s">
        <v>9735</v>
      </c>
      <c r="W281" s="13" t="s">
        <v>9736</v>
      </c>
      <c r="X281" s="13" t="s">
        <v>9658</v>
      </c>
      <c r="Z281" s="13" t="s">
        <v>1363</v>
      </c>
      <c r="AA281" s="13" t="s">
        <v>9737</v>
      </c>
      <c r="AB281" s="13" t="s">
        <v>447</v>
      </c>
      <c r="AC281" s="21">
        <v>41394.459351851852</v>
      </c>
      <c r="AD281" s="21">
        <v>42550.737083333333</v>
      </c>
      <c r="AE281" s="13" t="s">
        <v>9629</v>
      </c>
      <c r="AF281" s="13" t="s">
        <v>9634</v>
      </c>
    </row>
    <row r="282" spans="1:32">
      <c r="A282" s="13" t="s">
        <v>10526</v>
      </c>
      <c r="B282" s="13" t="s">
        <v>1150</v>
      </c>
      <c r="C282" s="13" t="s">
        <v>1363</v>
      </c>
      <c r="D282" s="13" t="s">
        <v>1150</v>
      </c>
      <c r="E282" s="13" t="s">
        <v>1363</v>
      </c>
      <c r="F282" s="13" t="s">
        <v>447</v>
      </c>
      <c r="G282" s="13" t="s">
        <v>1363</v>
      </c>
      <c r="H282" s="13" t="s">
        <v>1381</v>
      </c>
      <c r="I282" s="13" t="s">
        <v>10527</v>
      </c>
      <c r="J282" s="13" t="s">
        <v>447</v>
      </c>
      <c r="K282" s="13" t="s">
        <v>1363</v>
      </c>
      <c r="L282" s="13" t="s">
        <v>447</v>
      </c>
      <c r="M282" s="13" t="s">
        <v>1363</v>
      </c>
      <c r="N282" s="13" t="s">
        <v>9626</v>
      </c>
      <c r="P282" s="15">
        <v>367</v>
      </c>
      <c r="Q282" s="15">
        <v>42550</v>
      </c>
      <c r="R282" s="13" t="s">
        <v>10449</v>
      </c>
      <c r="S282" s="13" t="s">
        <v>1363</v>
      </c>
      <c r="T282" s="13" t="s">
        <v>10528</v>
      </c>
      <c r="U282" s="13" t="s">
        <v>9734</v>
      </c>
      <c r="V282" s="13" t="s">
        <v>9735</v>
      </c>
      <c r="W282" s="13" t="s">
        <v>9736</v>
      </c>
      <c r="X282" s="13" t="s">
        <v>9658</v>
      </c>
      <c r="Z282" s="13" t="s">
        <v>1363</v>
      </c>
      <c r="AA282" s="13" t="s">
        <v>9737</v>
      </c>
      <c r="AB282" s="13" t="s">
        <v>447</v>
      </c>
      <c r="AC282" s="21">
        <v>41394.459351851852</v>
      </c>
      <c r="AD282" s="21">
        <v>42550.73709490741</v>
      </c>
      <c r="AE282" s="13" t="s">
        <v>9629</v>
      </c>
      <c r="AF282" s="13" t="s">
        <v>9634</v>
      </c>
    </row>
    <row r="283" spans="1:32">
      <c r="A283" s="13" t="s">
        <v>10529</v>
      </c>
      <c r="B283" s="13" t="s">
        <v>1150</v>
      </c>
      <c r="C283" s="13" t="s">
        <v>1363</v>
      </c>
      <c r="D283" s="13" t="s">
        <v>1150</v>
      </c>
      <c r="E283" s="13" t="s">
        <v>1363</v>
      </c>
      <c r="F283" s="13" t="s">
        <v>447</v>
      </c>
      <c r="G283" s="13" t="s">
        <v>1363</v>
      </c>
      <c r="H283" s="13" t="s">
        <v>1381</v>
      </c>
      <c r="I283" s="13" t="s">
        <v>10530</v>
      </c>
      <c r="J283" s="13" t="s">
        <v>447</v>
      </c>
      <c r="K283" s="13" t="s">
        <v>1363</v>
      </c>
      <c r="L283" s="13" t="s">
        <v>447</v>
      </c>
      <c r="M283" s="13" t="s">
        <v>1363</v>
      </c>
      <c r="N283" s="13" t="s">
        <v>9626</v>
      </c>
      <c r="P283" s="15">
        <v>367</v>
      </c>
      <c r="Q283" s="15">
        <v>42550</v>
      </c>
      <c r="R283" s="13" t="s">
        <v>10449</v>
      </c>
      <c r="S283" s="13" t="s">
        <v>1363</v>
      </c>
      <c r="T283" s="13" t="s">
        <v>10531</v>
      </c>
      <c r="U283" s="13" t="s">
        <v>9734</v>
      </c>
      <c r="V283" s="13" t="s">
        <v>9735</v>
      </c>
      <c r="W283" s="13" t="s">
        <v>9736</v>
      </c>
      <c r="X283" s="13" t="s">
        <v>9658</v>
      </c>
      <c r="Z283" s="13" t="s">
        <v>1363</v>
      </c>
      <c r="AA283" s="13" t="s">
        <v>9737</v>
      </c>
      <c r="AB283" s="13" t="s">
        <v>447</v>
      </c>
      <c r="AC283" s="21">
        <v>41394.459351851852</v>
      </c>
      <c r="AD283" s="21">
        <v>42550.73709490741</v>
      </c>
      <c r="AE283" s="13" t="s">
        <v>9629</v>
      </c>
      <c r="AF283" s="13" t="s">
        <v>9634</v>
      </c>
    </row>
    <row r="284" spans="1:32">
      <c r="A284" s="13" t="s">
        <v>10532</v>
      </c>
      <c r="B284" s="13" t="s">
        <v>1150</v>
      </c>
      <c r="C284" s="13" t="s">
        <v>1363</v>
      </c>
      <c r="D284" s="13" t="s">
        <v>1150</v>
      </c>
      <c r="E284" s="13" t="s">
        <v>1363</v>
      </c>
      <c r="F284" s="13" t="s">
        <v>447</v>
      </c>
      <c r="G284" s="13" t="s">
        <v>1363</v>
      </c>
      <c r="H284" s="13" t="s">
        <v>1381</v>
      </c>
      <c r="I284" s="13" t="s">
        <v>10533</v>
      </c>
      <c r="J284" s="13" t="s">
        <v>447</v>
      </c>
      <c r="K284" s="13" t="s">
        <v>1363</v>
      </c>
      <c r="L284" s="13" t="s">
        <v>447</v>
      </c>
      <c r="M284" s="13" t="s">
        <v>1363</v>
      </c>
      <c r="N284" s="13" t="s">
        <v>9626</v>
      </c>
      <c r="P284" s="15">
        <v>367</v>
      </c>
      <c r="Q284" s="15">
        <v>42550</v>
      </c>
      <c r="R284" s="13" t="s">
        <v>10449</v>
      </c>
      <c r="S284" s="13" t="s">
        <v>1363</v>
      </c>
      <c r="T284" s="13" t="s">
        <v>10534</v>
      </c>
      <c r="U284" s="13" t="s">
        <v>9734</v>
      </c>
      <c r="V284" s="13" t="s">
        <v>9735</v>
      </c>
      <c r="W284" s="13" t="s">
        <v>9736</v>
      </c>
      <c r="X284" s="13" t="s">
        <v>9658</v>
      </c>
      <c r="Z284" s="13" t="s">
        <v>1363</v>
      </c>
      <c r="AA284" s="13" t="s">
        <v>9737</v>
      </c>
      <c r="AB284" s="13" t="s">
        <v>447</v>
      </c>
      <c r="AC284" s="21">
        <v>41394.459351851852</v>
      </c>
      <c r="AD284" s="21">
        <v>42550.73709490741</v>
      </c>
      <c r="AE284" s="13" t="s">
        <v>9629</v>
      </c>
      <c r="AF284" s="13" t="s">
        <v>9634</v>
      </c>
    </row>
    <row r="285" spans="1:32">
      <c r="A285" s="13" t="s">
        <v>10535</v>
      </c>
      <c r="B285" s="13" t="s">
        <v>1150</v>
      </c>
      <c r="C285" s="13" t="s">
        <v>1363</v>
      </c>
      <c r="D285" s="13" t="s">
        <v>1150</v>
      </c>
      <c r="E285" s="13" t="s">
        <v>1363</v>
      </c>
      <c r="F285" s="13" t="s">
        <v>447</v>
      </c>
      <c r="G285" s="13" t="s">
        <v>1363</v>
      </c>
      <c r="H285" s="13" t="s">
        <v>1381</v>
      </c>
      <c r="I285" s="13" t="s">
        <v>10536</v>
      </c>
      <c r="J285" s="13" t="s">
        <v>447</v>
      </c>
      <c r="K285" s="13" t="s">
        <v>1363</v>
      </c>
      <c r="L285" s="13" t="s">
        <v>447</v>
      </c>
      <c r="M285" s="13" t="s">
        <v>1363</v>
      </c>
      <c r="N285" s="13" t="s">
        <v>9626</v>
      </c>
      <c r="P285" s="15">
        <v>367</v>
      </c>
      <c r="Q285" s="15">
        <v>42550</v>
      </c>
      <c r="R285" s="13" t="s">
        <v>10449</v>
      </c>
      <c r="S285" s="13" t="s">
        <v>1363</v>
      </c>
      <c r="T285" s="13" t="s">
        <v>10537</v>
      </c>
      <c r="U285" s="13" t="s">
        <v>9734</v>
      </c>
      <c r="V285" s="13" t="s">
        <v>9735</v>
      </c>
      <c r="W285" s="13" t="s">
        <v>9736</v>
      </c>
      <c r="X285" s="13" t="s">
        <v>9658</v>
      </c>
      <c r="Z285" s="13" t="s">
        <v>1363</v>
      </c>
      <c r="AA285" s="13" t="s">
        <v>9737</v>
      </c>
      <c r="AB285" s="13" t="s">
        <v>447</v>
      </c>
      <c r="AC285" s="21">
        <v>41394.459351851852</v>
      </c>
      <c r="AD285" s="21">
        <v>42550.73710648148</v>
      </c>
      <c r="AE285" s="13" t="s">
        <v>9629</v>
      </c>
      <c r="AF285" s="13" t="s">
        <v>9634</v>
      </c>
    </row>
    <row r="286" spans="1:32">
      <c r="A286" s="13" t="s">
        <v>10538</v>
      </c>
      <c r="B286" s="13" t="s">
        <v>1150</v>
      </c>
      <c r="C286" s="13" t="s">
        <v>1363</v>
      </c>
      <c r="D286" s="13" t="s">
        <v>1150</v>
      </c>
      <c r="E286" s="13" t="s">
        <v>1363</v>
      </c>
      <c r="F286" s="13" t="s">
        <v>447</v>
      </c>
      <c r="G286" s="13" t="s">
        <v>1363</v>
      </c>
      <c r="H286" s="13" t="s">
        <v>1381</v>
      </c>
      <c r="I286" s="13" t="s">
        <v>10539</v>
      </c>
      <c r="J286" s="13" t="s">
        <v>447</v>
      </c>
      <c r="K286" s="13" t="s">
        <v>1363</v>
      </c>
      <c r="L286" s="13" t="s">
        <v>447</v>
      </c>
      <c r="M286" s="13" t="s">
        <v>1363</v>
      </c>
      <c r="N286" s="13" t="s">
        <v>9626</v>
      </c>
      <c r="P286" s="15">
        <v>367</v>
      </c>
      <c r="Q286" s="15">
        <v>42550</v>
      </c>
      <c r="R286" s="13" t="s">
        <v>10449</v>
      </c>
      <c r="S286" s="13" t="s">
        <v>1363</v>
      </c>
      <c r="T286" s="13" t="s">
        <v>10540</v>
      </c>
      <c r="U286" s="13" t="s">
        <v>9734</v>
      </c>
      <c r="V286" s="13" t="s">
        <v>9735</v>
      </c>
      <c r="W286" s="13" t="s">
        <v>9736</v>
      </c>
      <c r="X286" s="13" t="s">
        <v>9658</v>
      </c>
      <c r="Z286" s="13" t="s">
        <v>1363</v>
      </c>
      <c r="AA286" s="13" t="s">
        <v>9737</v>
      </c>
      <c r="AB286" s="13" t="s">
        <v>447</v>
      </c>
      <c r="AC286" s="21">
        <v>41394.459363425929</v>
      </c>
      <c r="AD286" s="21">
        <v>42550.73710648148</v>
      </c>
      <c r="AE286" s="13" t="s">
        <v>9629</v>
      </c>
      <c r="AF286" s="13" t="s">
        <v>9634</v>
      </c>
    </row>
    <row r="287" spans="1:32">
      <c r="A287" s="13" t="s">
        <v>10541</v>
      </c>
      <c r="B287" s="13" t="s">
        <v>1150</v>
      </c>
      <c r="C287" s="13" t="s">
        <v>1363</v>
      </c>
      <c r="D287" s="13" t="s">
        <v>1150</v>
      </c>
      <c r="E287" s="13" t="s">
        <v>1363</v>
      </c>
      <c r="F287" s="13" t="s">
        <v>447</v>
      </c>
      <c r="G287" s="13" t="s">
        <v>1363</v>
      </c>
      <c r="H287" s="13" t="s">
        <v>1381</v>
      </c>
      <c r="I287" s="13" t="s">
        <v>10542</v>
      </c>
      <c r="J287" s="13" t="s">
        <v>447</v>
      </c>
      <c r="K287" s="13" t="s">
        <v>1363</v>
      </c>
      <c r="L287" s="13" t="s">
        <v>447</v>
      </c>
      <c r="M287" s="13" t="s">
        <v>1363</v>
      </c>
      <c r="N287" s="13" t="s">
        <v>9626</v>
      </c>
      <c r="P287" s="15">
        <v>367</v>
      </c>
      <c r="Q287" s="15">
        <v>42550</v>
      </c>
      <c r="R287" s="13" t="s">
        <v>10449</v>
      </c>
      <c r="S287" s="13" t="s">
        <v>1363</v>
      </c>
      <c r="T287" s="13" t="s">
        <v>10543</v>
      </c>
      <c r="U287" s="13" t="s">
        <v>9734</v>
      </c>
      <c r="V287" s="13" t="s">
        <v>9735</v>
      </c>
      <c r="W287" s="13" t="s">
        <v>9736</v>
      </c>
      <c r="X287" s="13" t="s">
        <v>9658</v>
      </c>
      <c r="Z287" s="13" t="s">
        <v>1363</v>
      </c>
      <c r="AA287" s="13" t="s">
        <v>9737</v>
      </c>
      <c r="AB287" s="13" t="s">
        <v>447</v>
      </c>
      <c r="AC287" s="21">
        <v>41394.459363425929</v>
      </c>
      <c r="AD287" s="21">
        <v>42550.73710648148</v>
      </c>
      <c r="AE287" s="13" t="s">
        <v>9629</v>
      </c>
      <c r="AF287" s="13" t="s">
        <v>9634</v>
      </c>
    </row>
    <row r="288" spans="1:32">
      <c r="A288" s="13" t="s">
        <v>10544</v>
      </c>
      <c r="B288" s="13" t="s">
        <v>1150</v>
      </c>
      <c r="C288" s="13" t="s">
        <v>1363</v>
      </c>
      <c r="D288" s="13" t="s">
        <v>1150</v>
      </c>
      <c r="E288" s="13" t="s">
        <v>1363</v>
      </c>
      <c r="F288" s="13" t="s">
        <v>447</v>
      </c>
      <c r="G288" s="13" t="s">
        <v>1363</v>
      </c>
      <c r="H288" s="13" t="s">
        <v>1381</v>
      </c>
      <c r="I288" s="13" t="s">
        <v>10545</v>
      </c>
      <c r="J288" s="13" t="s">
        <v>447</v>
      </c>
      <c r="K288" s="13" t="s">
        <v>1363</v>
      </c>
      <c r="L288" s="13" t="s">
        <v>447</v>
      </c>
      <c r="M288" s="13" t="s">
        <v>1363</v>
      </c>
      <c r="N288" s="13" t="s">
        <v>9626</v>
      </c>
      <c r="P288" s="15">
        <v>367</v>
      </c>
      <c r="Q288" s="15">
        <v>42550</v>
      </c>
      <c r="R288" s="13" t="s">
        <v>10449</v>
      </c>
      <c r="S288" s="13" t="s">
        <v>1363</v>
      </c>
      <c r="T288" s="13" t="s">
        <v>10546</v>
      </c>
      <c r="U288" s="13" t="s">
        <v>9734</v>
      </c>
      <c r="V288" s="13" t="s">
        <v>9735</v>
      </c>
      <c r="W288" s="13" t="s">
        <v>9736</v>
      </c>
      <c r="X288" s="13" t="s">
        <v>9658</v>
      </c>
      <c r="Z288" s="13" t="s">
        <v>1363</v>
      </c>
      <c r="AA288" s="13" t="s">
        <v>9737</v>
      </c>
      <c r="AB288" s="13" t="s">
        <v>447</v>
      </c>
      <c r="AC288" s="21">
        <v>41394.459363425929</v>
      </c>
      <c r="AD288" s="21">
        <v>42550.73710648148</v>
      </c>
      <c r="AE288" s="13" t="s">
        <v>9629</v>
      </c>
      <c r="AF288" s="13" t="s">
        <v>9634</v>
      </c>
    </row>
    <row r="289" spans="1:32">
      <c r="A289" s="13" t="s">
        <v>10547</v>
      </c>
      <c r="B289" s="13" t="s">
        <v>1150</v>
      </c>
      <c r="C289" s="13" t="s">
        <v>1363</v>
      </c>
      <c r="D289" s="13" t="s">
        <v>1150</v>
      </c>
      <c r="E289" s="13" t="s">
        <v>1363</v>
      </c>
      <c r="F289" s="13" t="s">
        <v>447</v>
      </c>
      <c r="G289" s="13" t="s">
        <v>1363</v>
      </c>
      <c r="H289" s="13" t="s">
        <v>1381</v>
      </c>
      <c r="I289" s="13" t="s">
        <v>10548</v>
      </c>
      <c r="J289" s="13" t="s">
        <v>447</v>
      </c>
      <c r="K289" s="13" t="s">
        <v>1363</v>
      </c>
      <c r="L289" s="13" t="s">
        <v>447</v>
      </c>
      <c r="M289" s="13" t="s">
        <v>1363</v>
      </c>
      <c r="N289" s="13" t="s">
        <v>9626</v>
      </c>
      <c r="P289" s="15">
        <v>367</v>
      </c>
      <c r="Q289" s="15">
        <v>42550</v>
      </c>
      <c r="R289" s="13" t="s">
        <v>10449</v>
      </c>
      <c r="S289" s="13" t="s">
        <v>1363</v>
      </c>
      <c r="T289" s="13" t="s">
        <v>10549</v>
      </c>
      <c r="U289" s="13" t="s">
        <v>9734</v>
      </c>
      <c r="V289" s="13" t="s">
        <v>9735</v>
      </c>
      <c r="W289" s="13" t="s">
        <v>9736</v>
      </c>
      <c r="X289" s="13" t="s">
        <v>9658</v>
      </c>
      <c r="Z289" s="13" t="s">
        <v>1363</v>
      </c>
      <c r="AA289" s="13" t="s">
        <v>9737</v>
      </c>
      <c r="AB289" s="13" t="s">
        <v>447</v>
      </c>
      <c r="AC289" s="21">
        <v>41394.459363425929</v>
      </c>
      <c r="AD289" s="21">
        <v>42550.737118055556</v>
      </c>
      <c r="AE289" s="13" t="s">
        <v>9629</v>
      </c>
      <c r="AF289" s="13" t="s">
        <v>9634</v>
      </c>
    </row>
    <row r="290" spans="1:32">
      <c r="A290" s="13" t="s">
        <v>10550</v>
      </c>
      <c r="B290" s="13" t="s">
        <v>1150</v>
      </c>
      <c r="C290" s="13" t="s">
        <v>1363</v>
      </c>
      <c r="D290" s="13" t="s">
        <v>1150</v>
      </c>
      <c r="E290" s="13" t="s">
        <v>1363</v>
      </c>
      <c r="F290" s="13" t="s">
        <v>447</v>
      </c>
      <c r="G290" s="13" t="s">
        <v>1363</v>
      </c>
      <c r="H290" s="13" t="s">
        <v>1381</v>
      </c>
      <c r="I290" s="13" t="s">
        <v>10551</v>
      </c>
      <c r="J290" s="13" t="s">
        <v>447</v>
      </c>
      <c r="K290" s="13" t="s">
        <v>1363</v>
      </c>
      <c r="L290" s="13" t="s">
        <v>447</v>
      </c>
      <c r="M290" s="13" t="s">
        <v>1363</v>
      </c>
      <c r="N290" s="13" t="s">
        <v>9626</v>
      </c>
      <c r="P290" s="15">
        <v>367</v>
      </c>
      <c r="Q290" s="15">
        <v>42550</v>
      </c>
      <c r="R290" s="13" t="s">
        <v>10449</v>
      </c>
      <c r="S290" s="13" t="s">
        <v>1363</v>
      </c>
      <c r="T290" s="13" t="s">
        <v>10552</v>
      </c>
      <c r="U290" s="13" t="s">
        <v>9734</v>
      </c>
      <c r="V290" s="13" t="s">
        <v>9735</v>
      </c>
      <c r="W290" s="13" t="s">
        <v>9736</v>
      </c>
      <c r="X290" s="13" t="s">
        <v>9658</v>
      </c>
      <c r="Z290" s="13" t="s">
        <v>1363</v>
      </c>
      <c r="AA290" s="13" t="s">
        <v>9737</v>
      </c>
      <c r="AB290" s="13" t="s">
        <v>447</v>
      </c>
      <c r="AC290" s="21">
        <v>41394.459363425929</v>
      </c>
      <c r="AD290" s="21">
        <v>42550.737118055556</v>
      </c>
      <c r="AE290" s="13" t="s">
        <v>9629</v>
      </c>
      <c r="AF290" s="13" t="s">
        <v>9634</v>
      </c>
    </row>
    <row r="291" spans="1:32">
      <c r="A291" s="13" t="s">
        <v>10553</v>
      </c>
      <c r="B291" s="13" t="s">
        <v>1150</v>
      </c>
      <c r="C291" s="13" t="s">
        <v>1363</v>
      </c>
      <c r="D291" s="13" t="s">
        <v>1150</v>
      </c>
      <c r="E291" s="13" t="s">
        <v>1363</v>
      </c>
      <c r="F291" s="13" t="s">
        <v>447</v>
      </c>
      <c r="G291" s="13" t="s">
        <v>1363</v>
      </c>
      <c r="H291" s="13" t="s">
        <v>1381</v>
      </c>
      <c r="I291" s="13" t="s">
        <v>10554</v>
      </c>
      <c r="J291" s="13" t="s">
        <v>447</v>
      </c>
      <c r="K291" s="13" t="s">
        <v>1363</v>
      </c>
      <c r="L291" s="13" t="s">
        <v>447</v>
      </c>
      <c r="M291" s="13" t="s">
        <v>1363</v>
      </c>
      <c r="N291" s="13" t="s">
        <v>9626</v>
      </c>
      <c r="P291" s="15">
        <v>367</v>
      </c>
      <c r="Q291" s="15">
        <v>42550</v>
      </c>
      <c r="R291" s="13" t="s">
        <v>10449</v>
      </c>
      <c r="S291" s="13" t="s">
        <v>1363</v>
      </c>
      <c r="T291" s="13" t="s">
        <v>10555</v>
      </c>
      <c r="U291" s="13" t="s">
        <v>9734</v>
      </c>
      <c r="V291" s="13" t="s">
        <v>9735</v>
      </c>
      <c r="W291" s="13" t="s">
        <v>9736</v>
      </c>
      <c r="X291" s="13" t="s">
        <v>9658</v>
      </c>
      <c r="Z291" s="13" t="s">
        <v>1363</v>
      </c>
      <c r="AA291" s="13" t="s">
        <v>9737</v>
      </c>
      <c r="AB291" s="13" t="s">
        <v>447</v>
      </c>
      <c r="AC291" s="21">
        <v>41394.459374999999</v>
      </c>
      <c r="AD291" s="21">
        <v>42550.737118055556</v>
      </c>
      <c r="AE291" s="13" t="s">
        <v>9629</v>
      </c>
      <c r="AF291" s="13" t="s">
        <v>9634</v>
      </c>
    </row>
    <row r="292" spans="1:32">
      <c r="A292" s="13" t="s">
        <v>10556</v>
      </c>
      <c r="B292" s="13" t="s">
        <v>1150</v>
      </c>
      <c r="C292" s="13" t="s">
        <v>1363</v>
      </c>
      <c r="D292" s="13" t="s">
        <v>1150</v>
      </c>
      <c r="E292" s="13" t="s">
        <v>1363</v>
      </c>
      <c r="F292" s="13" t="s">
        <v>447</v>
      </c>
      <c r="G292" s="13" t="s">
        <v>1363</v>
      </c>
      <c r="H292" s="13" t="s">
        <v>1381</v>
      </c>
      <c r="I292" s="13" t="s">
        <v>10557</v>
      </c>
      <c r="J292" s="13" t="s">
        <v>447</v>
      </c>
      <c r="K292" s="13" t="s">
        <v>1363</v>
      </c>
      <c r="L292" s="13" t="s">
        <v>447</v>
      </c>
      <c r="M292" s="13" t="s">
        <v>1363</v>
      </c>
      <c r="N292" s="13" t="s">
        <v>9626</v>
      </c>
      <c r="P292" s="15">
        <v>367</v>
      </c>
      <c r="Q292" s="15">
        <v>42550</v>
      </c>
      <c r="R292" s="13" t="s">
        <v>10449</v>
      </c>
      <c r="S292" s="13" t="s">
        <v>1363</v>
      </c>
      <c r="T292" s="13" t="s">
        <v>10558</v>
      </c>
      <c r="U292" s="13" t="s">
        <v>9734</v>
      </c>
      <c r="V292" s="13" t="s">
        <v>9735</v>
      </c>
      <c r="W292" s="13" t="s">
        <v>9736</v>
      </c>
      <c r="X292" s="13" t="s">
        <v>9658</v>
      </c>
      <c r="Z292" s="13" t="s">
        <v>1363</v>
      </c>
      <c r="AA292" s="13" t="s">
        <v>9737</v>
      </c>
      <c r="AB292" s="13" t="s">
        <v>447</v>
      </c>
      <c r="AC292" s="21">
        <v>41394.459374999999</v>
      </c>
      <c r="AD292" s="21">
        <v>42550.737118055556</v>
      </c>
      <c r="AE292" s="13" t="s">
        <v>9629</v>
      </c>
      <c r="AF292" s="13" t="s">
        <v>9634</v>
      </c>
    </row>
    <row r="293" spans="1:32">
      <c r="A293" s="13" t="s">
        <v>10559</v>
      </c>
      <c r="B293" s="13" t="s">
        <v>1150</v>
      </c>
      <c r="C293" s="13" t="s">
        <v>1363</v>
      </c>
      <c r="D293" s="13" t="s">
        <v>1150</v>
      </c>
      <c r="E293" s="13" t="s">
        <v>1363</v>
      </c>
      <c r="F293" s="13" t="s">
        <v>447</v>
      </c>
      <c r="G293" s="13" t="s">
        <v>1363</v>
      </c>
      <c r="H293" s="13" t="s">
        <v>1381</v>
      </c>
      <c r="I293" s="13" t="s">
        <v>10560</v>
      </c>
      <c r="J293" s="13" t="s">
        <v>447</v>
      </c>
      <c r="K293" s="13" t="s">
        <v>1363</v>
      </c>
      <c r="L293" s="13" t="s">
        <v>447</v>
      </c>
      <c r="M293" s="13" t="s">
        <v>1363</v>
      </c>
      <c r="N293" s="13" t="s">
        <v>9626</v>
      </c>
      <c r="P293" s="15">
        <v>367</v>
      </c>
      <c r="Q293" s="15">
        <v>42550</v>
      </c>
      <c r="R293" s="13" t="s">
        <v>10449</v>
      </c>
      <c r="S293" s="13" t="s">
        <v>1363</v>
      </c>
      <c r="T293" s="13" t="s">
        <v>10561</v>
      </c>
      <c r="U293" s="13" t="s">
        <v>9734</v>
      </c>
      <c r="V293" s="13" t="s">
        <v>9735</v>
      </c>
      <c r="W293" s="13" t="s">
        <v>9736</v>
      </c>
      <c r="X293" s="13" t="s">
        <v>9658</v>
      </c>
      <c r="Z293" s="13" t="s">
        <v>1363</v>
      </c>
      <c r="AA293" s="13" t="s">
        <v>9737</v>
      </c>
      <c r="AB293" s="13" t="s">
        <v>447</v>
      </c>
      <c r="AC293" s="21">
        <v>41394.459374999999</v>
      </c>
      <c r="AD293" s="21">
        <v>42550.737129629626</v>
      </c>
      <c r="AE293" s="13" t="s">
        <v>9629</v>
      </c>
      <c r="AF293" s="13" t="s">
        <v>9634</v>
      </c>
    </row>
    <row r="294" spans="1:32">
      <c r="A294" s="13" t="s">
        <v>10562</v>
      </c>
      <c r="B294" s="13" t="s">
        <v>1150</v>
      </c>
      <c r="C294" s="13" t="s">
        <v>1363</v>
      </c>
      <c r="D294" s="13" t="s">
        <v>1150</v>
      </c>
      <c r="E294" s="13" t="s">
        <v>1363</v>
      </c>
      <c r="F294" s="13" t="s">
        <v>447</v>
      </c>
      <c r="G294" s="13" t="s">
        <v>1363</v>
      </c>
      <c r="H294" s="13" t="s">
        <v>1381</v>
      </c>
      <c r="I294" s="13" t="s">
        <v>10563</v>
      </c>
      <c r="J294" s="13" t="s">
        <v>447</v>
      </c>
      <c r="K294" s="13" t="s">
        <v>1363</v>
      </c>
      <c r="L294" s="13" t="s">
        <v>447</v>
      </c>
      <c r="M294" s="13" t="s">
        <v>1363</v>
      </c>
      <c r="N294" s="13" t="s">
        <v>9626</v>
      </c>
      <c r="P294" s="15">
        <v>367</v>
      </c>
      <c r="Q294" s="15">
        <v>42550</v>
      </c>
      <c r="R294" s="13" t="s">
        <v>10449</v>
      </c>
      <c r="S294" s="13" t="s">
        <v>1363</v>
      </c>
      <c r="T294" s="13" t="s">
        <v>10564</v>
      </c>
      <c r="U294" s="13" t="s">
        <v>9734</v>
      </c>
      <c r="V294" s="13" t="s">
        <v>9735</v>
      </c>
      <c r="W294" s="13" t="s">
        <v>9736</v>
      </c>
      <c r="X294" s="13" t="s">
        <v>9658</v>
      </c>
      <c r="Z294" s="13" t="s">
        <v>1363</v>
      </c>
      <c r="AA294" s="13" t="s">
        <v>9737</v>
      </c>
      <c r="AB294" s="13" t="s">
        <v>447</v>
      </c>
      <c r="AC294" s="21">
        <v>41394.459374999999</v>
      </c>
      <c r="AD294" s="21">
        <v>42550.737129629626</v>
      </c>
      <c r="AE294" s="13" t="s">
        <v>9629</v>
      </c>
      <c r="AF294" s="13" t="s">
        <v>9634</v>
      </c>
    </row>
    <row r="295" spans="1:32">
      <c r="A295" s="13" t="s">
        <v>10565</v>
      </c>
      <c r="B295" s="13" t="s">
        <v>1150</v>
      </c>
      <c r="C295" s="13" t="s">
        <v>1363</v>
      </c>
      <c r="D295" s="13" t="s">
        <v>1150</v>
      </c>
      <c r="E295" s="13" t="s">
        <v>1363</v>
      </c>
      <c r="F295" s="13" t="s">
        <v>447</v>
      </c>
      <c r="G295" s="13" t="s">
        <v>1363</v>
      </c>
      <c r="H295" s="13" t="s">
        <v>1381</v>
      </c>
      <c r="I295" s="13" t="s">
        <v>10566</v>
      </c>
      <c r="J295" s="13" t="s">
        <v>447</v>
      </c>
      <c r="K295" s="13" t="s">
        <v>1363</v>
      </c>
      <c r="L295" s="13" t="s">
        <v>447</v>
      </c>
      <c r="M295" s="13" t="s">
        <v>1363</v>
      </c>
      <c r="N295" s="13" t="s">
        <v>9626</v>
      </c>
      <c r="P295" s="15">
        <v>367</v>
      </c>
      <c r="Q295" s="15">
        <v>42550</v>
      </c>
      <c r="R295" s="13" t="s">
        <v>10449</v>
      </c>
      <c r="S295" s="13" t="s">
        <v>1363</v>
      </c>
      <c r="T295" s="13" t="s">
        <v>10567</v>
      </c>
      <c r="U295" s="13" t="s">
        <v>9734</v>
      </c>
      <c r="V295" s="13" t="s">
        <v>9735</v>
      </c>
      <c r="W295" s="13" t="s">
        <v>9736</v>
      </c>
      <c r="X295" s="13" t="s">
        <v>9658</v>
      </c>
      <c r="Z295" s="13" t="s">
        <v>1363</v>
      </c>
      <c r="AA295" s="13" t="s">
        <v>9737</v>
      </c>
      <c r="AB295" s="13" t="s">
        <v>447</v>
      </c>
      <c r="AC295" s="21">
        <v>41394.459374999999</v>
      </c>
      <c r="AD295" s="21">
        <v>42550.737129629626</v>
      </c>
      <c r="AE295" s="13" t="s">
        <v>9629</v>
      </c>
      <c r="AF295" s="13" t="s">
        <v>9634</v>
      </c>
    </row>
    <row r="296" spans="1:32">
      <c r="A296" s="13" t="s">
        <v>10568</v>
      </c>
      <c r="B296" s="13" t="s">
        <v>1150</v>
      </c>
      <c r="C296" s="13" t="s">
        <v>1363</v>
      </c>
      <c r="D296" s="13" t="s">
        <v>1150</v>
      </c>
      <c r="E296" s="13" t="s">
        <v>1363</v>
      </c>
      <c r="F296" s="13" t="s">
        <v>447</v>
      </c>
      <c r="G296" s="13" t="s">
        <v>1363</v>
      </c>
      <c r="H296" s="13" t="s">
        <v>1381</v>
      </c>
      <c r="I296" s="13" t="s">
        <v>10569</v>
      </c>
      <c r="J296" s="13" t="s">
        <v>447</v>
      </c>
      <c r="K296" s="13" t="s">
        <v>1363</v>
      </c>
      <c r="L296" s="13" t="s">
        <v>447</v>
      </c>
      <c r="M296" s="13" t="s">
        <v>1363</v>
      </c>
      <c r="N296" s="13" t="s">
        <v>9626</v>
      </c>
      <c r="P296" s="15">
        <v>367</v>
      </c>
      <c r="Q296" s="15">
        <v>42550</v>
      </c>
      <c r="R296" s="13" t="s">
        <v>10449</v>
      </c>
      <c r="S296" s="13" t="s">
        <v>1363</v>
      </c>
      <c r="T296" s="13" t="s">
        <v>10570</v>
      </c>
      <c r="U296" s="13" t="s">
        <v>9734</v>
      </c>
      <c r="V296" s="13" t="s">
        <v>9735</v>
      </c>
      <c r="W296" s="13" t="s">
        <v>9736</v>
      </c>
      <c r="X296" s="13" t="s">
        <v>9658</v>
      </c>
      <c r="Z296" s="13" t="s">
        <v>1363</v>
      </c>
      <c r="AA296" s="13" t="s">
        <v>9737</v>
      </c>
      <c r="AB296" s="13" t="s">
        <v>447</v>
      </c>
      <c r="AC296" s="21">
        <v>41394.459386574075</v>
      </c>
      <c r="AD296" s="21">
        <v>42550.737129629626</v>
      </c>
      <c r="AE296" s="13" t="s">
        <v>9629</v>
      </c>
      <c r="AF296" s="13" t="s">
        <v>9634</v>
      </c>
    </row>
    <row r="297" spans="1:32">
      <c r="A297" s="13" t="s">
        <v>10571</v>
      </c>
      <c r="B297" s="13" t="s">
        <v>1150</v>
      </c>
      <c r="C297" s="13" t="s">
        <v>1363</v>
      </c>
      <c r="D297" s="13" t="s">
        <v>1150</v>
      </c>
      <c r="E297" s="13" t="s">
        <v>1363</v>
      </c>
      <c r="F297" s="13" t="s">
        <v>447</v>
      </c>
      <c r="G297" s="13" t="s">
        <v>1363</v>
      </c>
      <c r="H297" s="13" t="s">
        <v>1381</v>
      </c>
      <c r="I297" s="13" t="s">
        <v>10572</v>
      </c>
      <c r="J297" s="13" t="s">
        <v>447</v>
      </c>
      <c r="K297" s="13" t="s">
        <v>1363</v>
      </c>
      <c r="L297" s="13" t="s">
        <v>447</v>
      </c>
      <c r="M297" s="13" t="s">
        <v>1363</v>
      </c>
      <c r="N297" s="13" t="s">
        <v>9626</v>
      </c>
      <c r="P297" s="15">
        <v>367</v>
      </c>
      <c r="Q297" s="15">
        <v>42550</v>
      </c>
      <c r="R297" s="13" t="s">
        <v>10449</v>
      </c>
      <c r="S297" s="13" t="s">
        <v>1363</v>
      </c>
      <c r="T297" s="13" t="s">
        <v>10573</v>
      </c>
      <c r="U297" s="13" t="s">
        <v>9734</v>
      </c>
      <c r="V297" s="13" t="s">
        <v>9735</v>
      </c>
      <c r="W297" s="13" t="s">
        <v>9736</v>
      </c>
      <c r="X297" s="13" t="s">
        <v>9658</v>
      </c>
      <c r="Z297" s="13" t="s">
        <v>1363</v>
      </c>
      <c r="AA297" s="13" t="s">
        <v>9737</v>
      </c>
      <c r="AB297" s="13" t="s">
        <v>447</v>
      </c>
      <c r="AC297" s="21">
        <v>41394.459386574075</v>
      </c>
      <c r="AD297" s="21">
        <v>42550.737141203703</v>
      </c>
      <c r="AE297" s="13" t="s">
        <v>9629</v>
      </c>
      <c r="AF297" s="13" t="s">
        <v>9634</v>
      </c>
    </row>
    <row r="298" spans="1:32">
      <c r="A298" s="13" t="s">
        <v>10574</v>
      </c>
      <c r="B298" s="13" t="s">
        <v>1150</v>
      </c>
      <c r="C298" s="13" t="s">
        <v>1363</v>
      </c>
      <c r="D298" s="13" t="s">
        <v>1150</v>
      </c>
      <c r="E298" s="13" t="s">
        <v>1363</v>
      </c>
      <c r="F298" s="13" t="s">
        <v>447</v>
      </c>
      <c r="G298" s="13" t="s">
        <v>1363</v>
      </c>
      <c r="H298" s="13" t="s">
        <v>1381</v>
      </c>
      <c r="I298" s="13" t="s">
        <v>10575</v>
      </c>
      <c r="J298" s="13" t="s">
        <v>447</v>
      </c>
      <c r="K298" s="13" t="s">
        <v>1363</v>
      </c>
      <c r="L298" s="13" t="s">
        <v>447</v>
      </c>
      <c r="M298" s="13" t="s">
        <v>1363</v>
      </c>
      <c r="N298" s="13" t="s">
        <v>9626</v>
      </c>
      <c r="P298" s="15">
        <v>367</v>
      </c>
      <c r="Q298" s="15">
        <v>42550</v>
      </c>
      <c r="R298" s="13" t="s">
        <v>10449</v>
      </c>
      <c r="S298" s="13" t="s">
        <v>1363</v>
      </c>
      <c r="T298" s="13" t="s">
        <v>10576</v>
      </c>
      <c r="U298" s="13" t="s">
        <v>9734</v>
      </c>
      <c r="V298" s="13" t="s">
        <v>9735</v>
      </c>
      <c r="W298" s="13" t="s">
        <v>9736</v>
      </c>
      <c r="X298" s="13" t="s">
        <v>9658</v>
      </c>
      <c r="Z298" s="13" t="s">
        <v>1363</v>
      </c>
      <c r="AA298" s="13" t="s">
        <v>9737</v>
      </c>
      <c r="AB298" s="13" t="s">
        <v>447</v>
      </c>
      <c r="AC298" s="21">
        <v>41394.459386574075</v>
      </c>
      <c r="AD298" s="21">
        <v>42550.737141203703</v>
      </c>
      <c r="AE298" s="13" t="s">
        <v>9629</v>
      </c>
      <c r="AF298" s="13" t="s">
        <v>9634</v>
      </c>
    </row>
    <row r="299" spans="1:32">
      <c r="A299" s="13" t="s">
        <v>10577</v>
      </c>
      <c r="B299" s="13" t="s">
        <v>1150</v>
      </c>
      <c r="C299" s="13" t="s">
        <v>1363</v>
      </c>
      <c r="D299" s="13" t="s">
        <v>1150</v>
      </c>
      <c r="E299" s="13" t="s">
        <v>1363</v>
      </c>
      <c r="F299" s="13" t="s">
        <v>447</v>
      </c>
      <c r="G299" s="13" t="s">
        <v>1363</v>
      </c>
      <c r="H299" s="13" t="s">
        <v>1381</v>
      </c>
      <c r="I299" s="13" t="s">
        <v>10578</v>
      </c>
      <c r="J299" s="13" t="s">
        <v>447</v>
      </c>
      <c r="K299" s="13" t="s">
        <v>1363</v>
      </c>
      <c r="L299" s="13" t="s">
        <v>447</v>
      </c>
      <c r="M299" s="13" t="s">
        <v>1363</v>
      </c>
      <c r="N299" s="13" t="s">
        <v>9626</v>
      </c>
      <c r="P299" s="15">
        <v>367</v>
      </c>
      <c r="Q299" s="15">
        <v>42550</v>
      </c>
      <c r="R299" s="13" t="s">
        <v>10449</v>
      </c>
      <c r="S299" s="13" t="s">
        <v>1363</v>
      </c>
      <c r="T299" s="13" t="s">
        <v>10579</v>
      </c>
      <c r="U299" s="13" t="s">
        <v>9734</v>
      </c>
      <c r="V299" s="13" t="s">
        <v>9735</v>
      </c>
      <c r="W299" s="13" t="s">
        <v>9736</v>
      </c>
      <c r="X299" s="13" t="s">
        <v>9658</v>
      </c>
      <c r="Z299" s="13" t="s">
        <v>1363</v>
      </c>
      <c r="AA299" s="13" t="s">
        <v>9737</v>
      </c>
      <c r="AB299" s="13" t="s">
        <v>447</v>
      </c>
      <c r="AC299" s="21">
        <v>41394.459386574075</v>
      </c>
      <c r="AD299" s="21">
        <v>42550.737141203703</v>
      </c>
      <c r="AE299" s="13" t="s">
        <v>9629</v>
      </c>
      <c r="AF299" s="13" t="s">
        <v>9634</v>
      </c>
    </row>
    <row r="300" spans="1:32">
      <c r="A300" s="13" t="s">
        <v>10580</v>
      </c>
      <c r="B300" s="13" t="s">
        <v>1150</v>
      </c>
      <c r="C300" s="13" t="s">
        <v>1363</v>
      </c>
      <c r="D300" s="13" t="s">
        <v>1150</v>
      </c>
      <c r="E300" s="13" t="s">
        <v>1363</v>
      </c>
      <c r="F300" s="13" t="s">
        <v>447</v>
      </c>
      <c r="G300" s="13" t="s">
        <v>1363</v>
      </c>
      <c r="H300" s="13" t="s">
        <v>1381</v>
      </c>
      <c r="I300" s="13" t="s">
        <v>10581</v>
      </c>
      <c r="J300" s="13" t="s">
        <v>447</v>
      </c>
      <c r="K300" s="13" t="s">
        <v>1363</v>
      </c>
      <c r="L300" s="13" t="s">
        <v>447</v>
      </c>
      <c r="M300" s="13" t="s">
        <v>1363</v>
      </c>
      <c r="N300" s="13" t="s">
        <v>9626</v>
      </c>
      <c r="P300" s="15">
        <v>367</v>
      </c>
      <c r="Q300" s="15">
        <v>42550</v>
      </c>
      <c r="R300" s="13" t="s">
        <v>10449</v>
      </c>
      <c r="S300" s="13" t="s">
        <v>1363</v>
      </c>
      <c r="T300" s="13" t="s">
        <v>10582</v>
      </c>
      <c r="U300" s="13" t="s">
        <v>9734</v>
      </c>
      <c r="V300" s="13" t="s">
        <v>9735</v>
      </c>
      <c r="W300" s="13" t="s">
        <v>9736</v>
      </c>
      <c r="X300" s="13" t="s">
        <v>9658</v>
      </c>
      <c r="Z300" s="13" t="s">
        <v>1363</v>
      </c>
      <c r="AA300" s="13" t="s">
        <v>9737</v>
      </c>
      <c r="AB300" s="13" t="s">
        <v>447</v>
      </c>
      <c r="AC300" s="21">
        <v>41394.459398148145</v>
      </c>
      <c r="AD300" s="21">
        <v>42550.737141203703</v>
      </c>
      <c r="AE300" s="13" t="s">
        <v>9629</v>
      </c>
      <c r="AF300" s="13" t="s">
        <v>9634</v>
      </c>
    </row>
    <row r="301" spans="1:32">
      <c r="A301" s="13" t="s">
        <v>10583</v>
      </c>
      <c r="B301" s="13" t="s">
        <v>1150</v>
      </c>
      <c r="C301" s="13" t="s">
        <v>1363</v>
      </c>
      <c r="D301" s="13" t="s">
        <v>1150</v>
      </c>
      <c r="E301" s="13" t="s">
        <v>1363</v>
      </c>
      <c r="F301" s="13" t="s">
        <v>447</v>
      </c>
      <c r="G301" s="13" t="s">
        <v>1363</v>
      </c>
      <c r="H301" s="13" t="s">
        <v>1381</v>
      </c>
      <c r="I301" s="13" t="s">
        <v>10584</v>
      </c>
      <c r="J301" s="13" t="s">
        <v>447</v>
      </c>
      <c r="K301" s="13" t="s">
        <v>1363</v>
      </c>
      <c r="L301" s="13" t="s">
        <v>447</v>
      </c>
      <c r="M301" s="13" t="s">
        <v>1363</v>
      </c>
      <c r="N301" s="13" t="s">
        <v>9626</v>
      </c>
      <c r="P301" s="15">
        <v>367</v>
      </c>
      <c r="Q301" s="15">
        <v>42550</v>
      </c>
      <c r="R301" s="13" t="s">
        <v>10449</v>
      </c>
      <c r="S301" s="13" t="s">
        <v>1363</v>
      </c>
      <c r="T301" s="13" t="s">
        <v>10585</v>
      </c>
      <c r="U301" s="13" t="s">
        <v>9734</v>
      </c>
      <c r="V301" s="13" t="s">
        <v>9735</v>
      </c>
      <c r="W301" s="13" t="s">
        <v>9736</v>
      </c>
      <c r="X301" s="13" t="s">
        <v>9658</v>
      </c>
      <c r="Z301" s="13" t="s">
        <v>1363</v>
      </c>
      <c r="AA301" s="13" t="s">
        <v>9737</v>
      </c>
      <c r="AB301" s="13" t="s">
        <v>447</v>
      </c>
      <c r="AC301" s="21">
        <v>41394.459398148145</v>
      </c>
      <c r="AD301" s="21">
        <v>42550.73715277778</v>
      </c>
      <c r="AE301" s="13" t="s">
        <v>9629</v>
      </c>
      <c r="AF301" s="13" t="s">
        <v>9634</v>
      </c>
    </row>
    <row r="302" spans="1:32">
      <c r="A302" s="13" t="s">
        <v>10586</v>
      </c>
      <c r="B302" s="13" t="s">
        <v>1150</v>
      </c>
      <c r="C302" s="13" t="s">
        <v>1363</v>
      </c>
      <c r="D302" s="13" t="s">
        <v>1150</v>
      </c>
      <c r="E302" s="13" t="s">
        <v>1363</v>
      </c>
      <c r="F302" s="13" t="s">
        <v>447</v>
      </c>
      <c r="G302" s="13" t="s">
        <v>1363</v>
      </c>
      <c r="H302" s="13" t="s">
        <v>1381</v>
      </c>
      <c r="I302" s="13" t="s">
        <v>10587</v>
      </c>
      <c r="J302" s="13" t="s">
        <v>447</v>
      </c>
      <c r="K302" s="13" t="s">
        <v>1363</v>
      </c>
      <c r="L302" s="13" t="s">
        <v>447</v>
      </c>
      <c r="M302" s="13" t="s">
        <v>1363</v>
      </c>
      <c r="N302" s="13" t="s">
        <v>9626</v>
      </c>
      <c r="P302" s="15">
        <v>367</v>
      </c>
      <c r="Q302" s="15">
        <v>42550</v>
      </c>
      <c r="R302" s="13" t="s">
        <v>10449</v>
      </c>
      <c r="S302" s="13" t="s">
        <v>1363</v>
      </c>
      <c r="T302" s="13" t="s">
        <v>10588</v>
      </c>
      <c r="U302" s="13" t="s">
        <v>9734</v>
      </c>
      <c r="V302" s="13" t="s">
        <v>9735</v>
      </c>
      <c r="W302" s="13" t="s">
        <v>9736</v>
      </c>
      <c r="X302" s="13" t="s">
        <v>9658</v>
      </c>
      <c r="Z302" s="13" t="s">
        <v>1363</v>
      </c>
      <c r="AA302" s="13" t="s">
        <v>9737</v>
      </c>
      <c r="AB302" s="13" t="s">
        <v>447</v>
      </c>
      <c r="AC302" s="21">
        <v>41394.459398148145</v>
      </c>
      <c r="AD302" s="21">
        <v>42550.73715277778</v>
      </c>
      <c r="AE302" s="13" t="s">
        <v>9629</v>
      </c>
      <c r="AF302" s="13" t="s">
        <v>9634</v>
      </c>
    </row>
    <row r="303" spans="1:32">
      <c r="A303" s="13" t="s">
        <v>10589</v>
      </c>
      <c r="B303" s="13" t="s">
        <v>1150</v>
      </c>
      <c r="C303" s="13" t="s">
        <v>1363</v>
      </c>
      <c r="D303" s="13" t="s">
        <v>1150</v>
      </c>
      <c r="E303" s="13" t="s">
        <v>1363</v>
      </c>
      <c r="F303" s="13" t="s">
        <v>447</v>
      </c>
      <c r="G303" s="13" t="s">
        <v>1363</v>
      </c>
      <c r="H303" s="13" t="s">
        <v>1381</v>
      </c>
      <c r="I303" s="13" t="s">
        <v>10590</v>
      </c>
      <c r="J303" s="13" t="s">
        <v>447</v>
      </c>
      <c r="K303" s="13" t="s">
        <v>1363</v>
      </c>
      <c r="L303" s="13" t="s">
        <v>447</v>
      </c>
      <c r="M303" s="13" t="s">
        <v>1363</v>
      </c>
      <c r="N303" s="13" t="s">
        <v>9626</v>
      </c>
      <c r="P303" s="15">
        <v>367</v>
      </c>
      <c r="Q303" s="15">
        <v>42550</v>
      </c>
      <c r="R303" s="13" t="s">
        <v>10449</v>
      </c>
      <c r="S303" s="13" t="s">
        <v>1363</v>
      </c>
      <c r="T303" s="13" t="s">
        <v>10591</v>
      </c>
      <c r="U303" s="13" t="s">
        <v>9734</v>
      </c>
      <c r="V303" s="13" t="s">
        <v>9735</v>
      </c>
      <c r="W303" s="13" t="s">
        <v>9736</v>
      </c>
      <c r="X303" s="13" t="s">
        <v>9658</v>
      </c>
      <c r="Z303" s="13" t="s">
        <v>1363</v>
      </c>
      <c r="AA303" s="13" t="s">
        <v>9737</v>
      </c>
      <c r="AB303" s="13" t="s">
        <v>447</v>
      </c>
      <c r="AC303" s="21">
        <v>41394.459398148145</v>
      </c>
      <c r="AD303" s="21">
        <v>42550.73715277778</v>
      </c>
      <c r="AE303" s="13" t="s">
        <v>9629</v>
      </c>
      <c r="AF303" s="13" t="s">
        <v>9634</v>
      </c>
    </row>
    <row r="304" spans="1:32">
      <c r="A304" s="13" t="s">
        <v>10592</v>
      </c>
      <c r="B304" s="13" t="s">
        <v>1150</v>
      </c>
      <c r="C304" s="13" t="s">
        <v>1363</v>
      </c>
      <c r="D304" s="13" t="s">
        <v>1150</v>
      </c>
      <c r="E304" s="13" t="s">
        <v>1363</v>
      </c>
      <c r="F304" s="13" t="s">
        <v>447</v>
      </c>
      <c r="G304" s="13" t="s">
        <v>1363</v>
      </c>
      <c r="H304" s="13" t="s">
        <v>1381</v>
      </c>
      <c r="I304" s="13" t="s">
        <v>10593</v>
      </c>
      <c r="J304" s="13" t="s">
        <v>447</v>
      </c>
      <c r="K304" s="13" t="s">
        <v>1363</v>
      </c>
      <c r="L304" s="13" t="s">
        <v>447</v>
      </c>
      <c r="M304" s="13" t="s">
        <v>1363</v>
      </c>
      <c r="N304" s="13" t="s">
        <v>9626</v>
      </c>
      <c r="P304" s="15">
        <v>367</v>
      </c>
      <c r="Q304" s="15">
        <v>42550</v>
      </c>
      <c r="R304" s="13" t="s">
        <v>10449</v>
      </c>
      <c r="S304" s="13" t="s">
        <v>1363</v>
      </c>
      <c r="T304" s="13" t="s">
        <v>10594</v>
      </c>
      <c r="U304" s="13" t="s">
        <v>9734</v>
      </c>
      <c r="V304" s="13" t="s">
        <v>9735</v>
      </c>
      <c r="W304" s="13" t="s">
        <v>9736</v>
      </c>
      <c r="X304" s="13" t="s">
        <v>9658</v>
      </c>
      <c r="Z304" s="13" t="s">
        <v>1363</v>
      </c>
      <c r="AA304" s="13" t="s">
        <v>9737</v>
      </c>
      <c r="AB304" s="13" t="s">
        <v>447</v>
      </c>
      <c r="AC304" s="21">
        <v>41394.459398148145</v>
      </c>
      <c r="AD304" s="21">
        <v>42550.73715277778</v>
      </c>
      <c r="AE304" s="13" t="s">
        <v>9629</v>
      </c>
      <c r="AF304" s="13" t="s">
        <v>9634</v>
      </c>
    </row>
    <row r="305" spans="1:32">
      <c r="A305" s="13" t="s">
        <v>10595</v>
      </c>
      <c r="B305" s="13" t="s">
        <v>1150</v>
      </c>
      <c r="C305" s="13" t="s">
        <v>1363</v>
      </c>
      <c r="D305" s="13" t="s">
        <v>1150</v>
      </c>
      <c r="E305" s="13" t="s">
        <v>1363</v>
      </c>
      <c r="F305" s="13" t="s">
        <v>447</v>
      </c>
      <c r="G305" s="13" t="s">
        <v>1363</v>
      </c>
      <c r="H305" s="13" t="s">
        <v>1381</v>
      </c>
      <c r="I305" s="13" t="s">
        <v>10596</v>
      </c>
      <c r="J305" s="13" t="s">
        <v>447</v>
      </c>
      <c r="K305" s="13" t="s">
        <v>1363</v>
      </c>
      <c r="L305" s="13" t="s">
        <v>447</v>
      </c>
      <c r="M305" s="13" t="s">
        <v>1363</v>
      </c>
      <c r="N305" s="13" t="s">
        <v>9626</v>
      </c>
      <c r="P305" s="15">
        <v>367</v>
      </c>
      <c r="Q305" s="15">
        <v>42550</v>
      </c>
      <c r="R305" s="13" t="s">
        <v>10449</v>
      </c>
      <c r="S305" s="13" t="s">
        <v>1363</v>
      </c>
      <c r="T305" s="13" t="s">
        <v>10597</v>
      </c>
      <c r="U305" s="13" t="s">
        <v>9734</v>
      </c>
      <c r="V305" s="13" t="s">
        <v>9735</v>
      </c>
      <c r="W305" s="13" t="s">
        <v>9736</v>
      </c>
      <c r="X305" s="13" t="s">
        <v>9658</v>
      </c>
      <c r="Z305" s="13" t="s">
        <v>1363</v>
      </c>
      <c r="AA305" s="13" t="s">
        <v>9737</v>
      </c>
      <c r="AB305" s="13" t="s">
        <v>447</v>
      </c>
      <c r="AC305" s="21">
        <v>41394.459409722222</v>
      </c>
      <c r="AD305" s="21">
        <v>42550.737164351849</v>
      </c>
      <c r="AE305" s="13" t="s">
        <v>9629</v>
      </c>
      <c r="AF305" s="13" t="s">
        <v>9634</v>
      </c>
    </row>
    <row r="306" spans="1:32">
      <c r="A306" s="13" t="s">
        <v>10598</v>
      </c>
      <c r="B306" s="13" t="s">
        <v>1150</v>
      </c>
      <c r="C306" s="13" t="s">
        <v>1363</v>
      </c>
      <c r="D306" s="13" t="s">
        <v>1150</v>
      </c>
      <c r="E306" s="13" t="s">
        <v>1363</v>
      </c>
      <c r="F306" s="13" t="s">
        <v>447</v>
      </c>
      <c r="G306" s="13" t="s">
        <v>1363</v>
      </c>
      <c r="H306" s="13" t="s">
        <v>1381</v>
      </c>
      <c r="I306" s="13" t="s">
        <v>10599</v>
      </c>
      <c r="J306" s="13" t="s">
        <v>447</v>
      </c>
      <c r="K306" s="13" t="s">
        <v>1363</v>
      </c>
      <c r="L306" s="13" t="s">
        <v>447</v>
      </c>
      <c r="M306" s="13" t="s">
        <v>1363</v>
      </c>
      <c r="N306" s="13" t="s">
        <v>9626</v>
      </c>
      <c r="P306" s="15">
        <v>367</v>
      </c>
      <c r="Q306" s="15">
        <v>42550</v>
      </c>
      <c r="R306" s="13" t="s">
        <v>10449</v>
      </c>
      <c r="S306" s="13" t="s">
        <v>1363</v>
      </c>
      <c r="T306" s="13" t="s">
        <v>10600</v>
      </c>
      <c r="U306" s="13" t="s">
        <v>9734</v>
      </c>
      <c r="V306" s="13" t="s">
        <v>9735</v>
      </c>
      <c r="W306" s="13" t="s">
        <v>9736</v>
      </c>
      <c r="X306" s="13" t="s">
        <v>9658</v>
      </c>
      <c r="Z306" s="13" t="s">
        <v>1363</v>
      </c>
      <c r="AA306" s="13" t="s">
        <v>9737</v>
      </c>
      <c r="AB306" s="13" t="s">
        <v>447</v>
      </c>
      <c r="AC306" s="21">
        <v>41394.459409722222</v>
      </c>
      <c r="AD306" s="21">
        <v>42550.737164351849</v>
      </c>
      <c r="AE306" s="13" t="s">
        <v>9629</v>
      </c>
      <c r="AF306" s="13" t="s">
        <v>9634</v>
      </c>
    </row>
    <row r="307" spans="1:32">
      <c r="A307" s="13" t="s">
        <v>10601</v>
      </c>
      <c r="B307" s="13" t="s">
        <v>1150</v>
      </c>
      <c r="C307" s="13" t="s">
        <v>1363</v>
      </c>
      <c r="D307" s="13" t="s">
        <v>1150</v>
      </c>
      <c r="E307" s="13" t="s">
        <v>1363</v>
      </c>
      <c r="F307" s="13" t="s">
        <v>447</v>
      </c>
      <c r="G307" s="13" t="s">
        <v>1363</v>
      </c>
      <c r="H307" s="13" t="s">
        <v>1381</v>
      </c>
      <c r="I307" s="13" t="s">
        <v>10602</v>
      </c>
      <c r="J307" s="13" t="s">
        <v>447</v>
      </c>
      <c r="K307" s="13" t="s">
        <v>1363</v>
      </c>
      <c r="L307" s="13" t="s">
        <v>447</v>
      </c>
      <c r="M307" s="13" t="s">
        <v>1363</v>
      </c>
      <c r="N307" s="13" t="s">
        <v>9626</v>
      </c>
      <c r="P307" s="15">
        <v>367</v>
      </c>
      <c r="Q307" s="15">
        <v>42550</v>
      </c>
      <c r="R307" s="13" t="s">
        <v>10449</v>
      </c>
      <c r="S307" s="13" t="s">
        <v>1363</v>
      </c>
      <c r="T307" s="13" t="s">
        <v>10603</v>
      </c>
      <c r="U307" s="13" t="s">
        <v>9734</v>
      </c>
      <c r="V307" s="13" t="s">
        <v>9735</v>
      </c>
      <c r="W307" s="13" t="s">
        <v>9736</v>
      </c>
      <c r="X307" s="13" t="s">
        <v>9658</v>
      </c>
      <c r="Z307" s="13" t="s">
        <v>1363</v>
      </c>
      <c r="AA307" s="13" t="s">
        <v>9737</v>
      </c>
      <c r="AB307" s="13" t="s">
        <v>447</v>
      </c>
      <c r="AC307" s="21">
        <v>41394.459409722222</v>
      </c>
      <c r="AD307" s="21">
        <v>42550.737164351849</v>
      </c>
      <c r="AE307" s="13" t="s">
        <v>9629</v>
      </c>
      <c r="AF307" s="13" t="s">
        <v>9634</v>
      </c>
    </row>
    <row r="308" spans="1:32">
      <c r="A308" s="13" t="s">
        <v>10604</v>
      </c>
      <c r="B308" s="13" t="s">
        <v>1150</v>
      </c>
      <c r="C308" s="13" t="s">
        <v>1363</v>
      </c>
      <c r="D308" s="13" t="s">
        <v>1150</v>
      </c>
      <c r="E308" s="13" t="s">
        <v>1363</v>
      </c>
      <c r="F308" s="13" t="s">
        <v>447</v>
      </c>
      <c r="G308" s="13" t="s">
        <v>1363</v>
      </c>
      <c r="H308" s="13" t="s">
        <v>1381</v>
      </c>
      <c r="I308" s="13" t="s">
        <v>10605</v>
      </c>
      <c r="J308" s="13" t="s">
        <v>447</v>
      </c>
      <c r="K308" s="13" t="s">
        <v>1363</v>
      </c>
      <c r="L308" s="13" t="s">
        <v>447</v>
      </c>
      <c r="M308" s="13" t="s">
        <v>1363</v>
      </c>
      <c r="N308" s="13" t="s">
        <v>9626</v>
      </c>
      <c r="P308" s="15">
        <v>367</v>
      </c>
      <c r="Q308" s="15">
        <v>42550</v>
      </c>
      <c r="R308" s="13" t="s">
        <v>10449</v>
      </c>
      <c r="S308" s="13" t="s">
        <v>1363</v>
      </c>
      <c r="T308" s="13" t="s">
        <v>10606</v>
      </c>
      <c r="U308" s="13" t="s">
        <v>9734</v>
      </c>
      <c r="V308" s="13" t="s">
        <v>9735</v>
      </c>
      <c r="W308" s="13" t="s">
        <v>9736</v>
      </c>
      <c r="X308" s="13" t="s">
        <v>9658</v>
      </c>
      <c r="Z308" s="13" t="s">
        <v>1363</v>
      </c>
      <c r="AA308" s="13" t="s">
        <v>9737</v>
      </c>
      <c r="AB308" s="13" t="s">
        <v>447</v>
      </c>
      <c r="AC308" s="21">
        <v>41394.459409722222</v>
      </c>
      <c r="AD308" s="21">
        <v>42550.737175925926</v>
      </c>
      <c r="AE308" s="13" t="s">
        <v>9629</v>
      </c>
      <c r="AF308" s="13" t="s">
        <v>9634</v>
      </c>
    </row>
    <row r="309" spans="1:32">
      <c r="A309" s="13" t="s">
        <v>10607</v>
      </c>
      <c r="B309" s="13" t="s">
        <v>1150</v>
      </c>
      <c r="C309" s="13" t="s">
        <v>1363</v>
      </c>
      <c r="D309" s="13" t="s">
        <v>1150</v>
      </c>
      <c r="E309" s="13" t="s">
        <v>1363</v>
      </c>
      <c r="F309" s="13" t="s">
        <v>447</v>
      </c>
      <c r="G309" s="13" t="s">
        <v>1363</v>
      </c>
      <c r="H309" s="13" t="s">
        <v>1381</v>
      </c>
      <c r="I309" s="13" t="s">
        <v>10608</v>
      </c>
      <c r="J309" s="13" t="s">
        <v>447</v>
      </c>
      <c r="K309" s="13" t="s">
        <v>1363</v>
      </c>
      <c r="L309" s="13" t="s">
        <v>447</v>
      </c>
      <c r="M309" s="13" t="s">
        <v>1363</v>
      </c>
      <c r="N309" s="13" t="s">
        <v>9626</v>
      </c>
      <c r="P309" s="15">
        <v>367</v>
      </c>
      <c r="Q309" s="15">
        <v>42550</v>
      </c>
      <c r="R309" s="13" t="s">
        <v>10449</v>
      </c>
      <c r="S309" s="13" t="s">
        <v>1363</v>
      </c>
      <c r="T309" s="13" t="s">
        <v>10609</v>
      </c>
      <c r="U309" s="13" t="s">
        <v>9734</v>
      </c>
      <c r="V309" s="13" t="s">
        <v>9735</v>
      </c>
      <c r="W309" s="13" t="s">
        <v>9736</v>
      </c>
      <c r="X309" s="13" t="s">
        <v>9658</v>
      </c>
      <c r="Z309" s="13" t="s">
        <v>1363</v>
      </c>
      <c r="AA309" s="13" t="s">
        <v>9737</v>
      </c>
      <c r="AB309" s="13" t="s">
        <v>447</v>
      </c>
      <c r="AC309" s="21">
        <v>41394.459409722222</v>
      </c>
      <c r="AD309" s="21">
        <v>42550.737175925926</v>
      </c>
      <c r="AE309" s="13" t="s">
        <v>9629</v>
      </c>
      <c r="AF309" s="13" t="s">
        <v>9634</v>
      </c>
    </row>
    <row r="310" spans="1:32">
      <c r="A310" s="13" t="s">
        <v>10610</v>
      </c>
      <c r="B310" s="13" t="s">
        <v>1150</v>
      </c>
      <c r="C310" s="13" t="s">
        <v>1363</v>
      </c>
      <c r="D310" s="13" t="s">
        <v>1150</v>
      </c>
      <c r="E310" s="13" t="s">
        <v>1363</v>
      </c>
      <c r="F310" s="13" t="s">
        <v>447</v>
      </c>
      <c r="G310" s="13" t="s">
        <v>1363</v>
      </c>
      <c r="H310" s="13" t="s">
        <v>1381</v>
      </c>
      <c r="I310" s="13" t="s">
        <v>10611</v>
      </c>
      <c r="J310" s="13" t="s">
        <v>447</v>
      </c>
      <c r="K310" s="13" t="s">
        <v>1363</v>
      </c>
      <c r="L310" s="13" t="s">
        <v>447</v>
      </c>
      <c r="M310" s="13" t="s">
        <v>1363</v>
      </c>
      <c r="N310" s="13" t="s">
        <v>9626</v>
      </c>
      <c r="P310" s="15">
        <v>367</v>
      </c>
      <c r="Q310" s="15">
        <v>42550</v>
      </c>
      <c r="R310" s="13" t="s">
        <v>10449</v>
      </c>
      <c r="S310" s="13" t="s">
        <v>1363</v>
      </c>
      <c r="T310" s="13" t="s">
        <v>10612</v>
      </c>
      <c r="U310" s="13" t="s">
        <v>9734</v>
      </c>
      <c r="V310" s="13" t="s">
        <v>9735</v>
      </c>
      <c r="W310" s="13" t="s">
        <v>9736</v>
      </c>
      <c r="X310" s="13" t="s">
        <v>9658</v>
      </c>
      <c r="Z310" s="13" t="s">
        <v>1363</v>
      </c>
      <c r="AA310" s="13" t="s">
        <v>9737</v>
      </c>
      <c r="AB310" s="13" t="s">
        <v>447</v>
      </c>
      <c r="AC310" s="21">
        <v>41394.459421296298</v>
      </c>
      <c r="AD310" s="21">
        <v>42550.737175925926</v>
      </c>
      <c r="AE310" s="13" t="s">
        <v>9629</v>
      </c>
      <c r="AF310" s="13" t="s">
        <v>9634</v>
      </c>
    </row>
    <row r="311" spans="1:32">
      <c r="A311" s="13" t="s">
        <v>10613</v>
      </c>
      <c r="B311" s="13" t="s">
        <v>1150</v>
      </c>
      <c r="C311" s="13" t="s">
        <v>1363</v>
      </c>
      <c r="D311" s="13" t="s">
        <v>1150</v>
      </c>
      <c r="E311" s="13" t="s">
        <v>1363</v>
      </c>
      <c r="F311" s="13" t="s">
        <v>447</v>
      </c>
      <c r="G311" s="13" t="s">
        <v>1363</v>
      </c>
      <c r="H311" s="13" t="s">
        <v>1381</v>
      </c>
      <c r="I311" s="13" t="s">
        <v>10614</v>
      </c>
      <c r="J311" s="13" t="s">
        <v>447</v>
      </c>
      <c r="K311" s="13" t="s">
        <v>1363</v>
      </c>
      <c r="L311" s="13" t="s">
        <v>447</v>
      </c>
      <c r="M311" s="13" t="s">
        <v>1363</v>
      </c>
      <c r="N311" s="13" t="s">
        <v>9626</v>
      </c>
      <c r="P311" s="15">
        <v>367</v>
      </c>
      <c r="Q311" s="15">
        <v>42550</v>
      </c>
      <c r="R311" s="13" t="s">
        <v>10449</v>
      </c>
      <c r="S311" s="13" t="s">
        <v>1363</v>
      </c>
      <c r="T311" s="13" t="s">
        <v>10615</v>
      </c>
      <c r="U311" s="13" t="s">
        <v>9734</v>
      </c>
      <c r="V311" s="13" t="s">
        <v>9735</v>
      </c>
      <c r="W311" s="13" t="s">
        <v>9736</v>
      </c>
      <c r="X311" s="13" t="s">
        <v>9658</v>
      </c>
      <c r="Z311" s="13" t="s">
        <v>1363</v>
      </c>
      <c r="AA311" s="13" t="s">
        <v>9737</v>
      </c>
      <c r="AB311" s="13" t="s">
        <v>447</v>
      </c>
      <c r="AC311" s="21">
        <v>41394.459421296298</v>
      </c>
      <c r="AD311" s="21">
        <v>42550.737175925926</v>
      </c>
      <c r="AE311" s="13" t="s">
        <v>9629</v>
      </c>
      <c r="AF311" s="13" t="s">
        <v>9634</v>
      </c>
    </row>
    <row r="312" spans="1:32">
      <c r="A312" s="13" t="s">
        <v>10616</v>
      </c>
      <c r="B312" s="13" t="s">
        <v>1150</v>
      </c>
      <c r="C312" s="13" t="s">
        <v>1363</v>
      </c>
      <c r="D312" s="13" t="s">
        <v>1150</v>
      </c>
      <c r="E312" s="13" t="s">
        <v>1363</v>
      </c>
      <c r="F312" s="13" t="s">
        <v>447</v>
      </c>
      <c r="G312" s="13" t="s">
        <v>1363</v>
      </c>
      <c r="H312" s="13" t="s">
        <v>1381</v>
      </c>
      <c r="I312" s="13" t="s">
        <v>10617</v>
      </c>
      <c r="J312" s="13" t="s">
        <v>447</v>
      </c>
      <c r="K312" s="13" t="s">
        <v>1363</v>
      </c>
      <c r="L312" s="13" t="s">
        <v>447</v>
      </c>
      <c r="M312" s="13" t="s">
        <v>1363</v>
      </c>
      <c r="N312" s="13" t="s">
        <v>9626</v>
      </c>
      <c r="P312" s="15">
        <v>367</v>
      </c>
      <c r="Q312" s="15">
        <v>42550</v>
      </c>
      <c r="R312" s="13" t="s">
        <v>10449</v>
      </c>
      <c r="S312" s="13" t="s">
        <v>1363</v>
      </c>
      <c r="T312" s="13" t="s">
        <v>10618</v>
      </c>
      <c r="U312" s="13" t="s">
        <v>9734</v>
      </c>
      <c r="V312" s="13" t="s">
        <v>9735</v>
      </c>
      <c r="W312" s="13" t="s">
        <v>9736</v>
      </c>
      <c r="X312" s="13" t="s">
        <v>9658</v>
      </c>
      <c r="Z312" s="13" t="s">
        <v>1363</v>
      </c>
      <c r="AA312" s="13" t="s">
        <v>9737</v>
      </c>
      <c r="AB312" s="13" t="s">
        <v>447</v>
      </c>
      <c r="AC312" s="21">
        <v>41394.459421296298</v>
      </c>
      <c r="AD312" s="21">
        <v>42550.737187500003</v>
      </c>
      <c r="AE312" s="13" t="s">
        <v>9629</v>
      </c>
      <c r="AF312" s="13" t="s">
        <v>9634</v>
      </c>
    </row>
    <row r="313" spans="1:32">
      <c r="A313" s="13" t="s">
        <v>10619</v>
      </c>
      <c r="B313" s="13" t="s">
        <v>1150</v>
      </c>
      <c r="C313" s="13" t="s">
        <v>1363</v>
      </c>
      <c r="D313" s="13" t="s">
        <v>1150</v>
      </c>
      <c r="E313" s="13" t="s">
        <v>1363</v>
      </c>
      <c r="F313" s="13" t="s">
        <v>447</v>
      </c>
      <c r="G313" s="13" t="s">
        <v>1363</v>
      </c>
      <c r="H313" s="13" t="s">
        <v>1381</v>
      </c>
      <c r="I313" s="13" t="s">
        <v>10620</v>
      </c>
      <c r="J313" s="13" t="s">
        <v>447</v>
      </c>
      <c r="K313" s="13" t="s">
        <v>1363</v>
      </c>
      <c r="L313" s="13" t="s">
        <v>447</v>
      </c>
      <c r="M313" s="13" t="s">
        <v>1363</v>
      </c>
      <c r="N313" s="13" t="s">
        <v>9626</v>
      </c>
      <c r="P313" s="15">
        <v>367</v>
      </c>
      <c r="Q313" s="15">
        <v>42550</v>
      </c>
      <c r="R313" s="13" t="s">
        <v>10449</v>
      </c>
      <c r="S313" s="13" t="s">
        <v>1363</v>
      </c>
      <c r="T313" s="13" t="s">
        <v>10621</v>
      </c>
      <c r="U313" s="13" t="s">
        <v>9734</v>
      </c>
      <c r="V313" s="13" t="s">
        <v>9735</v>
      </c>
      <c r="W313" s="13" t="s">
        <v>9736</v>
      </c>
      <c r="X313" s="13" t="s">
        <v>9658</v>
      </c>
      <c r="Z313" s="13" t="s">
        <v>1363</v>
      </c>
      <c r="AA313" s="13" t="s">
        <v>9737</v>
      </c>
      <c r="AB313" s="13" t="s">
        <v>447</v>
      </c>
      <c r="AC313" s="21">
        <v>41394.459421296298</v>
      </c>
      <c r="AD313" s="21">
        <v>42550.737187500003</v>
      </c>
      <c r="AE313" s="13" t="s">
        <v>9629</v>
      </c>
      <c r="AF313" s="13" t="s">
        <v>9634</v>
      </c>
    </row>
    <row r="314" spans="1:32">
      <c r="A314" s="13" t="s">
        <v>10622</v>
      </c>
      <c r="B314" s="13" t="s">
        <v>1150</v>
      </c>
      <c r="C314" s="13" t="s">
        <v>1363</v>
      </c>
      <c r="D314" s="13" t="s">
        <v>1150</v>
      </c>
      <c r="E314" s="13" t="s">
        <v>1363</v>
      </c>
      <c r="F314" s="13" t="s">
        <v>447</v>
      </c>
      <c r="G314" s="13" t="s">
        <v>1363</v>
      </c>
      <c r="H314" s="13" t="s">
        <v>1381</v>
      </c>
      <c r="I314" s="13" t="s">
        <v>10623</v>
      </c>
      <c r="J314" s="13" t="s">
        <v>447</v>
      </c>
      <c r="K314" s="13" t="s">
        <v>1363</v>
      </c>
      <c r="L314" s="13" t="s">
        <v>447</v>
      </c>
      <c r="M314" s="13" t="s">
        <v>1363</v>
      </c>
      <c r="N314" s="13" t="s">
        <v>9626</v>
      </c>
      <c r="P314" s="15">
        <v>367</v>
      </c>
      <c r="Q314" s="15">
        <v>42550</v>
      </c>
      <c r="R314" s="13" t="s">
        <v>10449</v>
      </c>
      <c r="S314" s="13" t="s">
        <v>1363</v>
      </c>
      <c r="T314" s="13" t="s">
        <v>10624</v>
      </c>
      <c r="U314" s="13" t="s">
        <v>9734</v>
      </c>
      <c r="V314" s="13" t="s">
        <v>9735</v>
      </c>
      <c r="W314" s="13" t="s">
        <v>9736</v>
      </c>
      <c r="X314" s="13" t="s">
        <v>9658</v>
      </c>
      <c r="Z314" s="13" t="s">
        <v>1363</v>
      </c>
      <c r="AA314" s="13" t="s">
        <v>9737</v>
      </c>
      <c r="AB314" s="13" t="s">
        <v>447</v>
      </c>
      <c r="AC314" s="21">
        <v>41394.459421296298</v>
      </c>
      <c r="AD314" s="21">
        <v>42550.737187500003</v>
      </c>
      <c r="AE314" s="13" t="s">
        <v>9629</v>
      </c>
      <c r="AF314" s="13" t="s">
        <v>9634</v>
      </c>
    </row>
    <row r="315" spans="1:32">
      <c r="A315" s="13" t="s">
        <v>10625</v>
      </c>
      <c r="B315" s="13" t="s">
        <v>1150</v>
      </c>
      <c r="C315" s="13" t="s">
        <v>1363</v>
      </c>
      <c r="D315" s="13" t="s">
        <v>1150</v>
      </c>
      <c r="E315" s="13" t="s">
        <v>1363</v>
      </c>
      <c r="F315" s="13" t="s">
        <v>447</v>
      </c>
      <c r="G315" s="13" t="s">
        <v>1363</v>
      </c>
      <c r="H315" s="13" t="s">
        <v>1381</v>
      </c>
      <c r="I315" s="13" t="s">
        <v>10626</v>
      </c>
      <c r="J315" s="13" t="s">
        <v>447</v>
      </c>
      <c r="K315" s="13" t="s">
        <v>1363</v>
      </c>
      <c r="L315" s="13" t="s">
        <v>447</v>
      </c>
      <c r="M315" s="13" t="s">
        <v>1363</v>
      </c>
      <c r="N315" s="13" t="s">
        <v>9626</v>
      </c>
      <c r="P315" s="15">
        <v>367</v>
      </c>
      <c r="Q315" s="15">
        <v>42550</v>
      </c>
      <c r="R315" s="13" t="s">
        <v>10449</v>
      </c>
      <c r="S315" s="13" t="s">
        <v>1363</v>
      </c>
      <c r="T315" s="13" t="s">
        <v>10627</v>
      </c>
      <c r="U315" s="13" t="s">
        <v>9734</v>
      </c>
      <c r="V315" s="13" t="s">
        <v>9735</v>
      </c>
      <c r="W315" s="13" t="s">
        <v>9736</v>
      </c>
      <c r="X315" s="13" t="s">
        <v>9658</v>
      </c>
      <c r="Z315" s="13" t="s">
        <v>1363</v>
      </c>
      <c r="AA315" s="13" t="s">
        <v>9737</v>
      </c>
      <c r="AB315" s="13" t="s">
        <v>447</v>
      </c>
      <c r="AC315" s="21">
        <v>41394.459432870368</v>
      </c>
      <c r="AD315" s="21">
        <v>42550.737199074072</v>
      </c>
      <c r="AE315" s="13" t="s">
        <v>9629</v>
      </c>
      <c r="AF315" s="13" t="s">
        <v>9634</v>
      </c>
    </row>
    <row r="316" spans="1:32">
      <c r="A316" s="13" t="s">
        <v>10628</v>
      </c>
      <c r="B316" s="13" t="s">
        <v>1150</v>
      </c>
      <c r="C316" s="13" t="s">
        <v>1363</v>
      </c>
      <c r="D316" s="13" t="s">
        <v>1150</v>
      </c>
      <c r="E316" s="13" t="s">
        <v>1363</v>
      </c>
      <c r="F316" s="13" t="s">
        <v>447</v>
      </c>
      <c r="G316" s="13" t="s">
        <v>1363</v>
      </c>
      <c r="H316" s="13" t="s">
        <v>1381</v>
      </c>
      <c r="I316" s="13" t="s">
        <v>10629</v>
      </c>
      <c r="J316" s="13" t="s">
        <v>447</v>
      </c>
      <c r="K316" s="13" t="s">
        <v>1363</v>
      </c>
      <c r="L316" s="13" t="s">
        <v>447</v>
      </c>
      <c r="M316" s="13" t="s">
        <v>1363</v>
      </c>
      <c r="N316" s="13" t="s">
        <v>9626</v>
      </c>
      <c r="P316" s="15">
        <v>367</v>
      </c>
      <c r="Q316" s="15">
        <v>42550</v>
      </c>
      <c r="R316" s="13" t="s">
        <v>10449</v>
      </c>
      <c r="S316" s="13" t="s">
        <v>1363</v>
      </c>
      <c r="T316" s="13" t="s">
        <v>10630</v>
      </c>
      <c r="U316" s="13" t="s">
        <v>9734</v>
      </c>
      <c r="V316" s="13" t="s">
        <v>9735</v>
      </c>
      <c r="W316" s="13" t="s">
        <v>9736</v>
      </c>
      <c r="X316" s="13" t="s">
        <v>9658</v>
      </c>
      <c r="Z316" s="13" t="s">
        <v>1363</v>
      </c>
      <c r="AA316" s="13" t="s">
        <v>9737</v>
      </c>
      <c r="AB316" s="13" t="s">
        <v>447</v>
      </c>
      <c r="AC316" s="21">
        <v>41394.459432870368</v>
      </c>
      <c r="AD316" s="21">
        <v>42550.737199074072</v>
      </c>
      <c r="AE316" s="13" t="s">
        <v>9629</v>
      </c>
      <c r="AF316" s="13" t="s">
        <v>9634</v>
      </c>
    </row>
    <row r="317" spans="1:32">
      <c r="A317" s="13" t="s">
        <v>10631</v>
      </c>
      <c r="B317" s="13" t="s">
        <v>1150</v>
      </c>
      <c r="C317" s="13" t="s">
        <v>1363</v>
      </c>
      <c r="D317" s="13" t="s">
        <v>1150</v>
      </c>
      <c r="E317" s="13" t="s">
        <v>1363</v>
      </c>
      <c r="F317" s="13" t="s">
        <v>447</v>
      </c>
      <c r="G317" s="13" t="s">
        <v>1363</v>
      </c>
      <c r="H317" s="13" t="s">
        <v>1381</v>
      </c>
      <c r="I317" s="13" t="s">
        <v>10632</v>
      </c>
      <c r="J317" s="13" t="s">
        <v>447</v>
      </c>
      <c r="K317" s="13" t="s">
        <v>1363</v>
      </c>
      <c r="L317" s="13" t="s">
        <v>447</v>
      </c>
      <c r="M317" s="13" t="s">
        <v>1363</v>
      </c>
      <c r="N317" s="13" t="s">
        <v>9626</v>
      </c>
      <c r="P317" s="15">
        <v>367</v>
      </c>
      <c r="Q317" s="15">
        <v>42550</v>
      </c>
      <c r="R317" s="13" t="s">
        <v>10449</v>
      </c>
      <c r="S317" s="13" t="s">
        <v>1363</v>
      </c>
      <c r="T317" s="13" t="s">
        <v>10633</v>
      </c>
      <c r="U317" s="13" t="s">
        <v>9734</v>
      </c>
      <c r="V317" s="13" t="s">
        <v>9735</v>
      </c>
      <c r="W317" s="13" t="s">
        <v>9736</v>
      </c>
      <c r="X317" s="13" t="s">
        <v>9658</v>
      </c>
      <c r="Z317" s="13" t="s">
        <v>1363</v>
      </c>
      <c r="AA317" s="13" t="s">
        <v>9737</v>
      </c>
      <c r="AB317" s="13" t="s">
        <v>447</v>
      </c>
      <c r="AC317" s="21">
        <v>41394.459432870368</v>
      </c>
      <c r="AD317" s="21">
        <v>42550.737199074072</v>
      </c>
      <c r="AE317" s="13" t="s">
        <v>9629</v>
      </c>
      <c r="AF317" s="13" t="s">
        <v>9634</v>
      </c>
    </row>
    <row r="318" spans="1:32">
      <c r="A318" s="13" t="s">
        <v>10634</v>
      </c>
      <c r="B318" s="13" t="s">
        <v>1150</v>
      </c>
      <c r="C318" s="13" t="s">
        <v>1363</v>
      </c>
      <c r="D318" s="13" t="s">
        <v>1150</v>
      </c>
      <c r="E318" s="13" t="s">
        <v>1363</v>
      </c>
      <c r="F318" s="13" t="s">
        <v>447</v>
      </c>
      <c r="G318" s="13" t="s">
        <v>1363</v>
      </c>
      <c r="H318" s="13" t="s">
        <v>1381</v>
      </c>
      <c r="I318" s="13" t="s">
        <v>10635</v>
      </c>
      <c r="J318" s="13" t="s">
        <v>447</v>
      </c>
      <c r="K318" s="13" t="s">
        <v>1363</v>
      </c>
      <c r="L318" s="13" t="s">
        <v>447</v>
      </c>
      <c r="M318" s="13" t="s">
        <v>1363</v>
      </c>
      <c r="N318" s="13" t="s">
        <v>9626</v>
      </c>
      <c r="P318" s="15">
        <v>367</v>
      </c>
      <c r="Q318" s="15">
        <v>42550</v>
      </c>
      <c r="R318" s="13" t="s">
        <v>10449</v>
      </c>
      <c r="S318" s="13" t="s">
        <v>1363</v>
      </c>
      <c r="T318" s="13" t="s">
        <v>10636</v>
      </c>
      <c r="U318" s="13" t="s">
        <v>9734</v>
      </c>
      <c r="V318" s="13" t="s">
        <v>9735</v>
      </c>
      <c r="W318" s="13" t="s">
        <v>9736</v>
      </c>
      <c r="X318" s="13" t="s">
        <v>9658</v>
      </c>
      <c r="Z318" s="13" t="s">
        <v>1363</v>
      </c>
      <c r="AA318" s="13" t="s">
        <v>9737</v>
      </c>
      <c r="AB318" s="13" t="s">
        <v>447</v>
      </c>
      <c r="AC318" s="21">
        <v>41394.459432870368</v>
      </c>
      <c r="AD318" s="21">
        <v>42550.737199074072</v>
      </c>
      <c r="AE318" s="13" t="s">
        <v>9629</v>
      </c>
      <c r="AF318" s="13" t="s">
        <v>9634</v>
      </c>
    </row>
    <row r="319" spans="1:32">
      <c r="A319" s="13" t="s">
        <v>10637</v>
      </c>
      <c r="B319" s="13" t="s">
        <v>1150</v>
      </c>
      <c r="C319" s="13" t="s">
        <v>1363</v>
      </c>
      <c r="D319" s="13" t="s">
        <v>1150</v>
      </c>
      <c r="E319" s="13" t="s">
        <v>1363</v>
      </c>
      <c r="F319" s="13" t="s">
        <v>447</v>
      </c>
      <c r="G319" s="13" t="s">
        <v>1363</v>
      </c>
      <c r="H319" s="13" t="s">
        <v>1381</v>
      </c>
      <c r="I319" s="13" t="s">
        <v>10638</v>
      </c>
      <c r="J319" s="13" t="s">
        <v>447</v>
      </c>
      <c r="K319" s="13" t="s">
        <v>1363</v>
      </c>
      <c r="L319" s="13" t="s">
        <v>447</v>
      </c>
      <c r="M319" s="13" t="s">
        <v>1363</v>
      </c>
      <c r="N319" s="13" t="s">
        <v>9626</v>
      </c>
      <c r="P319" s="15">
        <v>367</v>
      </c>
      <c r="Q319" s="15">
        <v>42550</v>
      </c>
      <c r="R319" s="13" t="s">
        <v>10449</v>
      </c>
      <c r="S319" s="13" t="s">
        <v>1363</v>
      </c>
      <c r="T319" s="13" t="s">
        <v>10639</v>
      </c>
      <c r="U319" s="13" t="s">
        <v>9734</v>
      </c>
      <c r="V319" s="13" t="s">
        <v>9735</v>
      </c>
      <c r="W319" s="13" t="s">
        <v>9736</v>
      </c>
      <c r="X319" s="13" t="s">
        <v>9658</v>
      </c>
      <c r="Z319" s="13" t="s">
        <v>1363</v>
      </c>
      <c r="AA319" s="13" t="s">
        <v>9737</v>
      </c>
      <c r="AB319" s="13" t="s">
        <v>447</v>
      </c>
      <c r="AC319" s="21">
        <v>41394.459432870368</v>
      </c>
      <c r="AD319" s="21">
        <v>42550.737210648149</v>
      </c>
      <c r="AE319" s="13" t="s">
        <v>9629</v>
      </c>
      <c r="AF319" s="13" t="s">
        <v>9634</v>
      </c>
    </row>
    <row r="320" spans="1:32">
      <c r="A320" s="13" t="s">
        <v>10640</v>
      </c>
      <c r="B320" s="13" t="s">
        <v>1150</v>
      </c>
      <c r="C320" s="13" t="s">
        <v>1363</v>
      </c>
      <c r="D320" s="13" t="s">
        <v>1150</v>
      </c>
      <c r="E320" s="13" t="s">
        <v>1363</v>
      </c>
      <c r="F320" s="13" t="s">
        <v>447</v>
      </c>
      <c r="G320" s="13" t="s">
        <v>1363</v>
      </c>
      <c r="H320" s="13" t="s">
        <v>1381</v>
      </c>
      <c r="I320" s="13" t="s">
        <v>10641</v>
      </c>
      <c r="J320" s="13" t="s">
        <v>447</v>
      </c>
      <c r="K320" s="13" t="s">
        <v>1363</v>
      </c>
      <c r="L320" s="13" t="s">
        <v>447</v>
      </c>
      <c r="M320" s="13" t="s">
        <v>1363</v>
      </c>
      <c r="N320" s="13" t="s">
        <v>9626</v>
      </c>
      <c r="P320" s="15">
        <v>367</v>
      </c>
      <c r="Q320" s="15">
        <v>42550</v>
      </c>
      <c r="R320" s="13" t="s">
        <v>10449</v>
      </c>
      <c r="S320" s="13" t="s">
        <v>1363</v>
      </c>
      <c r="T320" s="13" t="s">
        <v>10642</v>
      </c>
      <c r="U320" s="13" t="s">
        <v>9734</v>
      </c>
      <c r="V320" s="13" t="s">
        <v>9735</v>
      </c>
      <c r="W320" s="13" t="s">
        <v>9736</v>
      </c>
      <c r="X320" s="13" t="s">
        <v>9658</v>
      </c>
      <c r="Z320" s="13" t="s">
        <v>1363</v>
      </c>
      <c r="AA320" s="13" t="s">
        <v>9737</v>
      </c>
      <c r="AB320" s="13" t="s">
        <v>447</v>
      </c>
      <c r="AC320" s="21">
        <v>41394.459432870368</v>
      </c>
      <c r="AD320" s="21">
        <v>42550.737210648149</v>
      </c>
      <c r="AE320" s="13" t="s">
        <v>9629</v>
      </c>
      <c r="AF320" s="13" t="s">
        <v>9634</v>
      </c>
    </row>
    <row r="321" spans="1:32">
      <c r="A321" s="13" t="s">
        <v>10643</v>
      </c>
      <c r="B321" s="13" t="s">
        <v>1150</v>
      </c>
      <c r="C321" s="13" t="s">
        <v>1363</v>
      </c>
      <c r="D321" s="13" t="s">
        <v>1150</v>
      </c>
      <c r="E321" s="13" t="s">
        <v>1363</v>
      </c>
      <c r="F321" s="13" t="s">
        <v>447</v>
      </c>
      <c r="G321" s="13" t="s">
        <v>1363</v>
      </c>
      <c r="H321" s="13" t="s">
        <v>1381</v>
      </c>
      <c r="I321" s="13" t="s">
        <v>10644</v>
      </c>
      <c r="J321" s="13" t="s">
        <v>447</v>
      </c>
      <c r="K321" s="13" t="s">
        <v>1363</v>
      </c>
      <c r="L321" s="13" t="s">
        <v>447</v>
      </c>
      <c r="M321" s="13" t="s">
        <v>1363</v>
      </c>
      <c r="N321" s="13" t="s">
        <v>9626</v>
      </c>
      <c r="P321" s="15">
        <v>367</v>
      </c>
      <c r="Q321" s="15">
        <v>42550</v>
      </c>
      <c r="R321" s="13" t="s">
        <v>10449</v>
      </c>
      <c r="S321" s="13" t="s">
        <v>1363</v>
      </c>
      <c r="T321" s="13" t="s">
        <v>10645</v>
      </c>
      <c r="U321" s="13" t="s">
        <v>9734</v>
      </c>
      <c r="V321" s="13" t="s">
        <v>9735</v>
      </c>
      <c r="W321" s="13" t="s">
        <v>9736</v>
      </c>
      <c r="X321" s="13" t="s">
        <v>9658</v>
      </c>
      <c r="Z321" s="13" t="s">
        <v>1363</v>
      </c>
      <c r="AA321" s="13" t="s">
        <v>9737</v>
      </c>
      <c r="AB321" s="13" t="s">
        <v>447</v>
      </c>
      <c r="AC321" s="21">
        <v>41394.459444444445</v>
      </c>
      <c r="AD321" s="21">
        <v>42550.737210648149</v>
      </c>
      <c r="AE321" s="13" t="s">
        <v>9629</v>
      </c>
      <c r="AF321" s="13" t="s">
        <v>9634</v>
      </c>
    </row>
    <row r="322" spans="1:32">
      <c r="A322" s="13" t="s">
        <v>10646</v>
      </c>
      <c r="B322" s="13" t="s">
        <v>1150</v>
      </c>
      <c r="C322" s="13" t="s">
        <v>1363</v>
      </c>
      <c r="D322" s="13" t="s">
        <v>1150</v>
      </c>
      <c r="E322" s="13" t="s">
        <v>1363</v>
      </c>
      <c r="F322" s="13" t="s">
        <v>447</v>
      </c>
      <c r="G322" s="13" t="s">
        <v>1363</v>
      </c>
      <c r="H322" s="13" t="s">
        <v>1381</v>
      </c>
      <c r="I322" s="13" t="s">
        <v>10647</v>
      </c>
      <c r="J322" s="13" t="s">
        <v>447</v>
      </c>
      <c r="K322" s="13" t="s">
        <v>1363</v>
      </c>
      <c r="L322" s="13" t="s">
        <v>447</v>
      </c>
      <c r="M322" s="13" t="s">
        <v>1363</v>
      </c>
      <c r="N322" s="13" t="s">
        <v>9626</v>
      </c>
      <c r="P322" s="15">
        <v>367</v>
      </c>
      <c r="Q322" s="15">
        <v>42550</v>
      </c>
      <c r="R322" s="13" t="s">
        <v>10449</v>
      </c>
      <c r="S322" s="13" t="s">
        <v>1363</v>
      </c>
      <c r="T322" s="13" t="s">
        <v>10648</v>
      </c>
      <c r="U322" s="13" t="s">
        <v>9734</v>
      </c>
      <c r="V322" s="13" t="s">
        <v>9735</v>
      </c>
      <c r="W322" s="13" t="s">
        <v>9736</v>
      </c>
      <c r="X322" s="13" t="s">
        <v>9658</v>
      </c>
      <c r="Z322" s="13" t="s">
        <v>1363</v>
      </c>
      <c r="AA322" s="13" t="s">
        <v>9737</v>
      </c>
      <c r="AB322" s="13" t="s">
        <v>447</v>
      </c>
      <c r="AC322" s="21">
        <v>41394.459444444445</v>
      </c>
      <c r="AD322" s="21">
        <v>42550.737210648149</v>
      </c>
      <c r="AE322" s="13" t="s">
        <v>9629</v>
      </c>
      <c r="AF322" s="13" t="s">
        <v>9634</v>
      </c>
    </row>
    <row r="323" spans="1:32">
      <c r="A323" s="13" t="s">
        <v>10649</v>
      </c>
      <c r="B323" s="13" t="s">
        <v>1150</v>
      </c>
      <c r="C323" s="13" t="s">
        <v>1363</v>
      </c>
      <c r="D323" s="13" t="s">
        <v>1150</v>
      </c>
      <c r="E323" s="13" t="s">
        <v>1363</v>
      </c>
      <c r="F323" s="13" t="s">
        <v>447</v>
      </c>
      <c r="G323" s="13" t="s">
        <v>1363</v>
      </c>
      <c r="H323" s="13" t="s">
        <v>1381</v>
      </c>
      <c r="I323" s="13" t="s">
        <v>10650</v>
      </c>
      <c r="J323" s="13" t="s">
        <v>447</v>
      </c>
      <c r="K323" s="13" t="s">
        <v>1363</v>
      </c>
      <c r="L323" s="13" t="s">
        <v>447</v>
      </c>
      <c r="M323" s="13" t="s">
        <v>1363</v>
      </c>
      <c r="N323" s="13" t="s">
        <v>9626</v>
      </c>
      <c r="P323" s="15">
        <v>367</v>
      </c>
      <c r="Q323" s="15">
        <v>42550</v>
      </c>
      <c r="R323" s="13" t="s">
        <v>10449</v>
      </c>
      <c r="S323" s="13" t="s">
        <v>1363</v>
      </c>
      <c r="T323" s="13" t="s">
        <v>10651</v>
      </c>
      <c r="U323" s="13" t="s">
        <v>9734</v>
      </c>
      <c r="V323" s="13" t="s">
        <v>9735</v>
      </c>
      <c r="W323" s="13" t="s">
        <v>9736</v>
      </c>
      <c r="X323" s="13" t="s">
        <v>9658</v>
      </c>
      <c r="Z323" s="13" t="s">
        <v>1363</v>
      </c>
      <c r="AA323" s="13" t="s">
        <v>9737</v>
      </c>
      <c r="AB323" s="13" t="s">
        <v>447</v>
      </c>
      <c r="AC323" s="21">
        <v>41394.459444444445</v>
      </c>
      <c r="AD323" s="21">
        <v>42550.737222222226</v>
      </c>
      <c r="AE323" s="13" t="s">
        <v>9629</v>
      </c>
      <c r="AF323" s="13" t="s">
        <v>9634</v>
      </c>
    </row>
    <row r="324" spans="1:32">
      <c r="A324" s="13" t="s">
        <v>10652</v>
      </c>
      <c r="B324" s="13" t="s">
        <v>1150</v>
      </c>
      <c r="C324" s="13" t="s">
        <v>1363</v>
      </c>
      <c r="D324" s="13" t="s">
        <v>1150</v>
      </c>
      <c r="E324" s="13" t="s">
        <v>1363</v>
      </c>
      <c r="F324" s="13" t="s">
        <v>447</v>
      </c>
      <c r="G324" s="13" t="s">
        <v>1363</v>
      </c>
      <c r="H324" s="13" t="s">
        <v>1381</v>
      </c>
      <c r="I324" s="13" t="s">
        <v>10653</v>
      </c>
      <c r="J324" s="13" t="s">
        <v>447</v>
      </c>
      <c r="K324" s="13" t="s">
        <v>1363</v>
      </c>
      <c r="L324" s="13" t="s">
        <v>447</v>
      </c>
      <c r="M324" s="13" t="s">
        <v>1363</v>
      </c>
      <c r="N324" s="13" t="s">
        <v>9626</v>
      </c>
      <c r="P324" s="15">
        <v>367</v>
      </c>
      <c r="Q324" s="15">
        <v>42550</v>
      </c>
      <c r="R324" s="13" t="s">
        <v>10449</v>
      </c>
      <c r="S324" s="13" t="s">
        <v>1363</v>
      </c>
      <c r="T324" s="13" t="s">
        <v>10654</v>
      </c>
      <c r="U324" s="13" t="s">
        <v>9734</v>
      </c>
      <c r="V324" s="13" t="s">
        <v>9735</v>
      </c>
      <c r="W324" s="13" t="s">
        <v>9736</v>
      </c>
      <c r="X324" s="13" t="s">
        <v>9658</v>
      </c>
      <c r="Z324" s="13" t="s">
        <v>1363</v>
      </c>
      <c r="AA324" s="13" t="s">
        <v>9737</v>
      </c>
      <c r="AB324" s="13" t="s">
        <v>447</v>
      </c>
      <c r="AC324" s="21">
        <v>41394.459444444445</v>
      </c>
      <c r="AD324" s="21">
        <v>42550.737222222226</v>
      </c>
      <c r="AE324" s="13" t="s">
        <v>9629</v>
      </c>
      <c r="AF324" s="13" t="s">
        <v>9634</v>
      </c>
    </row>
    <row r="325" spans="1:32">
      <c r="A325" s="13" t="s">
        <v>10655</v>
      </c>
      <c r="B325" s="13" t="s">
        <v>1150</v>
      </c>
      <c r="C325" s="13" t="s">
        <v>1363</v>
      </c>
      <c r="D325" s="13" t="s">
        <v>1150</v>
      </c>
      <c r="E325" s="13" t="s">
        <v>1363</v>
      </c>
      <c r="F325" s="13" t="s">
        <v>447</v>
      </c>
      <c r="G325" s="13" t="s">
        <v>1363</v>
      </c>
      <c r="H325" s="13" t="s">
        <v>1381</v>
      </c>
      <c r="I325" s="13" t="s">
        <v>10656</v>
      </c>
      <c r="J325" s="13" t="s">
        <v>447</v>
      </c>
      <c r="K325" s="13" t="s">
        <v>1363</v>
      </c>
      <c r="L325" s="13" t="s">
        <v>447</v>
      </c>
      <c r="M325" s="13" t="s">
        <v>1363</v>
      </c>
      <c r="N325" s="13" t="s">
        <v>9626</v>
      </c>
      <c r="P325" s="15">
        <v>367</v>
      </c>
      <c r="Q325" s="15">
        <v>42550</v>
      </c>
      <c r="R325" s="13" t="s">
        <v>10449</v>
      </c>
      <c r="S325" s="13" t="s">
        <v>1363</v>
      </c>
      <c r="T325" s="13" t="s">
        <v>10657</v>
      </c>
      <c r="U325" s="13" t="s">
        <v>9734</v>
      </c>
      <c r="V325" s="13" t="s">
        <v>9735</v>
      </c>
      <c r="W325" s="13" t="s">
        <v>9736</v>
      </c>
      <c r="X325" s="13" t="s">
        <v>9658</v>
      </c>
      <c r="Z325" s="13" t="s">
        <v>1363</v>
      </c>
      <c r="AA325" s="13" t="s">
        <v>9737</v>
      </c>
      <c r="AB325" s="13" t="s">
        <v>447</v>
      </c>
      <c r="AC325" s="21">
        <v>41394.459444444445</v>
      </c>
      <c r="AD325" s="21">
        <v>42550.737222222226</v>
      </c>
      <c r="AE325" s="13" t="s">
        <v>9629</v>
      </c>
      <c r="AF325" s="13" t="s">
        <v>9634</v>
      </c>
    </row>
    <row r="326" spans="1:32">
      <c r="A326" s="13" t="s">
        <v>10658</v>
      </c>
      <c r="B326" s="13" t="s">
        <v>1150</v>
      </c>
      <c r="C326" s="13" t="s">
        <v>1363</v>
      </c>
      <c r="D326" s="13" t="s">
        <v>1150</v>
      </c>
      <c r="E326" s="13" t="s">
        <v>1363</v>
      </c>
      <c r="F326" s="13" t="s">
        <v>447</v>
      </c>
      <c r="G326" s="13" t="s">
        <v>1363</v>
      </c>
      <c r="H326" s="13" t="s">
        <v>1381</v>
      </c>
      <c r="I326" s="13" t="s">
        <v>10659</v>
      </c>
      <c r="J326" s="13" t="s">
        <v>447</v>
      </c>
      <c r="K326" s="13" t="s">
        <v>1363</v>
      </c>
      <c r="L326" s="13" t="s">
        <v>447</v>
      </c>
      <c r="M326" s="13" t="s">
        <v>1363</v>
      </c>
      <c r="N326" s="13" t="s">
        <v>9626</v>
      </c>
      <c r="P326" s="15">
        <v>367</v>
      </c>
      <c r="Q326" s="15">
        <v>42550</v>
      </c>
      <c r="R326" s="13" t="s">
        <v>10449</v>
      </c>
      <c r="S326" s="13" t="s">
        <v>1363</v>
      </c>
      <c r="T326" s="13" t="s">
        <v>10660</v>
      </c>
      <c r="U326" s="13" t="s">
        <v>9734</v>
      </c>
      <c r="V326" s="13" t="s">
        <v>9735</v>
      </c>
      <c r="W326" s="13" t="s">
        <v>9736</v>
      </c>
      <c r="X326" s="13" t="s">
        <v>9658</v>
      </c>
      <c r="Z326" s="13" t="s">
        <v>1363</v>
      </c>
      <c r="AA326" s="13" t="s">
        <v>9737</v>
      </c>
      <c r="AB326" s="13" t="s">
        <v>447</v>
      </c>
      <c r="AC326" s="21">
        <v>41394.459444444445</v>
      </c>
      <c r="AD326" s="21">
        <v>42550.737222222226</v>
      </c>
      <c r="AE326" s="13" t="s">
        <v>9629</v>
      </c>
      <c r="AF326" s="13" t="s">
        <v>9634</v>
      </c>
    </row>
    <row r="327" spans="1:32">
      <c r="A327" s="13" t="s">
        <v>10661</v>
      </c>
      <c r="B327" s="13" t="s">
        <v>1150</v>
      </c>
      <c r="C327" s="13" t="s">
        <v>1363</v>
      </c>
      <c r="D327" s="13" t="s">
        <v>1150</v>
      </c>
      <c r="E327" s="13" t="s">
        <v>1363</v>
      </c>
      <c r="F327" s="13" t="s">
        <v>447</v>
      </c>
      <c r="G327" s="13" t="s">
        <v>1363</v>
      </c>
      <c r="H327" s="13" t="s">
        <v>1381</v>
      </c>
      <c r="I327" s="13" t="s">
        <v>10662</v>
      </c>
      <c r="J327" s="13" t="s">
        <v>447</v>
      </c>
      <c r="K327" s="13" t="s">
        <v>1363</v>
      </c>
      <c r="L327" s="13" t="s">
        <v>447</v>
      </c>
      <c r="M327" s="13" t="s">
        <v>1363</v>
      </c>
      <c r="N327" s="13" t="s">
        <v>9626</v>
      </c>
      <c r="P327" s="15">
        <v>367</v>
      </c>
      <c r="Q327" s="15">
        <v>42550</v>
      </c>
      <c r="R327" s="13" t="s">
        <v>10449</v>
      </c>
      <c r="S327" s="13" t="s">
        <v>1363</v>
      </c>
      <c r="T327" s="13" t="s">
        <v>10663</v>
      </c>
      <c r="U327" s="13" t="s">
        <v>9734</v>
      </c>
      <c r="V327" s="13" t="s">
        <v>9735</v>
      </c>
      <c r="W327" s="13" t="s">
        <v>9736</v>
      </c>
      <c r="X327" s="13" t="s">
        <v>9658</v>
      </c>
      <c r="Z327" s="13" t="s">
        <v>1363</v>
      </c>
      <c r="AA327" s="13" t="s">
        <v>9737</v>
      </c>
      <c r="AB327" s="13" t="s">
        <v>447</v>
      </c>
      <c r="AC327" s="21">
        <v>41394.459456018521</v>
      </c>
      <c r="AD327" s="21">
        <v>42550.737233796295</v>
      </c>
      <c r="AE327" s="13" t="s">
        <v>9629</v>
      </c>
      <c r="AF327" s="13" t="s">
        <v>9634</v>
      </c>
    </row>
    <row r="328" spans="1:32">
      <c r="A328" s="13" t="s">
        <v>10664</v>
      </c>
      <c r="B328" s="13" t="s">
        <v>1150</v>
      </c>
      <c r="C328" s="13" t="s">
        <v>1363</v>
      </c>
      <c r="D328" s="13" t="s">
        <v>1150</v>
      </c>
      <c r="E328" s="13" t="s">
        <v>1363</v>
      </c>
      <c r="F328" s="13" t="s">
        <v>447</v>
      </c>
      <c r="G328" s="13" t="s">
        <v>1363</v>
      </c>
      <c r="H328" s="13" t="s">
        <v>1381</v>
      </c>
      <c r="I328" s="13" t="s">
        <v>10665</v>
      </c>
      <c r="J328" s="13" t="s">
        <v>447</v>
      </c>
      <c r="K328" s="13" t="s">
        <v>1363</v>
      </c>
      <c r="L328" s="13" t="s">
        <v>447</v>
      </c>
      <c r="M328" s="13" t="s">
        <v>1363</v>
      </c>
      <c r="N328" s="13" t="s">
        <v>9626</v>
      </c>
      <c r="P328" s="15">
        <v>367</v>
      </c>
      <c r="Q328" s="15">
        <v>42550</v>
      </c>
      <c r="R328" s="13" t="s">
        <v>10449</v>
      </c>
      <c r="S328" s="13" t="s">
        <v>1363</v>
      </c>
      <c r="T328" s="13" t="s">
        <v>10666</v>
      </c>
      <c r="U328" s="13" t="s">
        <v>9734</v>
      </c>
      <c r="V328" s="13" t="s">
        <v>9735</v>
      </c>
      <c r="W328" s="13" t="s">
        <v>9736</v>
      </c>
      <c r="X328" s="13" t="s">
        <v>9658</v>
      </c>
      <c r="Z328" s="13" t="s">
        <v>1363</v>
      </c>
      <c r="AA328" s="13" t="s">
        <v>9737</v>
      </c>
      <c r="AB328" s="13" t="s">
        <v>447</v>
      </c>
      <c r="AC328" s="21">
        <v>41394.459456018521</v>
      </c>
      <c r="AD328" s="21">
        <v>42550.737233796295</v>
      </c>
      <c r="AE328" s="13" t="s">
        <v>9629</v>
      </c>
      <c r="AF328" s="13" t="s">
        <v>9634</v>
      </c>
    </row>
    <row r="329" spans="1:32">
      <c r="A329" s="13" t="s">
        <v>10667</v>
      </c>
      <c r="B329" s="13" t="s">
        <v>1150</v>
      </c>
      <c r="C329" s="13" t="s">
        <v>1363</v>
      </c>
      <c r="D329" s="13" t="s">
        <v>1150</v>
      </c>
      <c r="E329" s="13" t="s">
        <v>1363</v>
      </c>
      <c r="F329" s="13" t="s">
        <v>447</v>
      </c>
      <c r="G329" s="13" t="s">
        <v>1363</v>
      </c>
      <c r="H329" s="13" t="s">
        <v>1381</v>
      </c>
      <c r="I329" s="13" t="s">
        <v>10668</v>
      </c>
      <c r="J329" s="13" t="s">
        <v>447</v>
      </c>
      <c r="K329" s="13" t="s">
        <v>1363</v>
      </c>
      <c r="L329" s="13" t="s">
        <v>447</v>
      </c>
      <c r="M329" s="13" t="s">
        <v>1363</v>
      </c>
      <c r="N329" s="13" t="s">
        <v>9626</v>
      </c>
      <c r="P329" s="15">
        <v>367</v>
      </c>
      <c r="Q329" s="15">
        <v>42550</v>
      </c>
      <c r="R329" s="13" t="s">
        <v>10449</v>
      </c>
      <c r="S329" s="13" t="s">
        <v>1363</v>
      </c>
      <c r="T329" s="13" t="s">
        <v>10669</v>
      </c>
      <c r="U329" s="13" t="s">
        <v>9734</v>
      </c>
      <c r="V329" s="13" t="s">
        <v>9735</v>
      </c>
      <c r="W329" s="13" t="s">
        <v>9736</v>
      </c>
      <c r="X329" s="13" t="s">
        <v>9658</v>
      </c>
      <c r="Z329" s="13" t="s">
        <v>1363</v>
      </c>
      <c r="AA329" s="13" t="s">
        <v>9737</v>
      </c>
      <c r="AB329" s="13" t="s">
        <v>447</v>
      </c>
      <c r="AC329" s="21">
        <v>41394.459456018521</v>
      </c>
      <c r="AD329" s="21">
        <v>42550.737233796295</v>
      </c>
      <c r="AE329" s="13" t="s">
        <v>9629</v>
      </c>
      <c r="AF329" s="13" t="s">
        <v>9634</v>
      </c>
    </row>
    <row r="330" spans="1:32">
      <c r="A330" s="13" t="s">
        <v>10670</v>
      </c>
      <c r="B330" s="13" t="s">
        <v>1150</v>
      </c>
      <c r="C330" s="13" t="s">
        <v>1363</v>
      </c>
      <c r="D330" s="13" t="s">
        <v>1150</v>
      </c>
      <c r="E330" s="13" t="s">
        <v>1363</v>
      </c>
      <c r="F330" s="13" t="s">
        <v>447</v>
      </c>
      <c r="G330" s="13" t="s">
        <v>1363</v>
      </c>
      <c r="H330" s="13" t="s">
        <v>1381</v>
      </c>
      <c r="I330" s="13" t="s">
        <v>10671</v>
      </c>
      <c r="J330" s="13" t="s">
        <v>447</v>
      </c>
      <c r="K330" s="13" t="s">
        <v>1363</v>
      </c>
      <c r="L330" s="13" t="s">
        <v>447</v>
      </c>
      <c r="M330" s="13" t="s">
        <v>1363</v>
      </c>
      <c r="N330" s="13" t="s">
        <v>9626</v>
      </c>
      <c r="P330" s="15">
        <v>367</v>
      </c>
      <c r="Q330" s="15">
        <v>42550</v>
      </c>
      <c r="R330" s="13" t="s">
        <v>10449</v>
      </c>
      <c r="S330" s="13" t="s">
        <v>1363</v>
      </c>
      <c r="T330" s="13" t="s">
        <v>10672</v>
      </c>
      <c r="U330" s="13" t="s">
        <v>9734</v>
      </c>
      <c r="V330" s="13" t="s">
        <v>9735</v>
      </c>
      <c r="W330" s="13" t="s">
        <v>9736</v>
      </c>
      <c r="X330" s="13" t="s">
        <v>9658</v>
      </c>
      <c r="Z330" s="13" t="s">
        <v>1363</v>
      </c>
      <c r="AA330" s="13" t="s">
        <v>9737</v>
      </c>
      <c r="AB330" s="13" t="s">
        <v>447</v>
      </c>
      <c r="AC330" s="21">
        <v>41394.459456018521</v>
      </c>
      <c r="AD330" s="21">
        <v>42550.737245370372</v>
      </c>
      <c r="AE330" s="13" t="s">
        <v>9629</v>
      </c>
      <c r="AF330" s="13" t="s">
        <v>9634</v>
      </c>
    </row>
    <row r="331" spans="1:32">
      <c r="A331" s="13" t="s">
        <v>10673</v>
      </c>
      <c r="B331" s="13" t="s">
        <v>1150</v>
      </c>
      <c r="C331" s="13" t="s">
        <v>1363</v>
      </c>
      <c r="D331" s="13" t="s">
        <v>1150</v>
      </c>
      <c r="E331" s="13" t="s">
        <v>1363</v>
      </c>
      <c r="F331" s="13" t="s">
        <v>447</v>
      </c>
      <c r="G331" s="13" t="s">
        <v>1363</v>
      </c>
      <c r="H331" s="13" t="s">
        <v>1381</v>
      </c>
      <c r="I331" s="13" t="s">
        <v>10674</v>
      </c>
      <c r="J331" s="13" t="s">
        <v>447</v>
      </c>
      <c r="K331" s="13" t="s">
        <v>1363</v>
      </c>
      <c r="L331" s="13" t="s">
        <v>447</v>
      </c>
      <c r="M331" s="13" t="s">
        <v>1363</v>
      </c>
      <c r="N331" s="13" t="s">
        <v>9626</v>
      </c>
      <c r="P331" s="15">
        <v>367</v>
      </c>
      <c r="Q331" s="15">
        <v>42550</v>
      </c>
      <c r="R331" s="13" t="s">
        <v>10675</v>
      </c>
      <c r="S331" s="13" t="s">
        <v>1363</v>
      </c>
      <c r="T331" s="13" t="s">
        <v>10676</v>
      </c>
      <c r="U331" s="13" t="s">
        <v>9734</v>
      </c>
      <c r="V331" s="13" t="s">
        <v>9735</v>
      </c>
      <c r="W331" s="13" t="s">
        <v>9736</v>
      </c>
      <c r="X331" s="13" t="s">
        <v>9658</v>
      </c>
      <c r="Z331" s="13" t="s">
        <v>1363</v>
      </c>
      <c r="AA331" s="13" t="s">
        <v>9737</v>
      </c>
      <c r="AB331" s="13" t="s">
        <v>447</v>
      </c>
      <c r="AC331" s="21">
        <v>41394.460868055554</v>
      </c>
      <c r="AD331" s="21">
        <v>42550.737245370372</v>
      </c>
      <c r="AE331" s="13" t="s">
        <v>9629</v>
      </c>
      <c r="AF331" s="13" t="s">
        <v>9634</v>
      </c>
    </row>
    <row r="332" spans="1:32">
      <c r="A332" s="13" t="s">
        <v>10677</v>
      </c>
      <c r="B332" s="13" t="s">
        <v>1150</v>
      </c>
      <c r="C332" s="13" t="s">
        <v>1363</v>
      </c>
      <c r="D332" s="13" t="s">
        <v>1150</v>
      </c>
      <c r="E332" s="13" t="s">
        <v>1363</v>
      </c>
      <c r="F332" s="13" t="s">
        <v>447</v>
      </c>
      <c r="G332" s="13" t="s">
        <v>1363</v>
      </c>
      <c r="H332" s="13" t="s">
        <v>1381</v>
      </c>
      <c r="I332" s="13" t="s">
        <v>10678</v>
      </c>
      <c r="J332" s="13" t="s">
        <v>447</v>
      </c>
      <c r="K332" s="13" t="s">
        <v>1363</v>
      </c>
      <c r="L332" s="13" t="s">
        <v>447</v>
      </c>
      <c r="M332" s="13" t="s">
        <v>1363</v>
      </c>
      <c r="N332" s="13" t="s">
        <v>9626</v>
      </c>
      <c r="P332" s="15">
        <v>367</v>
      </c>
      <c r="Q332" s="15">
        <v>42550</v>
      </c>
      <c r="R332" s="13" t="s">
        <v>10675</v>
      </c>
      <c r="S332" s="13" t="s">
        <v>1363</v>
      </c>
      <c r="T332" s="13" t="s">
        <v>10679</v>
      </c>
      <c r="U332" s="13" t="s">
        <v>9734</v>
      </c>
      <c r="V332" s="13" t="s">
        <v>9735</v>
      </c>
      <c r="W332" s="13" t="s">
        <v>9736</v>
      </c>
      <c r="X332" s="13" t="s">
        <v>9658</v>
      </c>
      <c r="Z332" s="13" t="s">
        <v>1363</v>
      </c>
      <c r="AA332" s="13" t="s">
        <v>9737</v>
      </c>
      <c r="AB332" s="13" t="s">
        <v>447</v>
      </c>
      <c r="AC332" s="21">
        <v>41394.460868055554</v>
      </c>
      <c r="AD332" s="21">
        <v>42550.737245370372</v>
      </c>
      <c r="AE332" s="13" t="s">
        <v>9629</v>
      </c>
      <c r="AF332" s="13" t="s">
        <v>9634</v>
      </c>
    </row>
    <row r="333" spans="1:32">
      <c r="A333" s="13" t="s">
        <v>10680</v>
      </c>
      <c r="B333" s="13" t="s">
        <v>1150</v>
      </c>
      <c r="C333" s="13" t="s">
        <v>1363</v>
      </c>
      <c r="D333" s="13" t="s">
        <v>1150</v>
      </c>
      <c r="E333" s="13" t="s">
        <v>1363</v>
      </c>
      <c r="F333" s="13" t="s">
        <v>447</v>
      </c>
      <c r="G333" s="13" t="s">
        <v>1363</v>
      </c>
      <c r="H333" s="13" t="s">
        <v>1381</v>
      </c>
      <c r="I333" s="13" t="s">
        <v>10681</v>
      </c>
      <c r="J333" s="13" t="s">
        <v>447</v>
      </c>
      <c r="K333" s="13" t="s">
        <v>1363</v>
      </c>
      <c r="L333" s="13" t="s">
        <v>447</v>
      </c>
      <c r="M333" s="13" t="s">
        <v>1363</v>
      </c>
      <c r="N333" s="13" t="s">
        <v>9626</v>
      </c>
      <c r="P333" s="15">
        <v>367</v>
      </c>
      <c r="Q333" s="15">
        <v>42550</v>
      </c>
      <c r="R333" s="13" t="s">
        <v>10675</v>
      </c>
      <c r="S333" s="13" t="s">
        <v>1363</v>
      </c>
      <c r="T333" s="13" t="s">
        <v>10682</v>
      </c>
      <c r="U333" s="13" t="s">
        <v>9734</v>
      </c>
      <c r="V333" s="13" t="s">
        <v>9735</v>
      </c>
      <c r="W333" s="13" t="s">
        <v>9736</v>
      </c>
      <c r="X333" s="13" t="s">
        <v>9658</v>
      </c>
      <c r="Z333" s="13" t="s">
        <v>1363</v>
      </c>
      <c r="AA333" s="13" t="s">
        <v>9737</v>
      </c>
      <c r="AB333" s="13" t="s">
        <v>447</v>
      </c>
      <c r="AC333" s="21">
        <v>41394.460879629631</v>
      </c>
      <c r="AD333" s="21">
        <v>42550.737245370372</v>
      </c>
      <c r="AE333" s="13" t="s">
        <v>9629</v>
      </c>
      <c r="AF333" s="13" t="s">
        <v>9634</v>
      </c>
    </row>
    <row r="334" spans="1:32">
      <c r="A334" s="13" t="s">
        <v>10683</v>
      </c>
      <c r="B334" s="13" t="s">
        <v>1150</v>
      </c>
      <c r="C334" s="13" t="s">
        <v>1363</v>
      </c>
      <c r="D334" s="13" t="s">
        <v>1150</v>
      </c>
      <c r="E334" s="13" t="s">
        <v>1363</v>
      </c>
      <c r="F334" s="13" t="s">
        <v>447</v>
      </c>
      <c r="G334" s="13" t="s">
        <v>1363</v>
      </c>
      <c r="H334" s="13" t="s">
        <v>1381</v>
      </c>
      <c r="I334" s="13" t="s">
        <v>10684</v>
      </c>
      <c r="J334" s="13" t="s">
        <v>447</v>
      </c>
      <c r="K334" s="13" t="s">
        <v>1363</v>
      </c>
      <c r="L334" s="13" t="s">
        <v>447</v>
      </c>
      <c r="M334" s="13" t="s">
        <v>1363</v>
      </c>
      <c r="N334" s="13" t="s">
        <v>9626</v>
      </c>
      <c r="P334" s="15">
        <v>367</v>
      </c>
      <c r="Q334" s="15">
        <v>42550</v>
      </c>
      <c r="R334" s="13" t="s">
        <v>10675</v>
      </c>
      <c r="S334" s="13" t="s">
        <v>1363</v>
      </c>
      <c r="T334" s="13" t="s">
        <v>10685</v>
      </c>
      <c r="U334" s="13" t="s">
        <v>9734</v>
      </c>
      <c r="V334" s="13" t="s">
        <v>9735</v>
      </c>
      <c r="W334" s="13" t="s">
        <v>9736</v>
      </c>
      <c r="X334" s="13" t="s">
        <v>9658</v>
      </c>
      <c r="Z334" s="13" t="s">
        <v>1363</v>
      </c>
      <c r="AA334" s="13" t="s">
        <v>9737</v>
      </c>
      <c r="AB334" s="13" t="s">
        <v>447</v>
      </c>
      <c r="AC334" s="21">
        <v>41394.460879629631</v>
      </c>
      <c r="AD334" s="21">
        <v>42550.737245370372</v>
      </c>
      <c r="AE334" s="13" t="s">
        <v>9629</v>
      </c>
      <c r="AF334" s="13" t="s">
        <v>9634</v>
      </c>
    </row>
    <row r="335" spans="1:32">
      <c r="A335" s="13" t="s">
        <v>10686</v>
      </c>
      <c r="B335" s="13" t="s">
        <v>1150</v>
      </c>
      <c r="C335" s="13" t="s">
        <v>1363</v>
      </c>
      <c r="D335" s="13" t="s">
        <v>1150</v>
      </c>
      <c r="E335" s="13" t="s">
        <v>1363</v>
      </c>
      <c r="F335" s="13" t="s">
        <v>447</v>
      </c>
      <c r="G335" s="13" t="s">
        <v>1363</v>
      </c>
      <c r="H335" s="13" t="s">
        <v>1381</v>
      </c>
      <c r="I335" s="13" t="s">
        <v>10687</v>
      </c>
      <c r="J335" s="13" t="s">
        <v>447</v>
      </c>
      <c r="K335" s="13" t="s">
        <v>1363</v>
      </c>
      <c r="L335" s="13" t="s">
        <v>447</v>
      </c>
      <c r="M335" s="13" t="s">
        <v>1363</v>
      </c>
      <c r="N335" s="13" t="s">
        <v>9626</v>
      </c>
      <c r="P335" s="15">
        <v>367</v>
      </c>
      <c r="Q335" s="15">
        <v>42550</v>
      </c>
      <c r="R335" s="13" t="s">
        <v>10675</v>
      </c>
      <c r="S335" s="13" t="s">
        <v>1363</v>
      </c>
      <c r="T335" s="13" t="s">
        <v>10688</v>
      </c>
      <c r="U335" s="13" t="s">
        <v>9734</v>
      </c>
      <c r="V335" s="13" t="s">
        <v>9735</v>
      </c>
      <c r="W335" s="13" t="s">
        <v>9736</v>
      </c>
      <c r="X335" s="13" t="s">
        <v>9658</v>
      </c>
      <c r="Z335" s="13" t="s">
        <v>1363</v>
      </c>
      <c r="AA335" s="13" t="s">
        <v>9737</v>
      </c>
      <c r="AB335" s="13" t="s">
        <v>447</v>
      </c>
      <c r="AC335" s="21">
        <v>41394.460879629631</v>
      </c>
      <c r="AD335" s="21">
        <v>42550.737256944441</v>
      </c>
      <c r="AE335" s="13" t="s">
        <v>9629</v>
      </c>
      <c r="AF335" s="13" t="s">
        <v>9634</v>
      </c>
    </row>
    <row r="336" spans="1:32">
      <c r="A336" s="13" t="s">
        <v>10689</v>
      </c>
      <c r="B336" s="13" t="s">
        <v>1150</v>
      </c>
      <c r="C336" s="13" t="s">
        <v>1363</v>
      </c>
      <c r="D336" s="13" t="s">
        <v>1150</v>
      </c>
      <c r="E336" s="13" t="s">
        <v>1363</v>
      </c>
      <c r="F336" s="13" t="s">
        <v>447</v>
      </c>
      <c r="G336" s="13" t="s">
        <v>1363</v>
      </c>
      <c r="H336" s="13" t="s">
        <v>1381</v>
      </c>
      <c r="I336" s="13" t="s">
        <v>10690</v>
      </c>
      <c r="J336" s="13" t="s">
        <v>447</v>
      </c>
      <c r="K336" s="13" t="s">
        <v>1363</v>
      </c>
      <c r="L336" s="13" t="s">
        <v>447</v>
      </c>
      <c r="M336" s="13" t="s">
        <v>1363</v>
      </c>
      <c r="N336" s="13" t="s">
        <v>9626</v>
      </c>
      <c r="P336" s="15">
        <v>367</v>
      </c>
      <c r="Q336" s="15">
        <v>42550</v>
      </c>
      <c r="R336" s="13" t="s">
        <v>10675</v>
      </c>
      <c r="S336" s="13" t="s">
        <v>1363</v>
      </c>
      <c r="T336" s="13" t="s">
        <v>10691</v>
      </c>
      <c r="U336" s="13" t="s">
        <v>9734</v>
      </c>
      <c r="V336" s="13" t="s">
        <v>9735</v>
      </c>
      <c r="W336" s="13" t="s">
        <v>9736</v>
      </c>
      <c r="X336" s="13" t="s">
        <v>9658</v>
      </c>
      <c r="Z336" s="13" t="s">
        <v>1363</v>
      </c>
      <c r="AA336" s="13" t="s">
        <v>9737</v>
      </c>
      <c r="AB336" s="13" t="s">
        <v>447</v>
      </c>
      <c r="AC336" s="21">
        <v>41394.460879629631</v>
      </c>
      <c r="AD336" s="21">
        <v>42550.737256944441</v>
      </c>
      <c r="AE336" s="13" t="s">
        <v>9629</v>
      </c>
      <c r="AF336" s="13" t="s">
        <v>9634</v>
      </c>
    </row>
    <row r="337" spans="1:32">
      <c r="A337" s="13" t="s">
        <v>10692</v>
      </c>
      <c r="B337" s="13" t="s">
        <v>1150</v>
      </c>
      <c r="C337" s="13" t="s">
        <v>1363</v>
      </c>
      <c r="D337" s="13" t="s">
        <v>1150</v>
      </c>
      <c r="E337" s="13" t="s">
        <v>1363</v>
      </c>
      <c r="F337" s="13" t="s">
        <v>447</v>
      </c>
      <c r="G337" s="13" t="s">
        <v>1363</v>
      </c>
      <c r="H337" s="13" t="s">
        <v>1381</v>
      </c>
      <c r="I337" s="13" t="s">
        <v>10693</v>
      </c>
      <c r="J337" s="13" t="s">
        <v>447</v>
      </c>
      <c r="K337" s="13" t="s">
        <v>1363</v>
      </c>
      <c r="L337" s="13" t="s">
        <v>447</v>
      </c>
      <c r="M337" s="13" t="s">
        <v>1363</v>
      </c>
      <c r="N337" s="13" t="s">
        <v>9626</v>
      </c>
      <c r="P337" s="15">
        <v>367</v>
      </c>
      <c r="Q337" s="15">
        <v>42550</v>
      </c>
      <c r="R337" s="13" t="s">
        <v>10675</v>
      </c>
      <c r="S337" s="13" t="s">
        <v>1363</v>
      </c>
      <c r="T337" s="13" t="s">
        <v>10694</v>
      </c>
      <c r="U337" s="13" t="s">
        <v>9734</v>
      </c>
      <c r="V337" s="13" t="s">
        <v>9735</v>
      </c>
      <c r="W337" s="13" t="s">
        <v>9736</v>
      </c>
      <c r="X337" s="13" t="s">
        <v>9658</v>
      </c>
      <c r="Z337" s="13" t="s">
        <v>1363</v>
      </c>
      <c r="AA337" s="13" t="s">
        <v>9737</v>
      </c>
      <c r="AB337" s="13" t="s">
        <v>447</v>
      </c>
      <c r="AC337" s="21">
        <v>41394.460879629631</v>
      </c>
      <c r="AD337" s="21">
        <v>42550.737256944441</v>
      </c>
      <c r="AE337" s="13" t="s">
        <v>9629</v>
      </c>
      <c r="AF337" s="13" t="s">
        <v>9634</v>
      </c>
    </row>
    <row r="338" spans="1:32">
      <c r="A338" s="13" t="s">
        <v>10695</v>
      </c>
      <c r="B338" s="13" t="s">
        <v>1150</v>
      </c>
      <c r="C338" s="13" t="s">
        <v>1363</v>
      </c>
      <c r="D338" s="13" t="s">
        <v>1150</v>
      </c>
      <c r="E338" s="13" t="s">
        <v>1363</v>
      </c>
      <c r="F338" s="13" t="s">
        <v>447</v>
      </c>
      <c r="G338" s="13" t="s">
        <v>1363</v>
      </c>
      <c r="H338" s="13" t="s">
        <v>1381</v>
      </c>
      <c r="I338" s="13" t="s">
        <v>10696</v>
      </c>
      <c r="J338" s="13" t="s">
        <v>447</v>
      </c>
      <c r="K338" s="13" t="s">
        <v>1363</v>
      </c>
      <c r="L338" s="13" t="s">
        <v>447</v>
      </c>
      <c r="M338" s="13" t="s">
        <v>1363</v>
      </c>
      <c r="N338" s="13" t="s">
        <v>9626</v>
      </c>
      <c r="P338" s="15">
        <v>367</v>
      </c>
      <c r="Q338" s="15">
        <v>42550</v>
      </c>
      <c r="R338" s="13" t="s">
        <v>10675</v>
      </c>
      <c r="S338" s="13" t="s">
        <v>1363</v>
      </c>
      <c r="T338" s="13" t="s">
        <v>10697</v>
      </c>
      <c r="U338" s="13" t="s">
        <v>9734</v>
      </c>
      <c r="V338" s="13" t="s">
        <v>9735</v>
      </c>
      <c r="W338" s="13" t="s">
        <v>9736</v>
      </c>
      <c r="X338" s="13" t="s">
        <v>9658</v>
      </c>
      <c r="Z338" s="13" t="s">
        <v>1363</v>
      </c>
      <c r="AA338" s="13" t="s">
        <v>9737</v>
      </c>
      <c r="AB338" s="13" t="s">
        <v>447</v>
      </c>
      <c r="AC338" s="21">
        <v>41394.460879629631</v>
      </c>
      <c r="AD338" s="21">
        <v>42550.737268518518</v>
      </c>
      <c r="AE338" s="13" t="s">
        <v>9629</v>
      </c>
      <c r="AF338" s="13" t="s">
        <v>9634</v>
      </c>
    </row>
    <row r="339" spans="1:32">
      <c r="A339" s="13" t="s">
        <v>10698</v>
      </c>
      <c r="B339" s="13" t="s">
        <v>1150</v>
      </c>
      <c r="C339" s="13" t="s">
        <v>1363</v>
      </c>
      <c r="D339" s="13" t="s">
        <v>1150</v>
      </c>
      <c r="E339" s="13" t="s">
        <v>1363</v>
      </c>
      <c r="F339" s="13" t="s">
        <v>447</v>
      </c>
      <c r="G339" s="13" t="s">
        <v>1363</v>
      </c>
      <c r="H339" s="13" t="s">
        <v>1381</v>
      </c>
      <c r="I339" s="13" t="s">
        <v>10699</v>
      </c>
      <c r="J339" s="13" t="s">
        <v>447</v>
      </c>
      <c r="K339" s="13" t="s">
        <v>1363</v>
      </c>
      <c r="L339" s="13" t="s">
        <v>447</v>
      </c>
      <c r="M339" s="13" t="s">
        <v>1363</v>
      </c>
      <c r="N339" s="13" t="s">
        <v>9626</v>
      </c>
      <c r="P339" s="15">
        <v>367</v>
      </c>
      <c r="Q339" s="15">
        <v>42550</v>
      </c>
      <c r="R339" s="13" t="s">
        <v>10675</v>
      </c>
      <c r="S339" s="13" t="s">
        <v>1363</v>
      </c>
      <c r="T339" s="13" t="s">
        <v>10700</v>
      </c>
      <c r="U339" s="13" t="s">
        <v>9734</v>
      </c>
      <c r="V339" s="13" t="s">
        <v>9735</v>
      </c>
      <c r="W339" s="13" t="s">
        <v>9736</v>
      </c>
      <c r="X339" s="13" t="s">
        <v>9658</v>
      </c>
      <c r="Z339" s="13" t="s">
        <v>1363</v>
      </c>
      <c r="AA339" s="13" t="s">
        <v>9737</v>
      </c>
      <c r="AB339" s="13" t="s">
        <v>447</v>
      </c>
      <c r="AC339" s="21">
        <v>41394.460879629631</v>
      </c>
      <c r="AD339" s="21">
        <v>42550.737268518518</v>
      </c>
      <c r="AE339" s="13" t="s">
        <v>9629</v>
      </c>
      <c r="AF339" s="13" t="s">
        <v>9634</v>
      </c>
    </row>
    <row r="340" spans="1:32">
      <c r="A340" s="13" t="s">
        <v>10701</v>
      </c>
      <c r="B340" s="13" t="s">
        <v>1150</v>
      </c>
      <c r="C340" s="13" t="s">
        <v>1363</v>
      </c>
      <c r="D340" s="13" t="s">
        <v>1150</v>
      </c>
      <c r="E340" s="13" t="s">
        <v>1363</v>
      </c>
      <c r="F340" s="13" t="s">
        <v>447</v>
      </c>
      <c r="G340" s="13" t="s">
        <v>1363</v>
      </c>
      <c r="H340" s="13" t="s">
        <v>1381</v>
      </c>
      <c r="I340" s="13" t="s">
        <v>10702</v>
      </c>
      <c r="J340" s="13" t="s">
        <v>447</v>
      </c>
      <c r="K340" s="13" t="s">
        <v>1363</v>
      </c>
      <c r="L340" s="13" t="s">
        <v>447</v>
      </c>
      <c r="M340" s="13" t="s">
        <v>1363</v>
      </c>
      <c r="N340" s="13" t="s">
        <v>9626</v>
      </c>
      <c r="P340" s="15">
        <v>367</v>
      </c>
      <c r="Q340" s="15">
        <v>42550</v>
      </c>
      <c r="R340" s="13" t="s">
        <v>10675</v>
      </c>
      <c r="S340" s="13" t="s">
        <v>1363</v>
      </c>
      <c r="T340" s="13" t="s">
        <v>10703</v>
      </c>
      <c r="U340" s="13" t="s">
        <v>9734</v>
      </c>
      <c r="V340" s="13" t="s">
        <v>9735</v>
      </c>
      <c r="W340" s="13" t="s">
        <v>9736</v>
      </c>
      <c r="X340" s="13" t="s">
        <v>9658</v>
      </c>
      <c r="Z340" s="13" t="s">
        <v>1363</v>
      </c>
      <c r="AA340" s="13" t="s">
        <v>9737</v>
      </c>
      <c r="AB340" s="13" t="s">
        <v>447</v>
      </c>
      <c r="AC340" s="21">
        <v>41394.4608912037</v>
      </c>
      <c r="AD340" s="21">
        <v>42550.737268518518</v>
      </c>
      <c r="AE340" s="13" t="s">
        <v>9629</v>
      </c>
      <c r="AF340" s="13" t="s">
        <v>9634</v>
      </c>
    </row>
    <row r="341" spans="1:32">
      <c r="A341" s="13" t="s">
        <v>10704</v>
      </c>
      <c r="B341" s="13" t="s">
        <v>1150</v>
      </c>
      <c r="C341" s="13" t="s">
        <v>1363</v>
      </c>
      <c r="D341" s="13" t="s">
        <v>1150</v>
      </c>
      <c r="E341" s="13" t="s">
        <v>1363</v>
      </c>
      <c r="F341" s="13" t="s">
        <v>447</v>
      </c>
      <c r="G341" s="13" t="s">
        <v>1363</v>
      </c>
      <c r="H341" s="13" t="s">
        <v>1381</v>
      </c>
      <c r="I341" s="13" t="s">
        <v>10705</v>
      </c>
      <c r="J341" s="13" t="s">
        <v>447</v>
      </c>
      <c r="K341" s="13" t="s">
        <v>1363</v>
      </c>
      <c r="L341" s="13" t="s">
        <v>447</v>
      </c>
      <c r="M341" s="13" t="s">
        <v>1363</v>
      </c>
      <c r="N341" s="13" t="s">
        <v>9626</v>
      </c>
      <c r="P341" s="15">
        <v>367</v>
      </c>
      <c r="Q341" s="15">
        <v>42550</v>
      </c>
      <c r="R341" s="13" t="s">
        <v>10675</v>
      </c>
      <c r="S341" s="13" t="s">
        <v>1363</v>
      </c>
      <c r="T341" s="13" t="s">
        <v>10706</v>
      </c>
      <c r="U341" s="13" t="s">
        <v>9734</v>
      </c>
      <c r="V341" s="13" t="s">
        <v>9735</v>
      </c>
      <c r="W341" s="13" t="s">
        <v>9736</v>
      </c>
      <c r="X341" s="13" t="s">
        <v>9658</v>
      </c>
      <c r="Z341" s="13" t="s">
        <v>1363</v>
      </c>
      <c r="AA341" s="13" t="s">
        <v>9737</v>
      </c>
      <c r="AB341" s="13" t="s">
        <v>447</v>
      </c>
      <c r="AC341" s="21">
        <v>41394.4608912037</v>
      </c>
      <c r="AD341" s="21">
        <v>42550.737268518518</v>
      </c>
      <c r="AE341" s="13" t="s">
        <v>9629</v>
      </c>
      <c r="AF341" s="13" t="s">
        <v>9634</v>
      </c>
    </row>
    <row r="342" spans="1:32">
      <c r="A342" s="13" t="s">
        <v>10707</v>
      </c>
      <c r="B342" s="13" t="s">
        <v>1150</v>
      </c>
      <c r="C342" s="13" t="s">
        <v>1363</v>
      </c>
      <c r="D342" s="13" t="s">
        <v>1150</v>
      </c>
      <c r="E342" s="13" t="s">
        <v>1363</v>
      </c>
      <c r="F342" s="13" t="s">
        <v>447</v>
      </c>
      <c r="G342" s="13" t="s">
        <v>1363</v>
      </c>
      <c r="H342" s="13" t="s">
        <v>1381</v>
      </c>
      <c r="I342" s="13" t="s">
        <v>10708</v>
      </c>
      <c r="J342" s="13" t="s">
        <v>447</v>
      </c>
      <c r="K342" s="13" t="s">
        <v>1363</v>
      </c>
      <c r="L342" s="13" t="s">
        <v>447</v>
      </c>
      <c r="M342" s="13" t="s">
        <v>1363</v>
      </c>
      <c r="N342" s="13" t="s">
        <v>9626</v>
      </c>
      <c r="P342" s="15">
        <v>367</v>
      </c>
      <c r="Q342" s="15">
        <v>42550</v>
      </c>
      <c r="R342" s="13" t="s">
        <v>10675</v>
      </c>
      <c r="S342" s="13" t="s">
        <v>1363</v>
      </c>
      <c r="T342" s="13" t="s">
        <v>10709</v>
      </c>
      <c r="U342" s="13" t="s">
        <v>9734</v>
      </c>
      <c r="V342" s="13" t="s">
        <v>9735</v>
      </c>
      <c r="W342" s="13" t="s">
        <v>9736</v>
      </c>
      <c r="X342" s="13" t="s">
        <v>9658</v>
      </c>
      <c r="Z342" s="13" t="s">
        <v>1363</v>
      </c>
      <c r="AA342" s="13" t="s">
        <v>9737</v>
      </c>
      <c r="AB342" s="13" t="s">
        <v>447</v>
      </c>
      <c r="AC342" s="21">
        <v>41394.4608912037</v>
      </c>
      <c r="AD342" s="21">
        <v>42550.737280092595</v>
      </c>
      <c r="AE342" s="13" t="s">
        <v>9629</v>
      </c>
      <c r="AF342" s="13" t="s">
        <v>9634</v>
      </c>
    </row>
    <row r="343" spans="1:32">
      <c r="A343" s="13" t="s">
        <v>10710</v>
      </c>
      <c r="B343" s="13" t="s">
        <v>1150</v>
      </c>
      <c r="C343" s="13" t="s">
        <v>1363</v>
      </c>
      <c r="D343" s="13" t="s">
        <v>1150</v>
      </c>
      <c r="E343" s="13" t="s">
        <v>1363</v>
      </c>
      <c r="F343" s="13" t="s">
        <v>447</v>
      </c>
      <c r="G343" s="13" t="s">
        <v>1363</v>
      </c>
      <c r="H343" s="13" t="s">
        <v>1381</v>
      </c>
      <c r="I343" s="13" t="s">
        <v>10711</v>
      </c>
      <c r="J343" s="13" t="s">
        <v>447</v>
      </c>
      <c r="K343" s="13" t="s">
        <v>1363</v>
      </c>
      <c r="L343" s="13" t="s">
        <v>447</v>
      </c>
      <c r="M343" s="13" t="s">
        <v>1363</v>
      </c>
      <c r="N343" s="13" t="s">
        <v>9626</v>
      </c>
      <c r="P343" s="15">
        <v>367</v>
      </c>
      <c r="Q343" s="15">
        <v>42550</v>
      </c>
      <c r="R343" s="13" t="s">
        <v>10675</v>
      </c>
      <c r="S343" s="13" t="s">
        <v>1363</v>
      </c>
      <c r="T343" s="13" t="s">
        <v>10712</v>
      </c>
      <c r="U343" s="13" t="s">
        <v>9734</v>
      </c>
      <c r="V343" s="13" t="s">
        <v>9735</v>
      </c>
      <c r="W343" s="13" t="s">
        <v>9736</v>
      </c>
      <c r="X343" s="13" t="s">
        <v>9658</v>
      </c>
      <c r="Z343" s="13" t="s">
        <v>1363</v>
      </c>
      <c r="AA343" s="13" t="s">
        <v>9737</v>
      </c>
      <c r="AB343" s="13" t="s">
        <v>447</v>
      </c>
      <c r="AC343" s="21">
        <v>41394.4608912037</v>
      </c>
      <c r="AD343" s="21">
        <v>42550.737280092595</v>
      </c>
      <c r="AE343" s="13" t="s">
        <v>9629</v>
      </c>
      <c r="AF343" s="13" t="s">
        <v>9634</v>
      </c>
    </row>
    <row r="344" spans="1:32">
      <c r="A344" s="13" t="s">
        <v>10713</v>
      </c>
      <c r="B344" s="13" t="s">
        <v>1150</v>
      </c>
      <c r="C344" s="13" t="s">
        <v>1363</v>
      </c>
      <c r="D344" s="13" t="s">
        <v>1150</v>
      </c>
      <c r="E344" s="13" t="s">
        <v>1363</v>
      </c>
      <c r="F344" s="13" t="s">
        <v>447</v>
      </c>
      <c r="G344" s="13" t="s">
        <v>1363</v>
      </c>
      <c r="H344" s="13" t="s">
        <v>1381</v>
      </c>
      <c r="I344" s="13" t="s">
        <v>10714</v>
      </c>
      <c r="J344" s="13" t="s">
        <v>447</v>
      </c>
      <c r="K344" s="13" t="s">
        <v>1363</v>
      </c>
      <c r="L344" s="13" t="s">
        <v>447</v>
      </c>
      <c r="M344" s="13" t="s">
        <v>1363</v>
      </c>
      <c r="N344" s="13" t="s">
        <v>9626</v>
      </c>
      <c r="P344" s="15">
        <v>367</v>
      </c>
      <c r="Q344" s="15">
        <v>42550</v>
      </c>
      <c r="R344" s="13" t="s">
        <v>10675</v>
      </c>
      <c r="S344" s="13" t="s">
        <v>1363</v>
      </c>
      <c r="T344" s="13" t="s">
        <v>10715</v>
      </c>
      <c r="U344" s="13" t="s">
        <v>9734</v>
      </c>
      <c r="V344" s="13" t="s">
        <v>9735</v>
      </c>
      <c r="W344" s="13" t="s">
        <v>9736</v>
      </c>
      <c r="X344" s="13" t="s">
        <v>9658</v>
      </c>
      <c r="Z344" s="13" t="s">
        <v>1363</v>
      </c>
      <c r="AA344" s="13" t="s">
        <v>9737</v>
      </c>
      <c r="AB344" s="13" t="s">
        <v>447</v>
      </c>
      <c r="AC344" s="21">
        <v>41394.4608912037</v>
      </c>
      <c r="AD344" s="21">
        <v>42550.737280092595</v>
      </c>
      <c r="AE344" s="13" t="s">
        <v>9629</v>
      </c>
      <c r="AF344" s="13" t="s">
        <v>9634</v>
      </c>
    </row>
    <row r="345" spans="1:32">
      <c r="A345" s="13" t="s">
        <v>10716</v>
      </c>
      <c r="B345" s="13" t="s">
        <v>1150</v>
      </c>
      <c r="C345" s="13" t="s">
        <v>1363</v>
      </c>
      <c r="D345" s="13" t="s">
        <v>1150</v>
      </c>
      <c r="E345" s="13" t="s">
        <v>1363</v>
      </c>
      <c r="F345" s="13" t="s">
        <v>447</v>
      </c>
      <c r="G345" s="13" t="s">
        <v>1363</v>
      </c>
      <c r="H345" s="13" t="s">
        <v>1381</v>
      </c>
      <c r="I345" s="13" t="s">
        <v>10717</v>
      </c>
      <c r="J345" s="13" t="s">
        <v>447</v>
      </c>
      <c r="K345" s="13" t="s">
        <v>1363</v>
      </c>
      <c r="L345" s="13" t="s">
        <v>447</v>
      </c>
      <c r="M345" s="13" t="s">
        <v>1363</v>
      </c>
      <c r="N345" s="13" t="s">
        <v>9626</v>
      </c>
      <c r="P345" s="15">
        <v>367</v>
      </c>
      <c r="Q345" s="15">
        <v>42550</v>
      </c>
      <c r="R345" s="13" t="s">
        <v>10675</v>
      </c>
      <c r="S345" s="13" t="s">
        <v>1363</v>
      </c>
      <c r="T345" s="13" t="s">
        <v>10718</v>
      </c>
      <c r="U345" s="13" t="s">
        <v>9734</v>
      </c>
      <c r="V345" s="13" t="s">
        <v>9735</v>
      </c>
      <c r="W345" s="13" t="s">
        <v>9736</v>
      </c>
      <c r="X345" s="13" t="s">
        <v>9658</v>
      </c>
      <c r="Z345" s="13" t="s">
        <v>1363</v>
      </c>
      <c r="AA345" s="13" t="s">
        <v>9737</v>
      </c>
      <c r="AB345" s="13" t="s">
        <v>447</v>
      </c>
      <c r="AC345" s="21">
        <v>41394.4608912037</v>
      </c>
      <c r="AD345" s="21">
        <v>42550.737291666665</v>
      </c>
      <c r="AE345" s="13" t="s">
        <v>9629</v>
      </c>
      <c r="AF345" s="13" t="s">
        <v>9634</v>
      </c>
    </row>
    <row r="346" spans="1:32">
      <c r="A346" s="13" t="s">
        <v>10719</v>
      </c>
      <c r="B346" s="13" t="s">
        <v>1150</v>
      </c>
      <c r="C346" s="13" t="s">
        <v>1363</v>
      </c>
      <c r="D346" s="13" t="s">
        <v>1150</v>
      </c>
      <c r="E346" s="13" t="s">
        <v>1363</v>
      </c>
      <c r="F346" s="13" t="s">
        <v>447</v>
      </c>
      <c r="G346" s="13" t="s">
        <v>1363</v>
      </c>
      <c r="H346" s="13" t="s">
        <v>1381</v>
      </c>
      <c r="I346" s="13" t="s">
        <v>10720</v>
      </c>
      <c r="J346" s="13" t="s">
        <v>447</v>
      </c>
      <c r="K346" s="13" t="s">
        <v>1363</v>
      </c>
      <c r="L346" s="13" t="s">
        <v>447</v>
      </c>
      <c r="M346" s="13" t="s">
        <v>1363</v>
      </c>
      <c r="N346" s="13" t="s">
        <v>9626</v>
      </c>
      <c r="P346" s="15">
        <v>367</v>
      </c>
      <c r="Q346" s="15">
        <v>42550</v>
      </c>
      <c r="R346" s="13" t="s">
        <v>10675</v>
      </c>
      <c r="S346" s="13" t="s">
        <v>1363</v>
      </c>
      <c r="T346" s="13" t="s">
        <v>10721</v>
      </c>
      <c r="U346" s="13" t="s">
        <v>9734</v>
      </c>
      <c r="V346" s="13" t="s">
        <v>9735</v>
      </c>
      <c r="W346" s="13" t="s">
        <v>9736</v>
      </c>
      <c r="X346" s="13" t="s">
        <v>9658</v>
      </c>
      <c r="Z346" s="13" t="s">
        <v>1363</v>
      </c>
      <c r="AA346" s="13" t="s">
        <v>9737</v>
      </c>
      <c r="AB346" s="13" t="s">
        <v>447</v>
      </c>
      <c r="AC346" s="21">
        <v>41394.460902777777</v>
      </c>
      <c r="AD346" s="21">
        <v>42550.737291666665</v>
      </c>
      <c r="AE346" s="13" t="s">
        <v>9629</v>
      </c>
      <c r="AF346" s="13" t="s">
        <v>9634</v>
      </c>
    </row>
    <row r="347" spans="1:32">
      <c r="A347" s="13" t="s">
        <v>10722</v>
      </c>
      <c r="B347" s="13" t="s">
        <v>1150</v>
      </c>
      <c r="C347" s="13" t="s">
        <v>1363</v>
      </c>
      <c r="D347" s="13" t="s">
        <v>1150</v>
      </c>
      <c r="E347" s="13" t="s">
        <v>1363</v>
      </c>
      <c r="F347" s="13" t="s">
        <v>447</v>
      </c>
      <c r="G347" s="13" t="s">
        <v>1363</v>
      </c>
      <c r="H347" s="13" t="s">
        <v>1381</v>
      </c>
      <c r="I347" s="13" t="s">
        <v>10723</v>
      </c>
      <c r="J347" s="13" t="s">
        <v>447</v>
      </c>
      <c r="K347" s="13" t="s">
        <v>1363</v>
      </c>
      <c r="L347" s="13" t="s">
        <v>447</v>
      </c>
      <c r="M347" s="13" t="s">
        <v>1363</v>
      </c>
      <c r="N347" s="13" t="s">
        <v>9626</v>
      </c>
      <c r="P347" s="15">
        <v>367</v>
      </c>
      <c r="Q347" s="15">
        <v>42550</v>
      </c>
      <c r="R347" s="13" t="s">
        <v>10675</v>
      </c>
      <c r="S347" s="13" t="s">
        <v>1363</v>
      </c>
      <c r="T347" s="13" t="s">
        <v>10724</v>
      </c>
      <c r="U347" s="13" t="s">
        <v>9734</v>
      </c>
      <c r="V347" s="13" t="s">
        <v>9735</v>
      </c>
      <c r="W347" s="13" t="s">
        <v>9736</v>
      </c>
      <c r="X347" s="13" t="s">
        <v>9658</v>
      </c>
      <c r="Z347" s="13" t="s">
        <v>1363</v>
      </c>
      <c r="AA347" s="13" t="s">
        <v>9737</v>
      </c>
      <c r="AB347" s="13" t="s">
        <v>447</v>
      </c>
      <c r="AC347" s="21">
        <v>41394.460902777777</v>
      </c>
      <c r="AD347" s="21">
        <v>42550.737291666665</v>
      </c>
      <c r="AE347" s="13" t="s">
        <v>9629</v>
      </c>
      <c r="AF347" s="13" t="s">
        <v>9634</v>
      </c>
    </row>
    <row r="348" spans="1:32">
      <c r="A348" s="13" t="s">
        <v>10725</v>
      </c>
      <c r="B348" s="13" t="s">
        <v>1150</v>
      </c>
      <c r="C348" s="13" t="s">
        <v>1363</v>
      </c>
      <c r="D348" s="13" t="s">
        <v>1150</v>
      </c>
      <c r="E348" s="13" t="s">
        <v>1363</v>
      </c>
      <c r="F348" s="13" t="s">
        <v>447</v>
      </c>
      <c r="G348" s="13" t="s">
        <v>1363</v>
      </c>
      <c r="H348" s="13" t="s">
        <v>1381</v>
      </c>
      <c r="I348" s="13" t="s">
        <v>10726</v>
      </c>
      <c r="J348" s="13" t="s">
        <v>447</v>
      </c>
      <c r="K348" s="13" t="s">
        <v>1363</v>
      </c>
      <c r="L348" s="13" t="s">
        <v>447</v>
      </c>
      <c r="M348" s="13" t="s">
        <v>1363</v>
      </c>
      <c r="N348" s="13" t="s">
        <v>9626</v>
      </c>
      <c r="P348" s="15">
        <v>367</v>
      </c>
      <c r="Q348" s="15">
        <v>42550</v>
      </c>
      <c r="R348" s="13" t="s">
        <v>10675</v>
      </c>
      <c r="S348" s="13" t="s">
        <v>1363</v>
      </c>
      <c r="T348" s="13" t="s">
        <v>10727</v>
      </c>
      <c r="U348" s="13" t="s">
        <v>9734</v>
      </c>
      <c r="V348" s="13" t="s">
        <v>9735</v>
      </c>
      <c r="W348" s="13" t="s">
        <v>9736</v>
      </c>
      <c r="X348" s="13" t="s">
        <v>9658</v>
      </c>
      <c r="Z348" s="13" t="s">
        <v>1363</v>
      </c>
      <c r="AA348" s="13" t="s">
        <v>9737</v>
      </c>
      <c r="AB348" s="13" t="s">
        <v>447</v>
      </c>
      <c r="AC348" s="21">
        <v>41394.460902777777</v>
      </c>
      <c r="AD348" s="21">
        <v>42550.737303240741</v>
      </c>
      <c r="AE348" s="13" t="s">
        <v>9629</v>
      </c>
      <c r="AF348" s="13" t="s">
        <v>9634</v>
      </c>
    </row>
    <row r="349" spans="1:32">
      <c r="A349" s="13" t="s">
        <v>10728</v>
      </c>
      <c r="B349" s="13" t="s">
        <v>1150</v>
      </c>
      <c r="C349" s="13" t="s">
        <v>1363</v>
      </c>
      <c r="D349" s="13" t="s">
        <v>1150</v>
      </c>
      <c r="E349" s="13" t="s">
        <v>1363</v>
      </c>
      <c r="F349" s="13" t="s">
        <v>447</v>
      </c>
      <c r="G349" s="13" t="s">
        <v>1363</v>
      </c>
      <c r="H349" s="13" t="s">
        <v>1381</v>
      </c>
      <c r="I349" s="13" t="s">
        <v>10729</v>
      </c>
      <c r="J349" s="13" t="s">
        <v>447</v>
      </c>
      <c r="K349" s="13" t="s">
        <v>1363</v>
      </c>
      <c r="L349" s="13" t="s">
        <v>447</v>
      </c>
      <c r="M349" s="13" t="s">
        <v>1363</v>
      </c>
      <c r="N349" s="13" t="s">
        <v>9626</v>
      </c>
      <c r="P349" s="15">
        <v>367</v>
      </c>
      <c r="Q349" s="15">
        <v>42550</v>
      </c>
      <c r="R349" s="13" t="s">
        <v>10675</v>
      </c>
      <c r="S349" s="13" t="s">
        <v>1363</v>
      </c>
      <c r="T349" s="13" t="s">
        <v>10730</v>
      </c>
      <c r="U349" s="13" t="s">
        <v>9734</v>
      </c>
      <c r="V349" s="13" t="s">
        <v>9735</v>
      </c>
      <c r="W349" s="13" t="s">
        <v>9736</v>
      </c>
      <c r="X349" s="13" t="s">
        <v>9658</v>
      </c>
      <c r="Z349" s="13" t="s">
        <v>1363</v>
      </c>
      <c r="AA349" s="13" t="s">
        <v>9737</v>
      </c>
      <c r="AB349" s="13" t="s">
        <v>447</v>
      </c>
      <c r="AC349" s="21">
        <v>41394.460902777777</v>
      </c>
      <c r="AD349" s="21">
        <v>42550.737303240741</v>
      </c>
      <c r="AE349" s="13" t="s">
        <v>9629</v>
      </c>
      <c r="AF349" s="13" t="s">
        <v>9634</v>
      </c>
    </row>
    <row r="350" spans="1:32">
      <c r="A350" s="13" t="s">
        <v>10731</v>
      </c>
      <c r="B350" s="13" t="s">
        <v>1150</v>
      </c>
      <c r="C350" s="13" t="s">
        <v>1363</v>
      </c>
      <c r="D350" s="13" t="s">
        <v>1150</v>
      </c>
      <c r="E350" s="13" t="s">
        <v>1363</v>
      </c>
      <c r="F350" s="13" t="s">
        <v>447</v>
      </c>
      <c r="G350" s="13" t="s">
        <v>1363</v>
      </c>
      <c r="H350" s="13" t="s">
        <v>1381</v>
      </c>
      <c r="I350" s="13" t="s">
        <v>10732</v>
      </c>
      <c r="J350" s="13" t="s">
        <v>447</v>
      </c>
      <c r="K350" s="13" t="s">
        <v>1363</v>
      </c>
      <c r="L350" s="13" t="s">
        <v>447</v>
      </c>
      <c r="M350" s="13" t="s">
        <v>1363</v>
      </c>
      <c r="N350" s="13" t="s">
        <v>9626</v>
      </c>
      <c r="P350" s="15">
        <v>367</v>
      </c>
      <c r="Q350" s="15">
        <v>42550</v>
      </c>
      <c r="R350" s="13" t="s">
        <v>10675</v>
      </c>
      <c r="S350" s="13" t="s">
        <v>1363</v>
      </c>
      <c r="T350" s="13" t="s">
        <v>10733</v>
      </c>
      <c r="U350" s="13" t="s">
        <v>9734</v>
      </c>
      <c r="V350" s="13" t="s">
        <v>9735</v>
      </c>
      <c r="W350" s="13" t="s">
        <v>9736</v>
      </c>
      <c r="X350" s="13" t="s">
        <v>9658</v>
      </c>
      <c r="Z350" s="13" t="s">
        <v>1363</v>
      </c>
      <c r="AA350" s="13" t="s">
        <v>9737</v>
      </c>
      <c r="AB350" s="13" t="s">
        <v>447</v>
      </c>
      <c r="AC350" s="21">
        <v>41394.460902777777</v>
      </c>
      <c r="AD350" s="21">
        <v>42550.737303240741</v>
      </c>
      <c r="AE350" s="13" t="s">
        <v>9629</v>
      </c>
      <c r="AF350" s="13" t="s">
        <v>9634</v>
      </c>
    </row>
    <row r="351" spans="1:32">
      <c r="A351" s="13" t="s">
        <v>10734</v>
      </c>
      <c r="B351" s="13" t="s">
        <v>1150</v>
      </c>
      <c r="C351" s="13" t="s">
        <v>1363</v>
      </c>
      <c r="D351" s="13" t="s">
        <v>1150</v>
      </c>
      <c r="E351" s="13" t="s">
        <v>1363</v>
      </c>
      <c r="F351" s="13" t="s">
        <v>447</v>
      </c>
      <c r="G351" s="13" t="s">
        <v>1363</v>
      </c>
      <c r="H351" s="13" t="s">
        <v>1381</v>
      </c>
      <c r="I351" s="13" t="s">
        <v>10735</v>
      </c>
      <c r="J351" s="13" t="s">
        <v>447</v>
      </c>
      <c r="K351" s="13" t="s">
        <v>1363</v>
      </c>
      <c r="L351" s="13" t="s">
        <v>447</v>
      </c>
      <c r="M351" s="13" t="s">
        <v>1363</v>
      </c>
      <c r="N351" s="13" t="s">
        <v>9626</v>
      </c>
      <c r="P351" s="15">
        <v>367</v>
      </c>
      <c r="Q351" s="15">
        <v>42550</v>
      </c>
      <c r="R351" s="13" t="s">
        <v>10675</v>
      </c>
      <c r="S351" s="13" t="s">
        <v>1363</v>
      </c>
      <c r="T351" s="13" t="s">
        <v>10736</v>
      </c>
      <c r="U351" s="13" t="s">
        <v>9734</v>
      </c>
      <c r="V351" s="13" t="s">
        <v>9735</v>
      </c>
      <c r="W351" s="13" t="s">
        <v>9736</v>
      </c>
      <c r="X351" s="13" t="s">
        <v>9658</v>
      </c>
      <c r="Z351" s="13" t="s">
        <v>1363</v>
      </c>
      <c r="AA351" s="13" t="s">
        <v>9737</v>
      </c>
      <c r="AB351" s="13" t="s">
        <v>447</v>
      </c>
      <c r="AC351" s="21">
        <v>41394.460902777777</v>
      </c>
      <c r="AD351" s="21">
        <v>42550.737303240741</v>
      </c>
      <c r="AE351" s="13" t="s">
        <v>9629</v>
      </c>
      <c r="AF351" s="13" t="s">
        <v>9634</v>
      </c>
    </row>
    <row r="352" spans="1:32">
      <c r="A352" s="13" t="s">
        <v>10737</v>
      </c>
      <c r="B352" s="13" t="s">
        <v>1150</v>
      </c>
      <c r="C352" s="13" t="s">
        <v>1363</v>
      </c>
      <c r="D352" s="13" t="s">
        <v>1150</v>
      </c>
      <c r="E352" s="13" t="s">
        <v>1363</v>
      </c>
      <c r="F352" s="13" t="s">
        <v>447</v>
      </c>
      <c r="G352" s="13" t="s">
        <v>1363</v>
      </c>
      <c r="H352" s="13" t="s">
        <v>1381</v>
      </c>
      <c r="I352" s="13" t="s">
        <v>10738</v>
      </c>
      <c r="J352" s="13" t="s">
        <v>447</v>
      </c>
      <c r="K352" s="13" t="s">
        <v>1363</v>
      </c>
      <c r="L352" s="13" t="s">
        <v>447</v>
      </c>
      <c r="M352" s="13" t="s">
        <v>1363</v>
      </c>
      <c r="N352" s="13" t="s">
        <v>9626</v>
      </c>
      <c r="P352" s="15">
        <v>367</v>
      </c>
      <c r="Q352" s="15">
        <v>42550</v>
      </c>
      <c r="R352" s="13" t="s">
        <v>10675</v>
      </c>
      <c r="S352" s="13" t="s">
        <v>1363</v>
      </c>
      <c r="T352" s="13" t="s">
        <v>10739</v>
      </c>
      <c r="U352" s="13" t="s">
        <v>9734</v>
      </c>
      <c r="V352" s="13" t="s">
        <v>9735</v>
      </c>
      <c r="W352" s="13" t="s">
        <v>9736</v>
      </c>
      <c r="X352" s="13" t="s">
        <v>9658</v>
      </c>
      <c r="Z352" s="13" t="s">
        <v>1363</v>
      </c>
      <c r="AA352" s="13" t="s">
        <v>9737</v>
      </c>
      <c r="AB352" s="13" t="s">
        <v>447</v>
      </c>
      <c r="AC352" s="21">
        <v>41394.460902777777</v>
      </c>
      <c r="AD352" s="21">
        <v>42550.737314814818</v>
      </c>
      <c r="AE352" s="13" t="s">
        <v>9629</v>
      </c>
      <c r="AF352" s="13" t="s">
        <v>9634</v>
      </c>
    </row>
    <row r="353" spans="1:32">
      <c r="A353" s="13" t="s">
        <v>10740</v>
      </c>
      <c r="B353" s="13" t="s">
        <v>1150</v>
      </c>
      <c r="C353" s="13" t="s">
        <v>1363</v>
      </c>
      <c r="D353" s="13" t="s">
        <v>1150</v>
      </c>
      <c r="E353" s="13" t="s">
        <v>1363</v>
      </c>
      <c r="F353" s="13" t="s">
        <v>447</v>
      </c>
      <c r="G353" s="13" t="s">
        <v>1363</v>
      </c>
      <c r="H353" s="13" t="s">
        <v>1381</v>
      </c>
      <c r="I353" s="13" t="s">
        <v>10741</v>
      </c>
      <c r="J353" s="13" t="s">
        <v>447</v>
      </c>
      <c r="K353" s="13" t="s">
        <v>1363</v>
      </c>
      <c r="L353" s="13" t="s">
        <v>447</v>
      </c>
      <c r="M353" s="13" t="s">
        <v>1363</v>
      </c>
      <c r="N353" s="13" t="s">
        <v>9626</v>
      </c>
      <c r="P353" s="15">
        <v>367</v>
      </c>
      <c r="Q353" s="15">
        <v>42550</v>
      </c>
      <c r="R353" s="13" t="s">
        <v>10675</v>
      </c>
      <c r="S353" s="13" t="s">
        <v>1363</v>
      </c>
      <c r="T353" s="13" t="s">
        <v>10742</v>
      </c>
      <c r="U353" s="13" t="s">
        <v>9734</v>
      </c>
      <c r="V353" s="13" t="s">
        <v>9735</v>
      </c>
      <c r="W353" s="13" t="s">
        <v>9736</v>
      </c>
      <c r="X353" s="13" t="s">
        <v>9658</v>
      </c>
      <c r="Z353" s="13" t="s">
        <v>1363</v>
      </c>
      <c r="AA353" s="13" t="s">
        <v>9737</v>
      </c>
      <c r="AB353" s="13" t="s">
        <v>447</v>
      </c>
      <c r="AC353" s="21">
        <v>41394.460914351854</v>
      </c>
      <c r="AD353" s="21">
        <v>42550.737314814818</v>
      </c>
      <c r="AE353" s="13" t="s">
        <v>9629</v>
      </c>
      <c r="AF353" s="13" t="s">
        <v>9634</v>
      </c>
    </row>
    <row r="354" spans="1:32">
      <c r="A354" s="13" t="s">
        <v>10743</v>
      </c>
      <c r="B354" s="13" t="s">
        <v>1150</v>
      </c>
      <c r="C354" s="13" t="s">
        <v>1363</v>
      </c>
      <c r="D354" s="13" t="s">
        <v>1150</v>
      </c>
      <c r="E354" s="13" t="s">
        <v>1363</v>
      </c>
      <c r="F354" s="13" t="s">
        <v>447</v>
      </c>
      <c r="G354" s="13" t="s">
        <v>1363</v>
      </c>
      <c r="H354" s="13" t="s">
        <v>1381</v>
      </c>
      <c r="I354" s="13" t="s">
        <v>10744</v>
      </c>
      <c r="J354" s="13" t="s">
        <v>447</v>
      </c>
      <c r="K354" s="13" t="s">
        <v>1363</v>
      </c>
      <c r="L354" s="13" t="s">
        <v>447</v>
      </c>
      <c r="M354" s="13" t="s">
        <v>1363</v>
      </c>
      <c r="N354" s="13" t="s">
        <v>9626</v>
      </c>
      <c r="P354" s="15">
        <v>367</v>
      </c>
      <c r="Q354" s="15">
        <v>42550</v>
      </c>
      <c r="R354" s="13" t="s">
        <v>10675</v>
      </c>
      <c r="S354" s="13" t="s">
        <v>1363</v>
      </c>
      <c r="T354" s="13" t="s">
        <v>10745</v>
      </c>
      <c r="U354" s="13" t="s">
        <v>9734</v>
      </c>
      <c r="V354" s="13" t="s">
        <v>9735</v>
      </c>
      <c r="W354" s="13" t="s">
        <v>9736</v>
      </c>
      <c r="X354" s="13" t="s">
        <v>9658</v>
      </c>
      <c r="Z354" s="13" t="s">
        <v>1363</v>
      </c>
      <c r="AA354" s="13" t="s">
        <v>9737</v>
      </c>
      <c r="AB354" s="13" t="s">
        <v>447</v>
      </c>
      <c r="AC354" s="21">
        <v>41394.460914351854</v>
      </c>
      <c r="AD354" s="21">
        <v>42550.737314814818</v>
      </c>
      <c r="AE354" s="13" t="s">
        <v>9629</v>
      </c>
      <c r="AF354" s="13" t="s">
        <v>9634</v>
      </c>
    </row>
    <row r="355" spans="1:32">
      <c r="A355" s="13" t="s">
        <v>10746</v>
      </c>
      <c r="B355" s="13" t="s">
        <v>1150</v>
      </c>
      <c r="C355" s="13" t="s">
        <v>1363</v>
      </c>
      <c r="D355" s="13" t="s">
        <v>1150</v>
      </c>
      <c r="E355" s="13" t="s">
        <v>1363</v>
      </c>
      <c r="F355" s="13" t="s">
        <v>447</v>
      </c>
      <c r="G355" s="13" t="s">
        <v>1363</v>
      </c>
      <c r="H355" s="13" t="s">
        <v>1381</v>
      </c>
      <c r="I355" s="13" t="s">
        <v>10747</v>
      </c>
      <c r="J355" s="13" t="s">
        <v>447</v>
      </c>
      <c r="K355" s="13" t="s">
        <v>1363</v>
      </c>
      <c r="L355" s="13" t="s">
        <v>447</v>
      </c>
      <c r="M355" s="13" t="s">
        <v>1363</v>
      </c>
      <c r="N355" s="13" t="s">
        <v>9626</v>
      </c>
      <c r="P355" s="15">
        <v>367</v>
      </c>
      <c r="Q355" s="15">
        <v>42550</v>
      </c>
      <c r="R355" s="13" t="s">
        <v>10675</v>
      </c>
      <c r="S355" s="13" t="s">
        <v>1363</v>
      </c>
      <c r="T355" s="13" t="s">
        <v>10748</v>
      </c>
      <c r="U355" s="13" t="s">
        <v>9734</v>
      </c>
      <c r="V355" s="13" t="s">
        <v>9735</v>
      </c>
      <c r="W355" s="13" t="s">
        <v>9736</v>
      </c>
      <c r="X355" s="13" t="s">
        <v>9658</v>
      </c>
      <c r="Z355" s="13" t="s">
        <v>1363</v>
      </c>
      <c r="AA355" s="13" t="s">
        <v>9737</v>
      </c>
      <c r="AB355" s="13" t="s">
        <v>447</v>
      </c>
      <c r="AC355" s="21">
        <v>41394.460914351854</v>
      </c>
      <c r="AD355" s="21">
        <v>42550.737326388888</v>
      </c>
      <c r="AE355" s="13" t="s">
        <v>9629</v>
      </c>
      <c r="AF355" s="13" t="s">
        <v>9634</v>
      </c>
    </row>
    <row r="356" spans="1:32">
      <c r="A356" s="13" t="s">
        <v>10749</v>
      </c>
      <c r="B356" s="13" t="s">
        <v>1150</v>
      </c>
      <c r="C356" s="13" t="s">
        <v>1363</v>
      </c>
      <c r="D356" s="13" t="s">
        <v>1150</v>
      </c>
      <c r="E356" s="13" t="s">
        <v>1363</v>
      </c>
      <c r="F356" s="13" t="s">
        <v>447</v>
      </c>
      <c r="G356" s="13" t="s">
        <v>1363</v>
      </c>
      <c r="H356" s="13" t="s">
        <v>1381</v>
      </c>
      <c r="I356" s="13" t="s">
        <v>10750</v>
      </c>
      <c r="J356" s="13" t="s">
        <v>447</v>
      </c>
      <c r="K356" s="13" t="s">
        <v>1363</v>
      </c>
      <c r="L356" s="13" t="s">
        <v>447</v>
      </c>
      <c r="M356" s="13" t="s">
        <v>1363</v>
      </c>
      <c r="N356" s="13" t="s">
        <v>9626</v>
      </c>
      <c r="P356" s="15">
        <v>367</v>
      </c>
      <c r="Q356" s="15">
        <v>42550</v>
      </c>
      <c r="R356" s="13" t="s">
        <v>10675</v>
      </c>
      <c r="S356" s="13" t="s">
        <v>1363</v>
      </c>
      <c r="T356" s="13" t="s">
        <v>10751</v>
      </c>
      <c r="U356" s="13" t="s">
        <v>9734</v>
      </c>
      <c r="V356" s="13" t="s">
        <v>9735</v>
      </c>
      <c r="W356" s="13" t="s">
        <v>9736</v>
      </c>
      <c r="X356" s="13" t="s">
        <v>9658</v>
      </c>
      <c r="Z356" s="13" t="s">
        <v>1363</v>
      </c>
      <c r="AA356" s="13" t="s">
        <v>9737</v>
      </c>
      <c r="AB356" s="13" t="s">
        <v>447</v>
      </c>
      <c r="AC356" s="21">
        <v>41394.460914351854</v>
      </c>
      <c r="AD356" s="21">
        <v>42550.737326388888</v>
      </c>
      <c r="AE356" s="13" t="s">
        <v>9629</v>
      </c>
      <c r="AF356" s="13" t="s">
        <v>9634</v>
      </c>
    </row>
    <row r="357" spans="1:32">
      <c r="A357" s="13" t="s">
        <v>10752</v>
      </c>
      <c r="B357" s="13" t="s">
        <v>1150</v>
      </c>
      <c r="C357" s="13" t="s">
        <v>1363</v>
      </c>
      <c r="D357" s="13" t="s">
        <v>1150</v>
      </c>
      <c r="E357" s="13" t="s">
        <v>1363</v>
      </c>
      <c r="F357" s="13" t="s">
        <v>447</v>
      </c>
      <c r="G357" s="13" t="s">
        <v>1363</v>
      </c>
      <c r="H357" s="13" t="s">
        <v>1381</v>
      </c>
      <c r="I357" s="13" t="s">
        <v>10753</v>
      </c>
      <c r="J357" s="13" t="s">
        <v>447</v>
      </c>
      <c r="K357" s="13" t="s">
        <v>1363</v>
      </c>
      <c r="L357" s="13" t="s">
        <v>447</v>
      </c>
      <c r="M357" s="13" t="s">
        <v>1363</v>
      </c>
      <c r="N357" s="13" t="s">
        <v>9626</v>
      </c>
      <c r="P357" s="15">
        <v>367</v>
      </c>
      <c r="Q357" s="15">
        <v>42550</v>
      </c>
      <c r="R357" s="13" t="s">
        <v>10675</v>
      </c>
      <c r="S357" s="13" t="s">
        <v>1363</v>
      </c>
      <c r="T357" s="13" t="s">
        <v>10754</v>
      </c>
      <c r="U357" s="13" t="s">
        <v>9734</v>
      </c>
      <c r="V357" s="13" t="s">
        <v>9735</v>
      </c>
      <c r="W357" s="13" t="s">
        <v>9736</v>
      </c>
      <c r="X357" s="13" t="s">
        <v>9658</v>
      </c>
      <c r="Z357" s="13" t="s">
        <v>1363</v>
      </c>
      <c r="AA357" s="13" t="s">
        <v>9737</v>
      </c>
      <c r="AB357" s="13" t="s">
        <v>447</v>
      </c>
      <c r="AC357" s="21">
        <v>41394.460914351854</v>
      </c>
      <c r="AD357" s="21">
        <v>42550.737326388888</v>
      </c>
      <c r="AE357" s="13" t="s">
        <v>9629</v>
      </c>
      <c r="AF357" s="13" t="s">
        <v>9634</v>
      </c>
    </row>
    <row r="358" spans="1:32">
      <c r="A358" s="13" t="s">
        <v>10755</v>
      </c>
      <c r="B358" s="13" t="s">
        <v>1150</v>
      </c>
      <c r="C358" s="13" t="s">
        <v>1363</v>
      </c>
      <c r="D358" s="13" t="s">
        <v>1150</v>
      </c>
      <c r="E358" s="13" t="s">
        <v>1363</v>
      </c>
      <c r="F358" s="13" t="s">
        <v>447</v>
      </c>
      <c r="G358" s="13" t="s">
        <v>1363</v>
      </c>
      <c r="H358" s="13" t="s">
        <v>1381</v>
      </c>
      <c r="I358" s="13" t="s">
        <v>10756</v>
      </c>
      <c r="J358" s="13" t="s">
        <v>447</v>
      </c>
      <c r="K358" s="13" t="s">
        <v>1363</v>
      </c>
      <c r="L358" s="13" t="s">
        <v>447</v>
      </c>
      <c r="M358" s="13" t="s">
        <v>1363</v>
      </c>
      <c r="N358" s="13" t="s">
        <v>9626</v>
      </c>
      <c r="P358" s="15">
        <v>367</v>
      </c>
      <c r="Q358" s="15">
        <v>42550</v>
      </c>
      <c r="R358" s="13" t="s">
        <v>10675</v>
      </c>
      <c r="S358" s="13" t="s">
        <v>1363</v>
      </c>
      <c r="T358" s="13" t="s">
        <v>10757</v>
      </c>
      <c r="U358" s="13" t="s">
        <v>9734</v>
      </c>
      <c r="V358" s="13" t="s">
        <v>9735</v>
      </c>
      <c r="W358" s="13" t="s">
        <v>9736</v>
      </c>
      <c r="X358" s="13" t="s">
        <v>9658</v>
      </c>
      <c r="Z358" s="13" t="s">
        <v>1363</v>
      </c>
      <c r="AA358" s="13" t="s">
        <v>9737</v>
      </c>
      <c r="AB358" s="13" t="s">
        <v>447</v>
      </c>
      <c r="AC358" s="21">
        <v>41394.460914351854</v>
      </c>
      <c r="AD358" s="21">
        <v>42550.737337962964</v>
      </c>
      <c r="AE358" s="13" t="s">
        <v>9629</v>
      </c>
      <c r="AF358" s="13" t="s">
        <v>9634</v>
      </c>
    </row>
    <row r="359" spans="1:32">
      <c r="A359" s="13" t="s">
        <v>10758</v>
      </c>
      <c r="B359" s="13" t="s">
        <v>1150</v>
      </c>
      <c r="C359" s="13" t="s">
        <v>1363</v>
      </c>
      <c r="D359" s="13" t="s">
        <v>1150</v>
      </c>
      <c r="E359" s="13" t="s">
        <v>1363</v>
      </c>
      <c r="F359" s="13" t="s">
        <v>447</v>
      </c>
      <c r="G359" s="13" t="s">
        <v>1363</v>
      </c>
      <c r="H359" s="13" t="s">
        <v>1381</v>
      </c>
      <c r="I359" s="13" t="s">
        <v>10759</v>
      </c>
      <c r="J359" s="13" t="s">
        <v>447</v>
      </c>
      <c r="K359" s="13" t="s">
        <v>1363</v>
      </c>
      <c r="L359" s="13" t="s">
        <v>447</v>
      </c>
      <c r="M359" s="13" t="s">
        <v>1363</v>
      </c>
      <c r="N359" s="13" t="s">
        <v>9626</v>
      </c>
      <c r="P359" s="15">
        <v>367</v>
      </c>
      <c r="Q359" s="15">
        <v>42550</v>
      </c>
      <c r="R359" s="13" t="s">
        <v>10675</v>
      </c>
      <c r="S359" s="13" t="s">
        <v>1363</v>
      </c>
      <c r="T359" s="13" t="s">
        <v>10760</v>
      </c>
      <c r="U359" s="13" t="s">
        <v>9734</v>
      </c>
      <c r="V359" s="13" t="s">
        <v>9735</v>
      </c>
      <c r="W359" s="13" t="s">
        <v>9736</v>
      </c>
      <c r="X359" s="13" t="s">
        <v>9658</v>
      </c>
      <c r="Z359" s="13" t="s">
        <v>1363</v>
      </c>
      <c r="AA359" s="13" t="s">
        <v>9737</v>
      </c>
      <c r="AB359" s="13" t="s">
        <v>447</v>
      </c>
      <c r="AC359" s="21">
        <v>41394.460925925923</v>
      </c>
      <c r="AD359" s="21">
        <v>42550.737337962964</v>
      </c>
      <c r="AE359" s="13" t="s">
        <v>9629</v>
      </c>
      <c r="AF359" s="13" t="s">
        <v>9634</v>
      </c>
    </row>
    <row r="360" spans="1:32">
      <c r="A360" s="13" t="s">
        <v>10761</v>
      </c>
      <c r="B360" s="13" t="s">
        <v>1150</v>
      </c>
      <c r="C360" s="13" t="s">
        <v>1363</v>
      </c>
      <c r="D360" s="13" t="s">
        <v>1150</v>
      </c>
      <c r="E360" s="13" t="s">
        <v>1363</v>
      </c>
      <c r="F360" s="13" t="s">
        <v>447</v>
      </c>
      <c r="G360" s="13" t="s">
        <v>1363</v>
      </c>
      <c r="H360" s="13" t="s">
        <v>1381</v>
      </c>
      <c r="I360" s="13" t="s">
        <v>10762</v>
      </c>
      <c r="J360" s="13" t="s">
        <v>447</v>
      </c>
      <c r="K360" s="13" t="s">
        <v>1363</v>
      </c>
      <c r="L360" s="13" t="s">
        <v>447</v>
      </c>
      <c r="M360" s="13" t="s">
        <v>1363</v>
      </c>
      <c r="N360" s="13" t="s">
        <v>9626</v>
      </c>
      <c r="P360" s="15">
        <v>367</v>
      </c>
      <c r="Q360" s="15">
        <v>42550</v>
      </c>
      <c r="R360" s="13" t="s">
        <v>10675</v>
      </c>
      <c r="S360" s="13" t="s">
        <v>1363</v>
      </c>
      <c r="T360" s="13" t="s">
        <v>10763</v>
      </c>
      <c r="U360" s="13" t="s">
        <v>9734</v>
      </c>
      <c r="V360" s="13" t="s">
        <v>9735</v>
      </c>
      <c r="W360" s="13" t="s">
        <v>9736</v>
      </c>
      <c r="X360" s="13" t="s">
        <v>9658</v>
      </c>
      <c r="Z360" s="13" t="s">
        <v>1363</v>
      </c>
      <c r="AA360" s="13" t="s">
        <v>9737</v>
      </c>
      <c r="AB360" s="13" t="s">
        <v>447</v>
      </c>
      <c r="AC360" s="21">
        <v>41394.460925925923</v>
      </c>
      <c r="AD360" s="21">
        <v>42550.737337962964</v>
      </c>
      <c r="AE360" s="13" t="s">
        <v>9629</v>
      </c>
      <c r="AF360" s="13" t="s">
        <v>9634</v>
      </c>
    </row>
    <row r="361" spans="1:32">
      <c r="A361" s="13" t="s">
        <v>10764</v>
      </c>
      <c r="B361" s="13" t="s">
        <v>1150</v>
      </c>
      <c r="C361" s="13" t="s">
        <v>1363</v>
      </c>
      <c r="D361" s="13" t="s">
        <v>1150</v>
      </c>
      <c r="E361" s="13" t="s">
        <v>1363</v>
      </c>
      <c r="F361" s="13" t="s">
        <v>447</v>
      </c>
      <c r="G361" s="13" t="s">
        <v>1363</v>
      </c>
      <c r="H361" s="13" t="s">
        <v>1381</v>
      </c>
      <c r="I361" s="13" t="s">
        <v>10765</v>
      </c>
      <c r="J361" s="13" t="s">
        <v>447</v>
      </c>
      <c r="K361" s="13" t="s">
        <v>1363</v>
      </c>
      <c r="L361" s="13" t="s">
        <v>447</v>
      </c>
      <c r="M361" s="13" t="s">
        <v>1363</v>
      </c>
      <c r="N361" s="13" t="s">
        <v>9626</v>
      </c>
      <c r="P361" s="15">
        <v>367</v>
      </c>
      <c r="Q361" s="15">
        <v>42550</v>
      </c>
      <c r="R361" s="13" t="s">
        <v>10675</v>
      </c>
      <c r="S361" s="13" t="s">
        <v>1363</v>
      </c>
      <c r="T361" s="13" t="s">
        <v>10766</v>
      </c>
      <c r="U361" s="13" t="s">
        <v>9734</v>
      </c>
      <c r="V361" s="13" t="s">
        <v>9735</v>
      </c>
      <c r="W361" s="13" t="s">
        <v>9736</v>
      </c>
      <c r="X361" s="13" t="s">
        <v>9658</v>
      </c>
      <c r="Z361" s="13" t="s">
        <v>1363</v>
      </c>
      <c r="AA361" s="13" t="s">
        <v>9737</v>
      </c>
      <c r="AB361" s="13" t="s">
        <v>447</v>
      </c>
      <c r="AC361" s="21">
        <v>41394.460925925923</v>
      </c>
      <c r="AD361" s="21">
        <v>42550.737337962964</v>
      </c>
      <c r="AE361" s="13" t="s">
        <v>9629</v>
      </c>
      <c r="AF361" s="13" t="s">
        <v>9634</v>
      </c>
    </row>
    <row r="362" spans="1:32">
      <c r="A362" s="13" t="s">
        <v>10767</v>
      </c>
      <c r="B362" s="13" t="s">
        <v>1150</v>
      </c>
      <c r="C362" s="13" t="s">
        <v>1363</v>
      </c>
      <c r="D362" s="13" t="s">
        <v>1150</v>
      </c>
      <c r="E362" s="13" t="s">
        <v>1363</v>
      </c>
      <c r="F362" s="13" t="s">
        <v>447</v>
      </c>
      <c r="G362" s="13" t="s">
        <v>1363</v>
      </c>
      <c r="H362" s="13" t="s">
        <v>1381</v>
      </c>
      <c r="I362" s="13" t="s">
        <v>10768</v>
      </c>
      <c r="J362" s="13" t="s">
        <v>447</v>
      </c>
      <c r="K362" s="13" t="s">
        <v>1363</v>
      </c>
      <c r="L362" s="13" t="s">
        <v>447</v>
      </c>
      <c r="M362" s="13" t="s">
        <v>1363</v>
      </c>
      <c r="N362" s="13" t="s">
        <v>9626</v>
      </c>
      <c r="P362" s="15">
        <v>367</v>
      </c>
      <c r="Q362" s="15">
        <v>42550</v>
      </c>
      <c r="R362" s="13" t="s">
        <v>10675</v>
      </c>
      <c r="S362" s="13" t="s">
        <v>1363</v>
      </c>
      <c r="T362" s="13" t="s">
        <v>10769</v>
      </c>
      <c r="U362" s="13" t="s">
        <v>9734</v>
      </c>
      <c r="V362" s="13" t="s">
        <v>9735</v>
      </c>
      <c r="W362" s="13" t="s">
        <v>9736</v>
      </c>
      <c r="X362" s="13" t="s">
        <v>9658</v>
      </c>
      <c r="Z362" s="13" t="s">
        <v>1363</v>
      </c>
      <c r="AA362" s="13" t="s">
        <v>9737</v>
      </c>
      <c r="AB362" s="13" t="s">
        <v>447</v>
      </c>
      <c r="AC362" s="21">
        <v>41394.460925925923</v>
      </c>
      <c r="AD362" s="21">
        <v>42550.737349537034</v>
      </c>
      <c r="AE362" s="13" t="s">
        <v>9629</v>
      </c>
      <c r="AF362" s="13" t="s">
        <v>9634</v>
      </c>
    </row>
    <row r="363" spans="1:32">
      <c r="A363" s="13" t="s">
        <v>10770</v>
      </c>
      <c r="B363" s="13" t="s">
        <v>1150</v>
      </c>
      <c r="C363" s="13" t="s">
        <v>1363</v>
      </c>
      <c r="D363" s="13" t="s">
        <v>1150</v>
      </c>
      <c r="E363" s="13" t="s">
        <v>1363</v>
      </c>
      <c r="F363" s="13" t="s">
        <v>447</v>
      </c>
      <c r="G363" s="13" t="s">
        <v>1363</v>
      </c>
      <c r="H363" s="13" t="s">
        <v>1381</v>
      </c>
      <c r="I363" s="13" t="s">
        <v>10771</v>
      </c>
      <c r="J363" s="13" t="s">
        <v>447</v>
      </c>
      <c r="K363" s="13" t="s">
        <v>1363</v>
      </c>
      <c r="L363" s="13" t="s">
        <v>447</v>
      </c>
      <c r="M363" s="13" t="s">
        <v>1363</v>
      </c>
      <c r="N363" s="13" t="s">
        <v>9626</v>
      </c>
      <c r="P363" s="15">
        <v>367</v>
      </c>
      <c r="Q363" s="15">
        <v>42550</v>
      </c>
      <c r="R363" s="13" t="s">
        <v>10675</v>
      </c>
      <c r="S363" s="13" t="s">
        <v>1363</v>
      </c>
      <c r="T363" s="13" t="s">
        <v>10772</v>
      </c>
      <c r="U363" s="13" t="s">
        <v>9734</v>
      </c>
      <c r="V363" s="13" t="s">
        <v>9735</v>
      </c>
      <c r="W363" s="13" t="s">
        <v>9736</v>
      </c>
      <c r="X363" s="13" t="s">
        <v>9658</v>
      </c>
      <c r="Z363" s="13" t="s">
        <v>1363</v>
      </c>
      <c r="AA363" s="13" t="s">
        <v>9737</v>
      </c>
      <c r="AB363" s="13" t="s">
        <v>447</v>
      </c>
      <c r="AC363" s="21">
        <v>41394.460925925923</v>
      </c>
      <c r="AD363" s="21">
        <v>42550.737349537034</v>
      </c>
      <c r="AE363" s="13" t="s">
        <v>9629</v>
      </c>
      <c r="AF363" s="13" t="s">
        <v>9634</v>
      </c>
    </row>
    <row r="364" spans="1:32">
      <c r="A364" s="13" t="s">
        <v>10773</v>
      </c>
      <c r="B364" s="13" t="s">
        <v>1150</v>
      </c>
      <c r="C364" s="13" t="s">
        <v>1363</v>
      </c>
      <c r="D364" s="13" t="s">
        <v>1150</v>
      </c>
      <c r="E364" s="13" t="s">
        <v>1363</v>
      </c>
      <c r="F364" s="13" t="s">
        <v>447</v>
      </c>
      <c r="G364" s="13" t="s">
        <v>1363</v>
      </c>
      <c r="H364" s="13" t="s">
        <v>1381</v>
      </c>
      <c r="I364" s="13" t="s">
        <v>10774</v>
      </c>
      <c r="J364" s="13" t="s">
        <v>447</v>
      </c>
      <c r="K364" s="13" t="s">
        <v>1363</v>
      </c>
      <c r="L364" s="13" t="s">
        <v>447</v>
      </c>
      <c r="M364" s="13" t="s">
        <v>1363</v>
      </c>
      <c r="N364" s="13" t="s">
        <v>9626</v>
      </c>
      <c r="P364" s="15">
        <v>367</v>
      </c>
      <c r="Q364" s="15">
        <v>42550</v>
      </c>
      <c r="R364" s="13" t="s">
        <v>10675</v>
      </c>
      <c r="S364" s="13" t="s">
        <v>1363</v>
      </c>
      <c r="T364" s="13" t="s">
        <v>10775</v>
      </c>
      <c r="U364" s="13" t="s">
        <v>9734</v>
      </c>
      <c r="V364" s="13" t="s">
        <v>9735</v>
      </c>
      <c r="W364" s="13" t="s">
        <v>9736</v>
      </c>
      <c r="X364" s="13" t="s">
        <v>9658</v>
      </c>
      <c r="Z364" s="13" t="s">
        <v>1363</v>
      </c>
      <c r="AA364" s="13" t="s">
        <v>9737</v>
      </c>
      <c r="AB364" s="13" t="s">
        <v>447</v>
      </c>
      <c r="AC364" s="21">
        <v>41394.460925925923</v>
      </c>
      <c r="AD364" s="21">
        <v>42550.737349537034</v>
      </c>
      <c r="AE364" s="13" t="s">
        <v>9629</v>
      </c>
      <c r="AF364" s="13" t="s">
        <v>9634</v>
      </c>
    </row>
    <row r="365" spans="1:32">
      <c r="A365" s="13" t="s">
        <v>10776</v>
      </c>
      <c r="B365" s="13" t="s">
        <v>1150</v>
      </c>
      <c r="C365" s="13" t="s">
        <v>1363</v>
      </c>
      <c r="D365" s="13" t="s">
        <v>1150</v>
      </c>
      <c r="E365" s="13" t="s">
        <v>1363</v>
      </c>
      <c r="F365" s="13" t="s">
        <v>447</v>
      </c>
      <c r="G365" s="13" t="s">
        <v>1363</v>
      </c>
      <c r="H365" s="13" t="s">
        <v>1381</v>
      </c>
      <c r="I365" s="13" t="s">
        <v>10777</v>
      </c>
      <c r="J365" s="13" t="s">
        <v>447</v>
      </c>
      <c r="K365" s="13" t="s">
        <v>1363</v>
      </c>
      <c r="L365" s="13" t="s">
        <v>447</v>
      </c>
      <c r="M365" s="13" t="s">
        <v>1363</v>
      </c>
      <c r="N365" s="13" t="s">
        <v>9626</v>
      </c>
      <c r="P365" s="15">
        <v>367</v>
      </c>
      <c r="Q365" s="15">
        <v>42550</v>
      </c>
      <c r="R365" s="13" t="s">
        <v>10675</v>
      </c>
      <c r="S365" s="13" t="s">
        <v>1363</v>
      </c>
      <c r="T365" s="13" t="s">
        <v>10778</v>
      </c>
      <c r="U365" s="13" t="s">
        <v>9734</v>
      </c>
      <c r="V365" s="13" t="s">
        <v>9735</v>
      </c>
      <c r="W365" s="13" t="s">
        <v>9736</v>
      </c>
      <c r="X365" s="13" t="s">
        <v>9658</v>
      </c>
      <c r="Z365" s="13" t="s">
        <v>1363</v>
      </c>
      <c r="AA365" s="13" t="s">
        <v>9737</v>
      </c>
      <c r="AB365" s="13" t="s">
        <v>447</v>
      </c>
      <c r="AC365" s="21">
        <v>41394.4609375</v>
      </c>
      <c r="AD365" s="21">
        <v>42550.737361111111</v>
      </c>
      <c r="AE365" s="13" t="s">
        <v>9629</v>
      </c>
      <c r="AF365" s="13" t="s">
        <v>9634</v>
      </c>
    </row>
    <row r="366" spans="1:32">
      <c r="A366" s="13" t="s">
        <v>10779</v>
      </c>
      <c r="B366" s="13" t="s">
        <v>1150</v>
      </c>
      <c r="C366" s="13" t="s">
        <v>1363</v>
      </c>
      <c r="D366" s="13" t="s">
        <v>1150</v>
      </c>
      <c r="E366" s="13" t="s">
        <v>1363</v>
      </c>
      <c r="F366" s="13" t="s">
        <v>447</v>
      </c>
      <c r="G366" s="13" t="s">
        <v>1363</v>
      </c>
      <c r="H366" s="13" t="s">
        <v>1381</v>
      </c>
      <c r="I366" s="13" t="s">
        <v>10780</v>
      </c>
      <c r="J366" s="13" t="s">
        <v>447</v>
      </c>
      <c r="K366" s="13" t="s">
        <v>1363</v>
      </c>
      <c r="L366" s="13" t="s">
        <v>447</v>
      </c>
      <c r="M366" s="13" t="s">
        <v>1363</v>
      </c>
      <c r="N366" s="13" t="s">
        <v>9626</v>
      </c>
      <c r="P366" s="15">
        <v>367</v>
      </c>
      <c r="Q366" s="15">
        <v>42550</v>
      </c>
      <c r="R366" s="13" t="s">
        <v>10675</v>
      </c>
      <c r="S366" s="13" t="s">
        <v>1363</v>
      </c>
      <c r="T366" s="13" t="s">
        <v>10781</v>
      </c>
      <c r="U366" s="13" t="s">
        <v>9734</v>
      </c>
      <c r="V366" s="13" t="s">
        <v>9735</v>
      </c>
      <c r="W366" s="13" t="s">
        <v>9736</v>
      </c>
      <c r="X366" s="13" t="s">
        <v>9658</v>
      </c>
      <c r="Z366" s="13" t="s">
        <v>1363</v>
      </c>
      <c r="AA366" s="13" t="s">
        <v>9737</v>
      </c>
      <c r="AB366" s="13" t="s">
        <v>447</v>
      </c>
      <c r="AC366" s="21">
        <v>41394.4609375</v>
      </c>
      <c r="AD366" s="21">
        <v>42550.737361111111</v>
      </c>
      <c r="AE366" s="13" t="s">
        <v>9629</v>
      </c>
      <c r="AF366" s="13" t="s">
        <v>9634</v>
      </c>
    </row>
    <row r="367" spans="1:32">
      <c r="A367" s="13" t="s">
        <v>10782</v>
      </c>
      <c r="B367" s="13" t="s">
        <v>1150</v>
      </c>
      <c r="C367" s="13" t="s">
        <v>1363</v>
      </c>
      <c r="D367" s="13" t="s">
        <v>1150</v>
      </c>
      <c r="E367" s="13" t="s">
        <v>1363</v>
      </c>
      <c r="F367" s="13" t="s">
        <v>447</v>
      </c>
      <c r="G367" s="13" t="s">
        <v>1363</v>
      </c>
      <c r="H367" s="13" t="s">
        <v>1381</v>
      </c>
      <c r="I367" s="13" t="s">
        <v>10783</v>
      </c>
      <c r="J367" s="13" t="s">
        <v>447</v>
      </c>
      <c r="K367" s="13" t="s">
        <v>1363</v>
      </c>
      <c r="L367" s="13" t="s">
        <v>447</v>
      </c>
      <c r="M367" s="13" t="s">
        <v>1363</v>
      </c>
      <c r="N367" s="13" t="s">
        <v>9626</v>
      </c>
      <c r="P367" s="15">
        <v>367</v>
      </c>
      <c r="Q367" s="15">
        <v>42550</v>
      </c>
      <c r="R367" s="13" t="s">
        <v>10675</v>
      </c>
      <c r="S367" s="13" t="s">
        <v>1363</v>
      </c>
      <c r="T367" s="13" t="s">
        <v>10784</v>
      </c>
      <c r="U367" s="13" t="s">
        <v>9734</v>
      </c>
      <c r="V367" s="13" t="s">
        <v>9735</v>
      </c>
      <c r="W367" s="13" t="s">
        <v>9736</v>
      </c>
      <c r="X367" s="13" t="s">
        <v>9658</v>
      </c>
      <c r="Z367" s="13" t="s">
        <v>1363</v>
      </c>
      <c r="AA367" s="13" t="s">
        <v>9737</v>
      </c>
      <c r="AB367" s="13" t="s">
        <v>447</v>
      </c>
      <c r="AC367" s="21">
        <v>41394.4609375</v>
      </c>
      <c r="AD367" s="21">
        <v>42550.737361111111</v>
      </c>
      <c r="AE367" s="13" t="s">
        <v>9629</v>
      </c>
      <c r="AF367" s="13" t="s">
        <v>9634</v>
      </c>
    </row>
    <row r="368" spans="1:32">
      <c r="A368" s="13" t="s">
        <v>10785</v>
      </c>
      <c r="B368" s="13" t="s">
        <v>1150</v>
      </c>
      <c r="C368" s="13" t="s">
        <v>1363</v>
      </c>
      <c r="D368" s="13" t="s">
        <v>1150</v>
      </c>
      <c r="E368" s="13" t="s">
        <v>1363</v>
      </c>
      <c r="F368" s="13" t="s">
        <v>447</v>
      </c>
      <c r="G368" s="13" t="s">
        <v>1363</v>
      </c>
      <c r="H368" s="13" t="s">
        <v>1381</v>
      </c>
      <c r="I368" s="13" t="s">
        <v>10786</v>
      </c>
      <c r="J368" s="13" t="s">
        <v>447</v>
      </c>
      <c r="K368" s="13" t="s">
        <v>1363</v>
      </c>
      <c r="L368" s="13" t="s">
        <v>447</v>
      </c>
      <c r="M368" s="13" t="s">
        <v>1363</v>
      </c>
      <c r="N368" s="13" t="s">
        <v>9626</v>
      </c>
      <c r="P368" s="15">
        <v>367</v>
      </c>
      <c r="Q368" s="15">
        <v>42550</v>
      </c>
      <c r="R368" s="13" t="s">
        <v>10675</v>
      </c>
      <c r="S368" s="13" t="s">
        <v>1363</v>
      </c>
      <c r="T368" s="13" t="s">
        <v>10787</v>
      </c>
      <c r="U368" s="13" t="s">
        <v>9734</v>
      </c>
      <c r="V368" s="13" t="s">
        <v>9735</v>
      </c>
      <c r="W368" s="13" t="s">
        <v>9736</v>
      </c>
      <c r="X368" s="13" t="s">
        <v>9658</v>
      </c>
      <c r="Z368" s="13" t="s">
        <v>1363</v>
      </c>
      <c r="AA368" s="13" t="s">
        <v>9737</v>
      </c>
      <c r="AB368" s="13" t="s">
        <v>447</v>
      </c>
      <c r="AC368" s="21">
        <v>41394.4609375</v>
      </c>
      <c r="AD368" s="21">
        <v>42550.737361111111</v>
      </c>
      <c r="AE368" s="13" t="s">
        <v>9629</v>
      </c>
      <c r="AF368" s="13" t="s">
        <v>9634</v>
      </c>
    </row>
    <row r="369" spans="1:32">
      <c r="A369" s="13" t="s">
        <v>10788</v>
      </c>
      <c r="B369" s="13" t="s">
        <v>1150</v>
      </c>
      <c r="C369" s="13" t="s">
        <v>1363</v>
      </c>
      <c r="D369" s="13" t="s">
        <v>1150</v>
      </c>
      <c r="E369" s="13" t="s">
        <v>1363</v>
      </c>
      <c r="F369" s="13" t="s">
        <v>447</v>
      </c>
      <c r="G369" s="13" t="s">
        <v>1363</v>
      </c>
      <c r="H369" s="13" t="s">
        <v>1381</v>
      </c>
      <c r="I369" s="13" t="s">
        <v>10789</v>
      </c>
      <c r="J369" s="13" t="s">
        <v>447</v>
      </c>
      <c r="K369" s="13" t="s">
        <v>1363</v>
      </c>
      <c r="L369" s="13" t="s">
        <v>447</v>
      </c>
      <c r="M369" s="13" t="s">
        <v>1363</v>
      </c>
      <c r="N369" s="13" t="s">
        <v>9626</v>
      </c>
      <c r="P369" s="15">
        <v>367</v>
      </c>
      <c r="Q369" s="15">
        <v>42550</v>
      </c>
      <c r="R369" s="13" t="s">
        <v>10675</v>
      </c>
      <c r="S369" s="13" t="s">
        <v>1363</v>
      </c>
      <c r="T369" s="13" t="s">
        <v>10790</v>
      </c>
      <c r="U369" s="13" t="s">
        <v>9734</v>
      </c>
      <c r="V369" s="13" t="s">
        <v>9735</v>
      </c>
      <c r="W369" s="13" t="s">
        <v>9736</v>
      </c>
      <c r="X369" s="13" t="s">
        <v>9658</v>
      </c>
      <c r="Z369" s="13" t="s">
        <v>1363</v>
      </c>
      <c r="AA369" s="13" t="s">
        <v>9737</v>
      </c>
      <c r="AB369" s="13" t="s">
        <v>447</v>
      </c>
      <c r="AC369" s="21">
        <v>41394.4609375</v>
      </c>
      <c r="AD369" s="21">
        <v>42550.737372685187</v>
      </c>
      <c r="AE369" s="13" t="s">
        <v>9629</v>
      </c>
      <c r="AF369" s="13" t="s">
        <v>9634</v>
      </c>
    </row>
    <row r="370" spans="1:32">
      <c r="A370" s="13" t="s">
        <v>10791</v>
      </c>
      <c r="B370" s="13" t="s">
        <v>1150</v>
      </c>
      <c r="C370" s="13" t="s">
        <v>1363</v>
      </c>
      <c r="D370" s="13" t="s">
        <v>1150</v>
      </c>
      <c r="E370" s="13" t="s">
        <v>1363</v>
      </c>
      <c r="F370" s="13" t="s">
        <v>447</v>
      </c>
      <c r="G370" s="13" t="s">
        <v>1363</v>
      </c>
      <c r="H370" s="13" t="s">
        <v>1381</v>
      </c>
      <c r="I370" s="13" t="s">
        <v>10792</v>
      </c>
      <c r="J370" s="13" t="s">
        <v>447</v>
      </c>
      <c r="K370" s="13" t="s">
        <v>1363</v>
      </c>
      <c r="L370" s="13" t="s">
        <v>447</v>
      </c>
      <c r="M370" s="13" t="s">
        <v>1363</v>
      </c>
      <c r="N370" s="13" t="s">
        <v>9626</v>
      </c>
      <c r="P370" s="15">
        <v>367</v>
      </c>
      <c r="Q370" s="15">
        <v>42550</v>
      </c>
      <c r="R370" s="13" t="s">
        <v>10675</v>
      </c>
      <c r="S370" s="13" t="s">
        <v>1363</v>
      </c>
      <c r="T370" s="13" t="s">
        <v>10793</v>
      </c>
      <c r="U370" s="13" t="s">
        <v>9734</v>
      </c>
      <c r="V370" s="13" t="s">
        <v>9735</v>
      </c>
      <c r="W370" s="13" t="s">
        <v>9736</v>
      </c>
      <c r="X370" s="13" t="s">
        <v>9658</v>
      </c>
      <c r="Z370" s="13" t="s">
        <v>1363</v>
      </c>
      <c r="AA370" s="13" t="s">
        <v>9737</v>
      </c>
      <c r="AB370" s="13" t="s">
        <v>447</v>
      </c>
      <c r="AC370" s="21">
        <v>41394.4609375</v>
      </c>
      <c r="AD370" s="21">
        <v>42550.737372685187</v>
      </c>
      <c r="AE370" s="13" t="s">
        <v>9629</v>
      </c>
      <c r="AF370" s="13" t="s">
        <v>9634</v>
      </c>
    </row>
    <row r="371" spans="1:32">
      <c r="A371" s="13" t="s">
        <v>10794</v>
      </c>
      <c r="B371" s="13" t="s">
        <v>1150</v>
      </c>
      <c r="C371" s="13" t="s">
        <v>1363</v>
      </c>
      <c r="D371" s="13" t="s">
        <v>1150</v>
      </c>
      <c r="E371" s="13" t="s">
        <v>1363</v>
      </c>
      <c r="F371" s="13" t="s">
        <v>447</v>
      </c>
      <c r="G371" s="13" t="s">
        <v>1363</v>
      </c>
      <c r="H371" s="13" t="s">
        <v>1381</v>
      </c>
      <c r="I371" s="13" t="s">
        <v>10795</v>
      </c>
      <c r="J371" s="13" t="s">
        <v>447</v>
      </c>
      <c r="K371" s="13" t="s">
        <v>1363</v>
      </c>
      <c r="L371" s="13" t="s">
        <v>447</v>
      </c>
      <c r="M371" s="13" t="s">
        <v>1363</v>
      </c>
      <c r="N371" s="13" t="s">
        <v>9626</v>
      </c>
      <c r="P371" s="15">
        <v>367</v>
      </c>
      <c r="Q371" s="15">
        <v>42550</v>
      </c>
      <c r="R371" s="13" t="s">
        <v>10675</v>
      </c>
      <c r="S371" s="13" t="s">
        <v>1363</v>
      </c>
      <c r="T371" s="13" t="s">
        <v>10796</v>
      </c>
      <c r="U371" s="13" t="s">
        <v>9734</v>
      </c>
      <c r="V371" s="13" t="s">
        <v>9735</v>
      </c>
      <c r="W371" s="13" t="s">
        <v>9736</v>
      </c>
      <c r="X371" s="13" t="s">
        <v>9658</v>
      </c>
      <c r="Z371" s="13" t="s">
        <v>1363</v>
      </c>
      <c r="AA371" s="13" t="s">
        <v>9737</v>
      </c>
      <c r="AB371" s="13" t="s">
        <v>447</v>
      </c>
      <c r="AC371" s="21">
        <v>41394.460949074077</v>
      </c>
      <c r="AD371" s="21">
        <v>42550.737372685187</v>
      </c>
      <c r="AE371" s="13" t="s">
        <v>9629</v>
      </c>
      <c r="AF371" s="13" t="s">
        <v>9634</v>
      </c>
    </row>
    <row r="372" spans="1:32">
      <c r="A372" s="13" t="s">
        <v>10797</v>
      </c>
      <c r="B372" s="13" t="s">
        <v>1150</v>
      </c>
      <c r="C372" s="13" t="s">
        <v>1363</v>
      </c>
      <c r="D372" s="13" t="s">
        <v>1150</v>
      </c>
      <c r="E372" s="13" t="s">
        <v>1363</v>
      </c>
      <c r="F372" s="13" t="s">
        <v>447</v>
      </c>
      <c r="G372" s="13" t="s">
        <v>1363</v>
      </c>
      <c r="H372" s="13" t="s">
        <v>1381</v>
      </c>
      <c r="I372" s="13" t="s">
        <v>10798</v>
      </c>
      <c r="J372" s="13" t="s">
        <v>447</v>
      </c>
      <c r="K372" s="13" t="s">
        <v>1363</v>
      </c>
      <c r="L372" s="13" t="s">
        <v>447</v>
      </c>
      <c r="M372" s="13" t="s">
        <v>1363</v>
      </c>
      <c r="N372" s="13" t="s">
        <v>9626</v>
      </c>
      <c r="P372" s="15">
        <v>367</v>
      </c>
      <c r="Q372" s="15">
        <v>42550</v>
      </c>
      <c r="R372" s="13" t="s">
        <v>10675</v>
      </c>
      <c r="S372" s="13" t="s">
        <v>1363</v>
      </c>
      <c r="T372" s="13" t="s">
        <v>10799</v>
      </c>
      <c r="U372" s="13" t="s">
        <v>9734</v>
      </c>
      <c r="V372" s="13" t="s">
        <v>9735</v>
      </c>
      <c r="W372" s="13" t="s">
        <v>9736</v>
      </c>
      <c r="X372" s="13" t="s">
        <v>9658</v>
      </c>
      <c r="Z372" s="13" t="s">
        <v>1363</v>
      </c>
      <c r="AA372" s="13" t="s">
        <v>9737</v>
      </c>
      <c r="AB372" s="13" t="s">
        <v>447</v>
      </c>
      <c r="AC372" s="21">
        <v>41394.460949074077</v>
      </c>
      <c r="AD372" s="21">
        <v>42550.737372685187</v>
      </c>
      <c r="AE372" s="13" t="s">
        <v>9629</v>
      </c>
      <c r="AF372" s="13" t="s">
        <v>9634</v>
      </c>
    </row>
    <row r="373" spans="1:32">
      <c r="A373" s="13" t="s">
        <v>10800</v>
      </c>
      <c r="B373" s="13" t="s">
        <v>1150</v>
      </c>
      <c r="C373" s="13" t="s">
        <v>1363</v>
      </c>
      <c r="D373" s="13" t="s">
        <v>1150</v>
      </c>
      <c r="E373" s="13" t="s">
        <v>1363</v>
      </c>
      <c r="F373" s="13" t="s">
        <v>447</v>
      </c>
      <c r="G373" s="13" t="s">
        <v>1363</v>
      </c>
      <c r="H373" s="13" t="s">
        <v>1381</v>
      </c>
      <c r="I373" s="13" t="s">
        <v>10801</v>
      </c>
      <c r="J373" s="13" t="s">
        <v>447</v>
      </c>
      <c r="K373" s="13" t="s">
        <v>1363</v>
      </c>
      <c r="L373" s="13" t="s">
        <v>447</v>
      </c>
      <c r="M373" s="13" t="s">
        <v>1363</v>
      </c>
      <c r="N373" s="13" t="s">
        <v>9626</v>
      </c>
      <c r="P373" s="15">
        <v>367</v>
      </c>
      <c r="Q373" s="15">
        <v>42550</v>
      </c>
      <c r="R373" s="13" t="s">
        <v>10675</v>
      </c>
      <c r="S373" s="13" t="s">
        <v>1363</v>
      </c>
      <c r="T373" s="13" t="s">
        <v>10802</v>
      </c>
      <c r="U373" s="13" t="s">
        <v>9734</v>
      </c>
      <c r="V373" s="13" t="s">
        <v>9735</v>
      </c>
      <c r="W373" s="13" t="s">
        <v>9736</v>
      </c>
      <c r="X373" s="13" t="s">
        <v>9658</v>
      </c>
      <c r="Z373" s="13" t="s">
        <v>1363</v>
      </c>
      <c r="AA373" s="13" t="s">
        <v>9737</v>
      </c>
      <c r="AB373" s="13" t="s">
        <v>447</v>
      </c>
      <c r="AC373" s="21">
        <v>41394.460949074077</v>
      </c>
      <c r="AD373" s="21">
        <v>42550.737384259257</v>
      </c>
      <c r="AE373" s="13" t="s">
        <v>9629</v>
      </c>
      <c r="AF373" s="13" t="s">
        <v>9634</v>
      </c>
    </row>
    <row r="374" spans="1:32">
      <c r="A374" s="13" t="s">
        <v>10803</v>
      </c>
      <c r="B374" s="13" t="s">
        <v>1150</v>
      </c>
      <c r="C374" s="13" t="s">
        <v>1363</v>
      </c>
      <c r="D374" s="13" t="s">
        <v>1150</v>
      </c>
      <c r="E374" s="13" t="s">
        <v>1363</v>
      </c>
      <c r="F374" s="13" t="s">
        <v>447</v>
      </c>
      <c r="G374" s="13" t="s">
        <v>1363</v>
      </c>
      <c r="H374" s="13" t="s">
        <v>1381</v>
      </c>
      <c r="I374" s="13" t="s">
        <v>10804</v>
      </c>
      <c r="J374" s="13" t="s">
        <v>447</v>
      </c>
      <c r="K374" s="13" t="s">
        <v>1363</v>
      </c>
      <c r="L374" s="13" t="s">
        <v>447</v>
      </c>
      <c r="M374" s="13" t="s">
        <v>1363</v>
      </c>
      <c r="N374" s="13" t="s">
        <v>9626</v>
      </c>
      <c r="P374" s="15">
        <v>367</v>
      </c>
      <c r="Q374" s="15">
        <v>42550</v>
      </c>
      <c r="R374" s="13" t="s">
        <v>10675</v>
      </c>
      <c r="S374" s="13" t="s">
        <v>1363</v>
      </c>
      <c r="T374" s="13" t="s">
        <v>10805</v>
      </c>
      <c r="U374" s="13" t="s">
        <v>9734</v>
      </c>
      <c r="V374" s="13" t="s">
        <v>9735</v>
      </c>
      <c r="W374" s="13" t="s">
        <v>9736</v>
      </c>
      <c r="X374" s="13" t="s">
        <v>9658</v>
      </c>
      <c r="Z374" s="13" t="s">
        <v>1363</v>
      </c>
      <c r="AA374" s="13" t="s">
        <v>9737</v>
      </c>
      <c r="AB374" s="13" t="s">
        <v>447</v>
      </c>
      <c r="AC374" s="21">
        <v>41394.460949074077</v>
      </c>
      <c r="AD374" s="21">
        <v>42550.737384259257</v>
      </c>
      <c r="AE374" s="13" t="s">
        <v>9629</v>
      </c>
      <c r="AF374" s="13" t="s">
        <v>9634</v>
      </c>
    </row>
    <row r="375" spans="1:32">
      <c r="A375" s="13" t="s">
        <v>10806</v>
      </c>
      <c r="B375" s="13" t="s">
        <v>1150</v>
      </c>
      <c r="C375" s="13" t="s">
        <v>1363</v>
      </c>
      <c r="D375" s="13" t="s">
        <v>1150</v>
      </c>
      <c r="E375" s="13" t="s">
        <v>1363</v>
      </c>
      <c r="F375" s="13" t="s">
        <v>447</v>
      </c>
      <c r="G375" s="13" t="s">
        <v>1363</v>
      </c>
      <c r="H375" s="13" t="s">
        <v>1381</v>
      </c>
      <c r="I375" s="13" t="s">
        <v>10807</v>
      </c>
      <c r="J375" s="13" t="s">
        <v>447</v>
      </c>
      <c r="K375" s="13" t="s">
        <v>1363</v>
      </c>
      <c r="L375" s="13" t="s">
        <v>447</v>
      </c>
      <c r="M375" s="13" t="s">
        <v>1363</v>
      </c>
      <c r="N375" s="13" t="s">
        <v>9626</v>
      </c>
      <c r="P375" s="15">
        <v>367</v>
      </c>
      <c r="Q375" s="15">
        <v>42550</v>
      </c>
      <c r="R375" s="13" t="s">
        <v>10675</v>
      </c>
      <c r="S375" s="13" t="s">
        <v>1363</v>
      </c>
      <c r="T375" s="13" t="s">
        <v>10808</v>
      </c>
      <c r="U375" s="13" t="s">
        <v>9734</v>
      </c>
      <c r="V375" s="13" t="s">
        <v>9735</v>
      </c>
      <c r="W375" s="13" t="s">
        <v>9736</v>
      </c>
      <c r="X375" s="13" t="s">
        <v>9658</v>
      </c>
      <c r="Z375" s="13" t="s">
        <v>1363</v>
      </c>
      <c r="AA375" s="13" t="s">
        <v>9737</v>
      </c>
      <c r="AB375" s="13" t="s">
        <v>447</v>
      </c>
      <c r="AC375" s="21">
        <v>41394.460949074077</v>
      </c>
      <c r="AD375" s="21">
        <v>42550.737384259257</v>
      </c>
      <c r="AE375" s="13" t="s">
        <v>9629</v>
      </c>
      <c r="AF375" s="13" t="s">
        <v>9634</v>
      </c>
    </row>
    <row r="376" spans="1:32">
      <c r="A376" s="13" t="s">
        <v>10809</v>
      </c>
      <c r="B376" s="13" t="s">
        <v>1150</v>
      </c>
      <c r="C376" s="13" t="s">
        <v>1363</v>
      </c>
      <c r="D376" s="13" t="s">
        <v>1150</v>
      </c>
      <c r="E376" s="13" t="s">
        <v>1363</v>
      </c>
      <c r="F376" s="13" t="s">
        <v>447</v>
      </c>
      <c r="G376" s="13" t="s">
        <v>1363</v>
      </c>
      <c r="H376" s="13" t="s">
        <v>1381</v>
      </c>
      <c r="I376" s="13" t="s">
        <v>10810</v>
      </c>
      <c r="J376" s="13" t="s">
        <v>447</v>
      </c>
      <c r="K376" s="13" t="s">
        <v>1363</v>
      </c>
      <c r="L376" s="13" t="s">
        <v>447</v>
      </c>
      <c r="M376" s="13" t="s">
        <v>1363</v>
      </c>
      <c r="N376" s="13" t="s">
        <v>9626</v>
      </c>
      <c r="P376" s="15">
        <v>367</v>
      </c>
      <c r="Q376" s="15">
        <v>42550</v>
      </c>
      <c r="R376" s="13" t="s">
        <v>10675</v>
      </c>
      <c r="S376" s="13" t="s">
        <v>1363</v>
      </c>
      <c r="T376" s="13" t="s">
        <v>10811</v>
      </c>
      <c r="U376" s="13" t="s">
        <v>9734</v>
      </c>
      <c r="V376" s="13" t="s">
        <v>9735</v>
      </c>
      <c r="W376" s="13" t="s">
        <v>9736</v>
      </c>
      <c r="X376" s="13" t="s">
        <v>9658</v>
      </c>
      <c r="Z376" s="13" t="s">
        <v>1363</v>
      </c>
      <c r="AA376" s="13" t="s">
        <v>9737</v>
      </c>
      <c r="AB376" s="13" t="s">
        <v>447</v>
      </c>
      <c r="AC376" s="21">
        <v>41394.460949074077</v>
      </c>
      <c r="AD376" s="21">
        <v>42550.737395833334</v>
      </c>
      <c r="AE376" s="13" t="s">
        <v>9629</v>
      </c>
      <c r="AF376" s="13" t="s">
        <v>9634</v>
      </c>
    </row>
    <row r="377" spans="1:32">
      <c r="A377" s="13" t="s">
        <v>10812</v>
      </c>
      <c r="B377" s="13" t="s">
        <v>1150</v>
      </c>
      <c r="C377" s="13" t="s">
        <v>1363</v>
      </c>
      <c r="D377" s="13" t="s">
        <v>1150</v>
      </c>
      <c r="E377" s="13" t="s">
        <v>1363</v>
      </c>
      <c r="F377" s="13" t="s">
        <v>447</v>
      </c>
      <c r="G377" s="13" t="s">
        <v>1363</v>
      </c>
      <c r="H377" s="13" t="s">
        <v>1381</v>
      </c>
      <c r="I377" s="13" t="s">
        <v>10813</v>
      </c>
      <c r="J377" s="13" t="s">
        <v>447</v>
      </c>
      <c r="K377" s="13" t="s">
        <v>1363</v>
      </c>
      <c r="L377" s="13" t="s">
        <v>447</v>
      </c>
      <c r="M377" s="13" t="s">
        <v>1363</v>
      </c>
      <c r="N377" s="13" t="s">
        <v>9626</v>
      </c>
      <c r="P377" s="15">
        <v>367</v>
      </c>
      <c r="Q377" s="15">
        <v>42550</v>
      </c>
      <c r="R377" s="13" t="s">
        <v>10675</v>
      </c>
      <c r="S377" s="13" t="s">
        <v>1363</v>
      </c>
      <c r="T377" s="13" t="s">
        <v>10814</v>
      </c>
      <c r="U377" s="13" t="s">
        <v>9734</v>
      </c>
      <c r="V377" s="13" t="s">
        <v>9735</v>
      </c>
      <c r="W377" s="13" t="s">
        <v>9736</v>
      </c>
      <c r="X377" s="13" t="s">
        <v>9658</v>
      </c>
      <c r="Z377" s="13" t="s">
        <v>1363</v>
      </c>
      <c r="AA377" s="13" t="s">
        <v>9737</v>
      </c>
      <c r="AB377" s="13" t="s">
        <v>447</v>
      </c>
      <c r="AC377" s="21">
        <v>41394.460949074077</v>
      </c>
      <c r="AD377" s="21">
        <v>42550.737395833334</v>
      </c>
      <c r="AE377" s="13" t="s">
        <v>9629</v>
      </c>
      <c r="AF377" s="13" t="s">
        <v>9634</v>
      </c>
    </row>
    <row r="378" spans="1:32">
      <c r="A378" s="13" t="s">
        <v>10815</v>
      </c>
      <c r="B378" s="13" t="s">
        <v>1150</v>
      </c>
      <c r="C378" s="13" t="s">
        <v>1363</v>
      </c>
      <c r="D378" s="13" t="s">
        <v>1150</v>
      </c>
      <c r="E378" s="13" t="s">
        <v>1363</v>
      </c>
      <c r="F378" s="13" t="s">
        <v>447</v>
      </c>
      <c r="G378" s="13" t="s">
        <v>1363</v>
      </c>
      <c r="H378" s="13" t="s">
        <v>1381</v>
      </c>
      <c r="I378" s="13" t="s">
        <v>10816</v>
      </c>
      <c r="J378" s="13" t="s">
        <v>447</v>
      </c>
      <c r="K378" s="13" t="s">
        <v>1363</v>
      </c>
      <c r="L378" s="13" t="s">
        <v>447</v>
      </c>
      <c r="M378" s="13" t="s">
        <v>1363</v>
      </c>
      <c r="N378" s="13" t="s">
        <v>9626</v>
      </c>
      <c r="P378" s="15">
        <v>367</v>
      </c>
      <c r="Q378" s="15">
        <v>42550</v>
      </c>
      <c r="R378" s="13" t="s">
        <v>10675</v>
      </c>
      <c r="S378" s="13" t="s">
        <v>1363</v>
      </c>
      <c r="T378" s="13" t="s">
        <v>10817</v>
      </c>
      <c r="U378" s="13" t="s">
        <v>9734</v>
      </c>
      <c r="V378" s="13" t="s">
        <v>9735</v>
      </c>
      <c r="W378" s="13" t="s">
        <v>9736</v>
      </c>
      <c r="X378" s="13" t="s">
        <v>9658</v>
      </c>
      <c r="Z378" s="13" t="s">
        <v>1363</v>
      </c>
      <c r="AA378" s="13" t="s">
        <v>9737</v>
      </c>
      <c r="AB378" s="13" t="s">
        <v>447</v>
      </c>
      <c r="AC378" s="21">
        <v>41394.460960648146</v>
      </c>
      <c r="AD378" s="21">
        <v>42550.737395833334</v>
      </c>
      <c r="AE378" s="13" t="s">
        <v>9629</v>
      </c>
      <c r="AF378" s="13" t="s">
        <v>9634</v>
      </c>
    </row>
    <row r="379" spans="1:32">
      <c r="A379" s="13" t="s">
        <v>10818</v>
      </c>
      <c r="B379" s="13" t="s">
        <v>1150</v>
      </c>
      <c r="C379" s="13" t="s">
        <v>1363</v>
      </c>
      <c r="D379" s="13" t="s">
        <v>1150</v>
      </c>
      <c r="E379" s="13" t="s">
        <v>1363</v>
      </c>
      <c r="F379" s="13" t="s">
        <v>447</v>
      </c>
      <c r="G379" s="13" t="s">
        <v>1363</v>
      </c>
      <c r="H379" s="13" t="s">
        <v>1381</v>
      </c>
      <c r="I379" s="13" t="s">
        <v>10819</v>
      </c>
      <c r="J379" s="13" t="s">
        <v>447</v>
      </c>
      <c r="K379" s="13" t="s">
        <v>1363</v>
      </c>
      <c r="L379" s="13" t="s">
        <v>447</v>
      </c>
      <c r="M379" s="13" t="s">
        <v>1363</v>
      </c>
      <c r="N379" s="13" t="s">
        <v>9626</v>
      </c>
      <c r="P379" s="15">
        <v>367</v>
      </c>
      <c r="Q379" s="15">
        <v>42550</v>
      </c>
      <c r="R379" s="13" t="s">
        <v>10675</v>
      </c>
      <c r="S379" s="13" t="s">
        <v>1363</v>
      </c>
      <c r="T379" s="13" t="s">
        <v>10820</v>
      </c>
      <c r="U379" s="13" t="s">
        <v>9734</v>
      </c>
      <c r="V379" s="13" t="s">
        <v>9735</v>
      </c>
      <c r="W379" s="13" t="s">
        <v>9736</v>
      </c>
      <c r="X379" s="13" t="s">
        <v>9658</v>
      </c>
      <c r="Z379" s="13" t="s">
        <v>1363</v>
      </c>
      <c r="AA379" s="13" t="s">
        <v>9737</v>
      </c>
      <c r="AB379" s="13" t="s">
        <v>447</v>
      </c>
      <c r="AC379" s="21">
        <v>41394.460960648146</v>
      </c>
      <c r="AD379" s="21">
        <v>42550.737407407411</v>
      </c>
      <c r="AE379" s="13" t="s">
        <v>9629</v>
      </c>
      <c r="AF379" s="13" t="s">
        <v>9634</v>
      </c>
    </row>
    <row r="380" spans="1:32">
      <c r="A380" s="13" t="s">
        <v>10821</v>
      </c>
      <c r="B380" s="13" t="s">
        <v>1150</v>
      </c>
      <c r="C380" s="13" t="s">
        <v>1363</v>
      </c>
      <c r="D380" s="13" t="s">
        <v>1150</v>
      </c>
      <c r="E380" s="13" t="s">
        <v>1363</v>
      </c>
      <c r="F380" s="13" t="s">
        <v>447</v>
      </c>
      <c r="G380" s="13" t="s">
        <v>1363</v>
      </c>
      <c r="H380" s="13" t="s">
        <v>1381</v>
      </c>
      <c r="I380" s="13" t="s">
        <v>10822</v>
      </c>
      <c r="J380" s="13" t="s">
        <v>447</v>
      </c>
      <c r="K380" s="13" t="s">
        <v>1363</v>
      </c>
      <c r="L380" s="13" t="s">
        <v>447</v>
      </c>
      <c r="M380" s="13" t="s">
        <v>1363</v>
      </c>
      <c r="N380" s="13" t="s">
        <v>9626</v>
      </c>
      <c r="P380" s="15">
        <v>367</v>
      </c>
      <c r="Q380" s="15">
        <v>42550</v>
      </c>
      <c r="R380" s="13" t="s">
        <v>10675</v>
      </c>
      <c r="S380" s="13" t="s">
        <v>1363</v>
      </c>
      <c r="T380" s="13" t="s">
        <v>10823</v>
      </c>
      <c r="U380" s="13" t="s">
        <v>9734</v>
      </c>
      <c r="V380" s="13" t="s">
        <v>9735</v>
      </c>
      <c r="W380" s="13" t="s">
        <v>9736</v>
      </c>
      <c r="X380" s="13" t="s">
        <v>9658</v>
      </c>
      <c r="Z380" s="13" t="s">
        <v>1363</v>
      </c>
      <c r="AA380" s="13" t="s">
        <v>9737</v>
      </c>
      <c r="AB380" s="13" t="s">
        <v>447</v>
      </c>
      <c r="AC380" s="21">
        <v>41394.460960648146</v>
      </c>
      <c r="AD380" s="21">
        <v>42550.737407407411</v>
      </c>
      <c r="AE380" s="13" t="s">
        <v>9629</v>
      </c>
      <c r="AF380" s="13" t="s">
        <v>9634</v>
      </c>
    </row>
    <row r="381" spans="1:32">
      <c r="A381" s="13" t="s">
        <v>10824</v>
      </c>
      <c r="B381" s="13" t="s">
        <v>1150</v>
      </c>
      <c r="C381" s="13" t="s">
        <v>1363</v>
      </c>
      <c r="D381" s="13" t="s">
        <v>1150</v>
      </c>
      <c r="E381" s="13" t="s">
        <v>1363</v>
      </c>
      <c r="F381" s="13" t="s">
        <v>447</v>
      </c>
      <c r="G381" s="13" t="s">
        <v>1363</v>
      </c>
      <c r="H381" s="13" t="s">
        <v>1381</v>
      </c>
      <c r="I381" s="13" t="s">
        <v>10825</v>
      </c>
      <c r="J381" s="13" t="s">
        <v>447</v>
      </c>
      <c r="K381" s="13" t="s">
        <v>1363</v>
      </c>
      <c r="L381" s="13" t="s">
        <v>447</v>
      </c>
      <c r="M381" s="13" t="s">
        <v>1363</v>
      </c>
      <c r="N381" s="13" t="s">
        <v>9626</v>
      </c>
      <c r="P381" s="15">
        <v>367</v>
      </c>
      <c r="Q381" s="15">
        <v>42550</v>
      </c>
      <c r="R381" s="13" t="s">
        <v>10675</v>
      </c>
      <c r="S381" s="13" t="s">
        <v>1363</v>
      </c>
      <c r="T381" s="13" t="s">
        <v>10826</v>
      </c>
      <c r="U381" s="13" t="s">
        <v>9734</v>
      </c>
      <c r="V381" s="13" t="s">
        <v>9735</v>
      </c>
      <c r="W381" s="13" t="s">
        <v>9736</v>
      </c>
      <c r="X381" s="13" t="s">
        <v>9658</v>
      </c>
      <c r="Z381" s="13" t="s">
        <v>1363</v>
      </c>
      <c r="AA381" s="13" t="s">
        <v>9737</v>
      </c>
      <c r="AB381" s="13" t="s">
        <v>447</v>
      </c>
      <c r="AC381" s="21">
        <v>41394.460960648146</v>
      </c>
      <c r="AD381" s="21">
        <v>42550.737407407411</v>
      </c>
      <c r="AE381" s="13" t="s">
        <v>9629</v>
      </c>
      <c r="AF381" s="13" t="s">
        <v>9634</v>
      </c>
    </row>
    <row r="382" spans="1:32">
      <c r="A382" s="13" t="s">
        <v>10827</v>
      </c>
      <c r="B382" s="13" t="s">
        <v>1150</v>
      </c>
      <c r="C382" s="13" t="s">
        <v>1363</v>
      </c>
      <c r="D382" s="13" t="s">
        <v>1150</v>
      </c>
      <c r="E382" s="13" t="s">
        <v>1363</v>
      </c>
      <c r="F382" s="13" t="s">
        <v>447</v>
      </c>
      <c r="G382" s="13" t="s">
        <v>1363</v>
      </c>
      <c r="H382" s="13" t="s">
        <v>1381</v>
      </c>
      <c r="I382" s="13" t="s">
        <v>10828</v>
      </c>
      <c r="J382" s="13" t="s">
        <v>447</v>
      </c>
      <c r="K382" s="13" t="s">
        <v>1363</v>
      </c>
      <c r="L382" s="13" t="s">
        <v>447</v>
      </c>
      <c r="M382" s="13" t="s">
        <v>1363</v>
      </c>
      <c r="N382" s="13" t="s">
        <v>9626</v>
      </c>
      <c r="P382" s="15">
        <v>367</v>
      </c>
      <c r="Q382" s="15">
        <v>42550</v>
      </c>
      <c r="R382" s="13" t="s">
        <v>10675</v>
      </c>
      <c r="S382" s="13" t="s">
        <v>1363</v>
      </c>
      <c r="T382" s="13" t="s">
        <v>10829</v>
      </c>
      <c r="U382" s="13" t="s">
        <v>9734</v>
      </c>
      <c r="V382" s="13" t="s">
        <v>9735</v>
      </c>
      <c r="W382" s="13" t="s">
        <v>9736</v>
      </c>
      <c r="X382" s="13" t="s">
        <v>9658</v>
      </c>
      <c r="Z382" s="13" t="s">
        <v>1363</v>
      </c>
      <c r="AA382" s="13" t="s">
        <v>9737</v>
      </c>
      <c r="AB382" s="13" t="s">
        <v>447</v>
      </c>
      <c r="AC382" s="21">
        <v>41394.460960648146</v>
      </c>
      <c r="AD382" s="21">
        <v>42550.737407407411</v>
      </c>
      <c r="AE382" s="13" t="s">
        <v>9629</v>
      </c>
      <c r="AF382" s="13" t="s">
        <v>9634</v>
      </c>
    </row>
    <row r="383" spans="1:32">
      <c r="A383" s="13" t="s">
        <v>10830</v>
      </c>
      <c r="B383" s="13" t="s">
        <v>1150</v>
      </c>
      <c r="C383" s="13" t="s">
        <v>1363</v>
      </c>
      <c r="D383" s="13" t="s">
        <v>1150</v>
      </c>
      <c r="E383" s="13" t="s">
        <v>1363</v>
      </c>
      <c r="F383" s="13" t="s">
        <v>447</v>
      </c>
      <c r="G383" s="13" t="s">
        <v>1363</v>
      </c>
      <c r="H383" s="13" t="s">
        <v>1381</v>
      </c>
      <c r="I383" s="13" t="s">
        <v>10831</v>
      </c>
      <c r="J383" s="13" t="s">
        <v>447</v>
      </c>
      <c r="K383" s="13" t="s">
        <v>1363</v>
      </c>
      <c r="L383" s="13" t="s">
        <v>447</v>
      </c>
      <c r="M383" s="13" t="s">
        <v>1363</v>
      </c>
      <c r="N383" s="13" t="s">
        <v>9626</v>
      </c>
      <c r="P383" s="15">
        <v>367</v>
      </c>
      <c r="Q383" s="15">
        <v>42550</v>
      </c>
      <c r="R383" s="13" t="s">
        <v>10675</v>
      </c>
      <c r="S383" s="13" t="s">
        <v>1363</v>
      </c>
      <c r="T383" s="13" t="s">
        <v>10832</v>
      </c>
      <c r="U383" s="13" t="s">
        <v>9734</v>
      </c>
      <c r="V383" s="13" t="s">
        <v>9735</v>
      </c>
      <c r="W383" s="13" t="s">
        <v>9736</v>
      </c>
      <c r="X383" s="13" t="s">
        <v>9658</v>
      </c>
      <c r="Z383" s="13" t="s">
        <v>1363</v>
      </c>
      <c r="AA383" s="13" t="s">
        <v>9737</v>
      </c>
      <c r="AB383" s="13" t="s">
        <v>447</v>
      </c>
      <c r="AC383" s="21">
        <v>41394.460960648146</v>
      </c>
      <c r="AD383" s="21">
        <v>42550.73741898148</v>
      </c>
      <c r="AE383" s="13" t="s">
        <v>9629</v>
      </c>
      <c r="AF383" s="13" t="s">
        <v>9634</v>
      </c>
    </row>
    <row r="384" spans="1:32">
      <c r="A384" s="13" t="s">
        <v>10833</v>
      </c>
      <c r="B384" s="13" t="s">
        <v>1150</v>
      </c>
      <c r="C384" s="13" t="s">
        <v>1363</v>
      </c>
      <c r="D384" s="13" t="s">
        <v>1150</v>
      </c>
      <c r="E384" s="13" t="s">
        <v>1363</v>
      </c>
      <c r="F384" s="13" t="s">
        <v>447</v>
      </c>
      <c r="G384" s="13" t="s">
        <v>1363</v>
      </c>
      <c r="H384" s="13" t="s">
        <v>1381</v>
      </c>
      <c r="I384" s="13" t="s">
        <v>10834</v>
      </c>
      <c r="J384" s="13" t="s">
        <v>447</v>
      </c>
      <c r="K384" s="13" t="s">
        <v>1363</v>
      </c>
      <c r="L384" s="13" t="s">
        <v>447</v>
      </c>
      <c r="M384" s="13" t="s">
        <v>1363</v>
      </c>
      <c r="N384" s="13" t="s">
        <v>9626</v>
      </c>
      <c r="P384" s="15">
        <v>367</v>
      </c>
      <c r="Q384" s="15">
        <v>42550</v>
      </c>
      <c r="R384" s="13" t="s">
        <v>10675</v>
      </c>
      <c r="S384" s="13" t="s">
        <v>1363</v>
      </c>
      <c r="T384" s="13" t="s">
        <v>10835</v>
      </c>
      <c r="U384" s="13" t="s">
        <v>9734</v>
      </c>
      <c r="V384" s="13" t="s">
        <v>9735</v>
      </c>
      <c r="W384" s="13" t="s">
        <v>9736</v>
      </c>
      <c r="X384" s="13" t="s">
        <v>9658</v>
      </c>
      <c r="Z384" s="13" t="s">
        <v>1363</v>
      </c>
      <c r="AA384" s="13" t="s">
        <v>9737</v>
      </c>
      <c r="AB384" s="13" t="s">
        <v>447</v>
      </c>
      <c r="AC384" s="21">
        <v>41394.460972222223</v>
      </c>
      <c r="AD384" s="21">
        <v>42550.73741898148</v>
      </c>
      <c r="AE384" s="13" t="s">
        <v>9629</v>
      </c>
      <c r="AF384" s="13" t="s">
        <v>9634</v>
      </c>
    </row>
    <row r="385" spans="1:32">
      <c r="A385" s="13" t="s">
        <v>10836</v>
      </c>
      <c r="B385" s="13" t="s">
        <v>1150</v>
      </c>
      <c r="C385" s="13" t="s">
        <v>1363</v>
      </c>
      <c r="D385" s="13" t="s">
        <v>1150</v>
      </c>
      <c r="E385" s="13" t="s">
        <v>1363</v>
      </c>
      <c r="F385" s="13" t="s">
        <v>447</v>
      </c>
      <c r="G385" s="13" t="s">
        <v>1363</v>
      </c>
      <c r="H385" s="13" t="s">
        <v>1381</v>
      </c>
      <c r="I385" s="13" t="s">
        <v>10837</v>
      </c>
      <c r="J385" s="13" t="s">
        <v>447</v>
      </c>
      <c r="K385" s="13" t="s">
        <v>1363</v>
      </c>
      <c r="L385" s="13" t="s">
        <v>447</v>
      </c>
      <c r="M385" s="13" t="s">
        <v>1363</v>
      </c>
      <c r="N385" s="13" t="s">
        <v>9626</v>
      </c>
      <c r="P385" s="15">
        <v>367</v>
      </c>
      <c r="Q385" s="15">
        <v>42550</v>
      </c>
      <c r="R385" s="13" t="s">
        <v>10675</v>
      </c>
      <c r="S385" s="13" t="s">
        <v>1363</v>
      </c>
      <c r="T385" s="13" t="s">
        <v>10838</v>
      </c>
      <c r="U385" s="13" t="s">
        <v>9734</v>
      </c>
      <c r="V385" s="13" t="s">
        <v>9735</v>
      </c>
      <c r="W385" s="13" t="s">
        <v>9736</v>
      </c>
      <c r="X385" s="13" t="s">
        <v>9658</v>
      </c>
      <c r="Z385" s="13" t="s">
        <v>1363</v>
      </c>
      <c r="AA385" s="13" t="s">
        <v>9737</v>
      </c>
      <c r="AB385" s="13" t="s">
        <v>447</v>
      </c>
      <c r="AC385" s="21">
        <v>41394.460972222223</v>
      </c>
      <c r="AD385" s="21">
        <v>42550.73741898148</v>
      </c>
      <c r="AE385" s="13" t="s">
        <v>9629</v>
      </c>
      <c r="AF385" s="13" t="s">
        <v>9634</v>
      </c>
    </row>
    <row r="386" spans="1:32">
      <c r="A386" s="13" t="s">
        <v>10839</v>
      </c>
      <c r="B386" s="13" t="s">
        <v>1150</v>
      </c>
      <c r="C386" s="13" t="s">
        <v>1363</v>
      </c>
      <c r="D386" s="13" t="s">
        <v>1150</v>
      </c>
      <c r="E386" s="13" t="s">
        <v>1363</v>
      </c>
      <c r="F386" s="13" t="s">
        <v>447</v>
      </c>
      <c r="G386" s="13" t="s">
        <v>1363</v>
      </c>
      <c r="H386" s="13" t="s">
        <v>1381</v>
      </c>
      <c r="I386" s="13" t="s">
        <v>10840</v>
      </c>
      <c r="J386" s="13" t="s">
        <v>447</v>
      </c>
      <c r="K386" s="13" t="s">
        <v>1363</v>
      </c>
      <c r="L386" s="13" t="s">
        <v>447</v>
      </c>
      <c r="M386" s="13" t="s">
        <v>1363</v>
      </c>
      <c r="N386" s="13" t="s">
        <v>9626</v>
      </c>
      <c r="P386" s="15">
        <v>367</v>
      </c>
      <c r="Q386" s="15">
        <v>42550</v>
      </c>
      <c r="R386" s="13" t="s">
        <v>10675</v>
      </c>
      <c r="S386" s="13" t="s">
        <v>1363</v>
      </c>
      <c r="T386" s="13" t="s">
        <v>10841</v>
      </c>
      <c r="U386" s="13" t="s">
        <v>9734</v>
      </c>
      <c r="V386" s="13" t="s">
        <v>9735</v>
      </c>
      <c r="W386" s="13" t="s">
        <v>9736</v>
      </c>
      <c r="X386" s="13" t="s">
        <v>9658</v>
      </c>
      <c r="Z386" s="13" t="s">
        <v>1363</v>
      </c>
      <c r="AA386" s="13" t="s">
        <v>9737</v>
      </c>
      <c r="AB386" s="13" t="s">
        <v>447</v>
      </c>
      <c r="AC386" s="21">
        <v>41394.460972222223</v>
      </c>
      <c r="AD386" s="21">
        <v>42550.73741898148</v>
      </c>
      <c r="AE386" s="13" t="s">
        <v>9629</v>
      </c>
      <c r="AF386" s="13" t="s">
        <v>9634</v>
      </c>
    </row>
    <row r="387" spans="1:32">
      <c r="A387" s="13" t="s">
        <v>10842</v>
      </c>
      <c r="B387" s="13" t="s">
        <v>1150</v>
      </c>
      <c r="C387" s="13" t="s">
        <v>1363</v>
      </c>
      <c r="D387" s="13" t="s">
        <v>1150</v>
      </c>
      <c r="E387" s="13" t="s">
        <v>1363</v>
      </c>
      <c r="F387" s="13" t="s">
        <v>447</v>
      </c>
      <c r="G387" s="13" t="s">
        <v>1363</v>
      </c>
      <c r="H387" s="13" t="s">
        <v>1381</v>
      </c>
      <c r="I387" s="13" t="s">
        <v>10843</v>
      </c>
      <c r="J387" s="13" t="s">
        <v>447</v>
      </c>
      <c r="K387" s="13" t="s">
        <v>1363</v>
      </c>
      <c r="L387" s="13" t="s">
        <v>447</v>
      </c>
      <c r="M387" s="13" t="s">
        <v>1363</v>
      </c>
      <c r="N387" s="13" t="s">
        <v>9626</v>
      </c>
      <c r="P387" s="15">
        <v>367</v>
      </c>
      <c r="Q387" s="15">
        <v>42550</v>
      </c>
      <c r="R387" s="13" t="s">
        <v>10675</v>
      </c>
      <c r="S387" s="13" t="s">
        <v>1363</v>
      </c>
      <c r="T387" s="13" t="s">
        <v>10844</v>
      </c>
      <c r="U387" s="13" t="s">
        <v>9734</v>
      </c>
      <c r="V387" s="13" t="s">
        <v>9735</v>
      </c>
      <c r="W387" s="13" t="s">
        <v>9736</v>
      </c>
      <c r="X387" s="13" t="s">
        <v>9658</v>
      </c>
      <c r="Z387" s="13" t="s">
        <v>1363</v>
      </c>
      <c r="AA387" s="13" t="s">
        <v>9737</v>
      </c>
      <c r="AB387" s="13" t="s">
        <v>447</v>
      </c>
      <c r="AC387" s="21">
        <v>41394.460972222223</v>
      </c>
      <c r="AD387" s="21">
        <v>42550.737430555557</v>
      </c>
      <c r="AE387" s="13" t="s">
        <v>9629</v>
      </c>
      <c r="AF387" s="13" t="s">
        <v>9634</v>
      </c>
    </row>
    <row r="388" spans="1:32">
      <c r="A388" s="13" t="s">
        <v>10845</v>
      </c>
      <c r="B388" s="13" t="s">
        <v>1150</v>
      </c>
      <c r="C388" s="13" t="s">
        <v>1363</v>
      </c>
      <c r="D388" s="13" t="s">
        <v>1150</v>
      </c>
      <c r="E388" s="13" t="s">
        <v>1363</v>
      </c>
      <c r="F388" s="13" t="s">
        <v>447</v>
      </c>
      <c r="G388" s="13" t="s">
        <v>1363</v>
      </c>
      <c r="H388" s="13" t="s">
        <v>1381</v>
      </c>
      <c r="I388" s="13" t="s">
        <v>10846</v>
      </c>
      <c r="J388" s="13" t="s">
        <v>447</v>
      </c>
      <c r="K388" s="13" t="s">
        <v>1363</v>
      </c>
      <c r="L388" s="13" t="s">
        <v>447</v>
      </c>
      <c r="M388" s="13" t="s">
        <v>1363</v>
      </c>
      <c r="N388" s="13" t="s">
        <v>9626</v>
      </c>
      <c r="P388" s="15">
        <v>367</v>
      </c>
      <c r="Q388" s="15">
        <v>42550</v>
      </c>
      <c r="R388" s="13" t="s">
        <v>10675</v>
      </c>
      <c r="S388" s="13" t="s">
        <v>1363</v>
      </c>
      <c r="T388" s="13" t="s">
        <v>10847</v>
      </c>
      <c r="U388" s="13" t="s">
        <v>9734</v>
      </c>
      <c r="V388" s="13" t="s">
        <v>9735</v>
      </c>
      <c r="W388" s="13" t="s">
        <v>9736</v>
      </c>
      <c r="X388" s="13" t="s">
        <v>9658</v>
      </c>
      <c r="Z388" s="13" t="s">
        <v>1363</v>
      </c>
      <c r="AA388" s="13" t="s">
        <v>9737</v>
      </c>
      <c r="AB388" s="13" t="s">
        <v>447</v>
      </c>
      <c r="AC388" s="21">
        <v>41394.460972222223</v>
      </c>
      <c r="AD388" s="21">
        <v>42550.737430555557</v>
      </c>
      <c r="AE388" s="13" t="s">
        <v>9629</v>
      </c>
      <c r="AF388" s="13" t="s">
        <v>9634</v>
      </c>
    </row>
    <row r="389" spans="1:32">
      <c r="A389" s="13" t="s">
        <v>10848</v>
      </c>
      <c r="B389" s="13" t="s">
        <v>1150</v>
      </c>
      <c r="C389" s="13" t="s">
        <v>1363</v>
      </c>
      <c r="D389" s="13" t="s">
        <v>1150</v>
      </c>
      <c r="E389" s="13" t="s">
        <v>1363</v>
      </c>
      <c r="F389" s="13" t="s">
        <v>447</v>
      </c>
      <c r="G389" s="13" t="s">
        <v>1363</v>
      </c>
      <c r="H389" s="13" t="s">
        <v>1381</v>
      </c>
      <c r="I389" s="13" t="s">
        <v>10849</v>
      </c>
      <c r="J389" s="13" t="s">
        <v>447</v>
      </c>
      <c r="K389" s="13" t="s">
        <v>1363</v>
      </c>
      <c r="L389" s="13" t="s">
        <v>447</v>
      </c>
      <c r="M389" s="13" t="s">
        <v>1363</v>
      </c>
      <c r="N389" s="13" t="s">
        <v>9626</v>
      </c>
      <c r="P389" s="15">
        <v>367</v>
      </c>
      <c r="Q389" s="15">
        <v>42550</v>
      </c>
      <c r="R389" s="13" t="s">
        <v>10675</v>
      </c>
      <c r="S389" s="13" t="s">
        <v>1363</v>
      </c>
      <c r="T389" s="13" t="s">
        <v>10850</v>
      </c>
      <c r="U389" s="13" t="s">
        <v>9734</v>
      </c>
      <c r="V389" s="13" t="s">
        <v>9735</v>
      </c>
      <c r="W389" s="13" t="s">
        <v>9736</v>
      </c>
      <c r="X389" s="13" t="s">
        <v>9658</v>
      </c>
      <c r="Z389" s="13" t="s">
        <v>1363</v>
      </c>
      <c r="AA389" s="13" t="s">
        <v>9737</v>
      </c>
      <c r="AB389" s="13" t="s">
        <v>447</v>
      </c>
      <c r="AC389" s="21">
        <v>41394.4609837963</v>
      </c>
      <c r="AD389" s="21">
        <v>42550.737430555557</v>
      </c>
      <c r="AE389" s="13" t="s">
        <v>9629</v>
      </c>
      <c r="AF389" s="13" t="s">
        <v>9634</v>
      </c>
    </row>
    <row r="390" spans="1:32">
      <c r="A390" s="13" t="s">
        <v>10851</v>
      </c>
      <c r="B390" s="13" t="s">
        <v>1150</v>
      </c>
      <c r="C390" s="13" t="s">
        <v>1363</v>
      </c>
      <c r="D390" s="13" t="s">
        <v>1150</v>
      </c>
      <c r="E390" s="13" t="s">
        <v>1363</v>
      </c>
      <c r="F390" s="13" t="s">
        <v>447</v>
      </c>
      <c r="G390" s="13" t="s">
        <v>1363</v>
      </c>
      <c r="H390" s="13" t="s">
        <v>1381</v>
      </c>
      <c r="I390" s="13" t="s">
        <v>10852</v>
      </c>
      <c r="J390" s="13" t="s">
        <v>447</v>
      </c>
      <c r="K390" s="13" t="s">
        <v>1363</v>
      </c>
      <c r="L390" s="13" t="s">
        <v>447</v>
      </c>
      <c r="M390" s="13" t="s">
        <v>1363</v>
      </c>
      <c r="N390" s="13" t="s">
        <v>9626</v>
      </c>
      <c r="P390" s="15">
        <v>367</v>
      </c>
      <c r="Q390" s="15">
        <v>42550</v>
      </c>
      <c r="R390" s="13" t="s">
        <v>10675</v>
      </c>
      <c r="S390" s="13" t="s">
        <v>1363</v>
      </c>
      <c r="T390" s="13" t="s">
        <v>10853</v>
      </c>
      <c r="U390" s="13" t="s">
        <v>9734</v>
      </c>
      <c r="V390" s="13" t="s">
        <v>9735</v>
      </c>
      <c r="W390" s="13" t="s">
        <v>9736</v>
      </c>
      <c r="X390" s="13" t="s">
        <v>9658</v>
      </c>
      <c r="Z390" s="13" t="s">
        <v>1363</v>
      </c>
      <c r="AA390" s="13" t="s">
        <v>9737</v>
      </c>
      <c r="AB390" s="13" t="s">
        <v>447</v>
      </c>
      <c r="AC390" s="21">
        <v>41394.4609837963</v>
      </c>
      <c r="AD390" s="21">
        <v>42550.737442129626</v>
      </c>
      <c r="AE390" s="13" t="s">
        <v>9629</v>
      </c>
      <c r="AF390" s="13" t="s">
        <v>9634</v>
      </c>
    </row>
    <row r="391" spans="1:32">
      <c r="A391" s="13" t="s">
        <v>10854</v>
      </c>
      <c r="B391" s="13" t="s">
        <v>1150</v>
      </c>
      <c r="C391" s="13" t="s">
        <v>1363</v>
      </c>
      <c r="D391" s="13" t="s">
        <v>1150</v>
      </c>
      <c r="E391" s="13" t="s">
        <v>1363</v>
      </c>
      <c r="F391" s="13" t="s">
        <v>447</v>
      </c>
      <c r="G391" s="13" t="s">
        <v>1363</v>
      </c>
      <c r="H391" s="13" t="s">
        <v>1381</v>
      </c>
      <c r="I391" s="13" t="s">
        <v>10855</v>
      </c>
      <c r="J391" s="13" t="s">
        <v>447</v>
      </c>
      <c r="K391" s="13" t="s">
        <v>1363</v>
      </c>
      <c r="L391" s="13" t="s">
        <v>447</v>
      </c>
      <c r="M391" s="13" t="s">
        <v>1363</v>
      </c>
      <c r="N391" s="13" t="s">
        <v>9626</v>
      </c>
      <c r="P391" s="15">
        <v>367</v>
      </c>
      <c r="Q391" s="15">
        <v>42550</v>
      </c>
      <c r="R391" s="13" t="s">
        <v>10675</v>
      </c>
      <c r="S391" s="13" t="s">
        <v>1363</v>
      </c>
      <c r="T391" s="13" t="s">
        <v>10856</v>
      </c>
      <c r="U391" s="13" t="s">
        <v>9734</v>
      </c>
      <c r="V391" s="13" t="s">
        <v>9735</v>
      </c>
      <c r="W391" s="13" t="s">
        <v>9736</v>
      </c>
      <c r="X391" s="13" t="s">
        <v>9658</v>
      </c>
      <c r="Z391" s="13" t="s">
        <v>1363</v>
      </c>
      <c r="AA391" s="13" t="s">
        <v>9737</v>
      </c>
      <c r="AB391" s="13" t="s">
        <v>447</v>
      </c>
      <c r="AC391" s="21">
        <v>41394.4609837963</v>
      </c>
      <c r="AD391" s="21">
        <v>42550.737442129626</v>
      </c>
      <c r="AE391" s="13" t="s">
        <v>9629</v>
      </c>
      <c r="AF391" s="13" t="s">
        <v>9634</v>
      </c>
    </row>
    <row r="392" spans="1:32">
      <c r="A392" s="13" t="s">
        <v>10857</v>
      </c>
      <c r="B392" s="13" t="s">
        <v>1150</v>
      </c>
      <c r="C392" s="13" t="s">
        <v>1363</v>
      </c>
      <c r="D392" s="13" t="s">
        <v>1150</v>
      </c>
      <c r="E392" s="13" t="s">
        <v>1363</v>
      </c>
      <c r="F392" s="13" t="s">
        <v>447</v>
      </c>
      <c r="G392" s="13" t="s">
        <v>1363</v>
      </c>
      <c r="H392" s="13" t="s">
        <v>1381</v>
      </c>
      <c r="I392" s="13" t="s">
        <v>10858</v>
      </c>
      <c r="J392" s="13" t="s">
        <v>447</v>
      </c>
      <c r="K392" s="13" t="s">
        <v>1363</v>
      </c>
      <c r="L392" s="13" t="s">
        <v>447</v>
      </c>
      <c r="M392" s="13" t="s">
        <v>1363</v>
      </c>
      <c r="N392" s="13" t="s">
        <v>9626</v>
      </c>
      <c r="P392" s="15">
        <v>367</v>
      </c>
      <c r="Q392" s="15">
        <v>42550</v>
      </c>
      <c r="R392" s="13" t="s">
        <v>10675</v>
      </c>
      <c r="S392" s="13" t="s">
        <v>1363</v>
      </c>
      <c r="T392" s="13" t="s">
        <v>10859</v>
      </c>
      <c r="U392" s="13" t="s">
        <v>9734</v>
      </c>
      <c r="V392" s="13" t="s">
        <v>9735</v>
      </c>
      <c r="W392" s="13" t="s">
        <v>9736</v>
      </c>
      <c r="X392" s="13" t="s">
        <v>9658</v>
      </c>
      <c r="Z392" s="13" t="s">
        <v>1363</v>
      </c>
      <c r="AA392" s="13" t="s">
        <v>9737</v>
      </c>
      <c r="AB392" s="13" t="s">
        <v>447</v>
      </c>
      <c r="AC392" s="21">
        <v>41394.4609837963</v>
      </c>
      <c r="AD392" s="21">
        <v>42550.737442129626</v>
      </c>
      <c r="AE392" s="13" t="s">
        <v>9629</v>
      </c>
      <c r="AF392" s="13" t="s">
        <v>9634</v>
      </c>
    </row>
    <row r="393" spans="1:32">
      <c r="A393" s="13" t="s">
        <v>10860</v>
      </c>
      <c r="B393" s="13" t="s">
        <v>1150</v>
      </c>
      <c r="C393" s="13" t="s">
        <v>1363</v>
      </c>
      <c r="D393" s="13" t="s">
        <v>1150</v>
      </c>
      <c r="E393" s="13" t="s">
        <v>1363</v>
      </c>
      <c r="F393" s="13" t="s">
        <v>447</v>
      </c>
      <c r="G393" s="13" t="s">
        <v>1363</v>
      </c>
      <c r="H393" s="13" t="s">
        <v>1381</v>
      </c>
      <c r="I393" s="13" t="s">
        <v>10861</v>
      </c>
      <c r="J393" s="13" t="s">
        <v>447</v>
      </c>
      <c r="K393" s="13" t="s">
        <v>1363</v>
      </c>
      <c r="L393" s="13" t="s">
        <v>447</v>
      </c>
      <c r="M393" s="13" t="s">
        <v>1363</v>
      </c>
      <c r="N393" s="13" t="s">
        <v>9626</v>
      </c>
      <c r="P393" s="15">
        <v>367</v>
      </c>
      <c r="Q393" s="15">
        <v>42550</v>
      </c>
      <c r="R393" s="13" t="s">
        <v>10675</v>
      </c>
      <c r="S393" s="13" t="s">
        <v>1363</v>
      </c>
      <c r="T393" s="13" t="s">
        <v>10862</v>
      </c>
      <c r="U393" s="13" t="s">
        <v>9734</v>
      </c>
      <c r="V393" s="13" t="s">
        <v>9735</v>
      </c>
      <c r="W393" s="13" t="s">
        <v>9736</v>
      </c>
      <c r="X393" s="13" t="s">
        <v>9658</v>
      </c>
      <c r="Z393" s="13" t="s">
        <v>1363</v>
      </c>
      <c r="AA393" s="13" t="s">
        <v>9737</v>
      </c>
      <c r="AB393" s="13" t="s">
        <v>447</v>
      </c>
      <c r="AC393" s="21">
        <v>41394.4609837963</v>
      </c>
      <c r="AD393" s="21">
        <v>42550.737442129626</v>
      </c>
      <c r="AE393" s="13" t="s">
        <v>9629</v>
      </c>
      <c r="AF393" s="13" t="s">
        <v>9634</v>
      </c>
    </row>
    <row r="394" spans="1:32">
      <c r="A394" s="13" t="s">
        <v>10863</v>
      </c>
      <c r="B394" s="13" t="s">
        <v>1150</v>
      </c>
      <c r="C394" s="13" t="s">
        <v>1363</v>
      </c>
      <c r="D394" s="13" t="s">
        <v>1150</v>
      </c>
      <c r="E394" s="13" t="s">
        <v>1363</v>
      </c>
      <c r="F394" s="13" t="s">
        <v>447</v>
      </c>
      <c r="G394" s="13" t="s">
        <v>1363</v>
      </c>
      <c r="H394" s="13" t="s">
        <v>1381</v>
      </c>
      <c r="I394" s="13" t="s">
        <v>10864</v>
      </c>
      <c r="J394" s="13" t="s">
        <v>447</v>
      </c>
      <c r="K394" s="13" t="s">
        <v>1363</v>
      </c>
      <c r="L394" s="13" t="s">
        <v>447</v>
      </c>
      <c r="M394" s="13" t="s">
        <v>1363</v>
      </c>
      <c r="N394" s="13" t="s">
        <v>9626</v>
      </c>
      <c r="P394" s="15">
        <v>367</v>
      </c>
      <c r="Q394" s="15">
        <v>42550</v>
      </c>
      <c r="R394" s="13" t="s">
        <v>10675</v>
      </c>
      <c r="S394" s="13" t="s">
        <v>1363</v>
      </c>
      <c r="T394" s="13" t="s">
        <v>10865</v>
      </c>
      <c r="U394" s="13" t="s">
        <v>9734</v>
      </c>
      <c r="V394" s="13" t="s">
        <v>9735</v>
      </c>
      <c r="W394" s="13" t="s">
        <v>9736</v>
      </c>
      <c r="X394" s="13" t="s">
        <v>9658</v>
      </c>
      <c r="Z394" s="13" t="s">
        <v>1363</v>
      </c>
      <c r="AA394" s="13" t="s">
        <v>9737</v>
      </c>
      <c r="AB394" s="13" t="s">
        <v>447</v>
      </c>
      <c r="AC394" s="21">
        <v>41394.4609837963</v>
      </c>
      <c r="AD394" s="21">
        <v>42550.737453703703</v>
      </c>
      <c r="AE394" s="13" t="s">
        <v>9629</v>
      </c>
      <c r="AF394" s="13" t="s">
        <v>9634</v>
      </c>
    </row>
    <row r="395" spans="1:32">
      <c r="A395" s="13" t="s">
        <v>10866</v>
      </c>
      <c r="B395" s="13" t="s">
        <v>1150</v>
      </c>
      <c r="C395" s="13" t="s">
        <v>1363</v>
      </c>
      <c r="D395" s="13" t="s">
        <v>1150</v>
      </c>
      <c r="E395" s="13" t="s">
        <v>1363</v>
      </c>
      <c r="F395" s="13" t="s">
        <v>447</v>
      </c>
      <c r="G395" s="13" t="s">
        <v>1363</v>
      </c>
      <c r="H395" s="13" t="s">
        <v>1381</v>
      </c>
      <c r="I395" s="13" t="s">
        <v>10867</v>
      </c>
      <c r="J395" s="13" t="s">
        <v>447</v>
      </c>
      <c r="K395" s="13" t="s">
        <v>1363</v>
      </c>
      <c r="L395" s="13" t="s">
        <v>447</v>
      </c>
      <c r="M395" s="13" t="s">
        <v>1363</v>
      </c>
      <c r="N395" s="13" t="s">
        <v>9626</v>
      </c>
      <c r="P395" s="15">
        <v>367</v>
      </c>
      <c r="Q395" s="15">
        <v>42550</v>
      </c>
      <c r="R395" s="13" t="s">
        <v>10675</v>
      </c>
      <c r="S395" s="13" t="s">
        <v>1363</v>
      </c>
      <c r="T395" s="13" t="s">
        <v>10868</v>
      </c>
      <c r="U395" s="13" t="s">
        <v>9734</v>
      </c>
      <c r="V395" s="13" t="s">
        <v>9735</v>
      </c>
      <c r="W395" s="13" t="s">
        <v>9736</v>
      </c>
      <c r="X395" s="13" t="s">
        <v>9658</v>
      </c>
      <c r="Z395" s="13" t="s">
        <v>1363</v>
      </c>
      <c r="AA395" s="13" t="s">
        <v>9737</v>
      </c>
      <c r="AB395" s="13" t="s">
        <v>447</v>
      </c>
      <c r="AC395" s="21">
        <v>41394.460995370369</v>
      </c>
      <c r="AD395" s="21">
        <v>42550.737453703703</v>
      </c>
      <c r="AE395" s="13" t="s">
        <v>9629</v>
      </c>
      <c r="AF395" s="13" t="s">
        <v>9634</v>
      </c>
    </row>
    <row r="396" spans="1:32">
      <c r="A396" s="13" t="s">
        <v>10869</v>
      </c>
      <c r="B396" s="13" t="s">
        <v>1150</v>
      </c>
      <c r="C396" s="13" t="s">
        <v>1363</v>
      </c>
      <c r="D396" s="13" t="s">
        <v>1150</v>
      </c>
      <c r="E396" s="13" t="s">
        <v>1363</v>
      </c>
      <c r="F396" s="13" t="s">
        <v>447</v>
      </c>
      <c r="G396" s="13" t="s">
        <v>1363</v>
      </c>
      <c r="H396" s="13" t="s">
        <v>1381</v>
      </c>
      <c r="I396" s="13" t="s">
        <v>10870</v>
      </c>
      <c r="J396" s="13" t="s">
        <v>447</v>
      </c>
      <c r="K396" s="13" t="s">
        <v>1363</v>
      </c>
      <c r="L396" s="13" t="s">
        <v>447</v>
      </c>
      <c r="M396" s="13" t="s">
        <v>1363</v>
      </c>
      <c r="N396" s="13" t="s">
        <v>9626</v>
      </c>
      <c r="P396" s="15">
        <v>367</v>
      </c>
      <c r="Q396" s="15">
        <v>42550</v>
      </c>
      <c r="R396" s="13" t="s">
        <v>10675</v>
      </c>
      <c r="S396" s="13" t="s">
        <v>1363</v>
      </c>
      <c r="T396" s="13" t="s">
        <v>10871</v>
      </c>
      <c r="U396" s="13" t="s">
        <v>9734</v>
      </c>
      <c r="V396" s="13" t="s">
        <v>9735</v>
      </c>
      <c r="W396" s="13" t="s">
        <v>9736</v>
      </c>
      <c r="X396" s="13" t="s">
        <v>9658</v>
      </c>
      <c r="Z396" s="13" t="s">
        <v>1363</v>
      </c>
      <c r="AA396" s="13" t="s">
        <v>9737</v>
      </c>
      <c r="AB396" s="13" t="s">
        <v>447</v>
      </c>
      <c r="AC396" s="21">
        <v>41394.460995370369</v>
      </c>
      <c r="AD396" s="21">
        <v>42550.737453703703</v>
      </c>
      <c r="AE396" s="13" t="s">
        <v>9629</v>
      </c>
      <c r="AF396" s="13" t="s">
        <v>9634</v>
      </c>
    </row>
    <row r="397" spans="1:32">
      <c r="A397" s="13" t="s">
        <v>10872</v>
      </c>
      <c r="B397" s="13" t="s">
        <v>1150</v>
      </c>
      <c r="C397" s="13" t="s">
        <v>1363</v>
      </c>
      <c r="D397" s="13" t="s">
        <v>1150</v>
      </c>
      <c r="E397" s="13" t="s">
        <v>1363</v>
      </c>
      <c r="F397" s="13" t="s">
        <v>447</v>
      </c>
      <c r="G397" s="13" t="s">
        <v>1363</v>
      </c>
      <c r="H397" s="13" t="s">
        <v>1381</v>
      </c>
      <c r="I397" s="13" t="s">
        <v>10873</v>
      </c>
      <c r="J397" s="13" t="s">
        <v>447</v>
      </c>
      <c r="K397" s="13" t="s">
        <v>1363</v>
      </c>
      <c r="L397" s="13" t="s">
        <v>447</v>
      </c>
      <c r="M397" s="13" t="s">
        <v>1363</v>
      </c>
      <c r="N397" s="13" t="s">
        <v>9626</v>
      </c>
      <c r="P397" s="15">
        <v>367</v>
      </c>
      <c r="Q397" s="15">
        <v>42550</v>
      </c>
      <c r="R397" s="13" t="s">
        <v>10675</v>
      </c>
      <c r="S397" s="13" t="s">
        <v>1363</v>
      </c>
      <c r="T397" s="13" t="s">
        <v>10874</v>
      </c>
      <c r="U397" s="13" t="s">
        <v>9734</v>
      </c>
      <c r="V397" s="13" t="s">
        <v>9735</v>
      </c>
      <c r="W397" s="13" t="s">
        <v>9736</v>
      </c>
      <c r="X397" s="13" t="s">
        <v>9658</v>
      </c>
      <c r="Z397" s="13" t="s">
        <v>1363</v>
      </c>
      <c r="AA397" s="13" t="s">
        <v>9737</v>
      </c>
      <c r="AB397" s="13" t="s">
        <v>447</v>
      </c>
      <c r="AC397" s="21">
        <v>41394.460995370369</v>
      </c>
      <c r="AD397" s="21">
        <v>42550.737453703703</v>
      </c>
      <c r="AE397" s="13" t="s">
        <v>9629</v>
      </c>
      <c r="AF397" s="13" t="s">
        <v>9634</v>
      </c>
    </row>
    <row r="398" spans="1:32">
      <c r="A398" s="13" t="s">
        <v>10875</v>
      </c>
      <c r="B398" s="13" t="s">
        <v>1150</v>
      </c>
      <c r="C398" s="13" t="s">
        <v>1363</v>
      </c>
      <c r="D398" s="13" t="s">
        <v>1150</v>
      </c>
      <c r="E398" s="13" t="s">
        <v>1363</v>
      </c>
      <c r="F398" s="13" t="s">
        <v>447</v>
      </c>
      <c r="G398" s="13" t="s">
        <v>1363</v>
      </c>
      <c r="H398" s="13" t="s">
        <v>1381</v>
      </c>
      <c r="I398" s="13" t="s">
        <v>10876</v>
      </c>
      <c r="J398" s="13" t="s">
        <v>447</v>
      </c>
      <c r="K398" s="13" t="s">
        <v>1363</v>
      </c>
      <c r="L398" s="13" t="s">
        <v>447</v>
      </c>
      <c r="M398" s="13" t="s">
        <v>1363</v>
      </c>
      <c r="N398" s="13" t="s">
        <v>9626</v>
      </c>
      <c r="P398" s="15">
        <v>367</v>
      </c>
      <c r="Q398" s="15">
        <v>42550</v>
      </c>
      <c r="R398" s="13" t="s">
        <v>10675</v>
      </c>
      <c r="S398" s="13" t="s">
        <v>1363</v>
      </c>
      <c r="T398" s="13" t="s">
        <v>10877</v>
      </c>
      <c r="U398" s="13" t="s">
        <v>9734</v>
      </c>
      <c r="V398" s="13" t="s">
        <v>9735</v>
      </c>
      <c r="W398" s="13" t="s">
        <v>9736</v>
      </c>
      <c r="X398" s="13" t="s">
        <v>9658</v>
      </c>
      <c r="Z398" s="13" t="s">
        <v>1363</v>
      </c>
      <c r="AA398" s="13" t="s">
        <v>9737</v>
      </c>
      <c r="AB398" s="13" t="s">
        <v>447</v>
      </c>
      <c r="AC398" s="21">
        <v>41394.460995370369</v>
      </c>
      <c r="AD398" s="21">
        <v>42550.73746527778</v>
      </c>
      <c r="AE398" s="13" t="s">
        <v>9629</v>
      </c>
      <c r="AF398" s="13" t="s">
        <v>9634</v>
      </c>
    </row>
    <row r="399" spans="1:32">
      <c r="A399" s="13" t="s">
        <v>10878</v>
      </c>
      <c r="B399" s="13" t="s">
        <v>1150</v>
      </c>
      <c r="C399" s="13" t="s">
        <v>1363</v>
      </c>
      <c r="D399" s="13" t="s">
        <v>1150</v>
      </c>
      <c r="E399" s="13" t="s">
        <v>1363</v>
      </c>
      <c r="F399" s="13" t="s">
        <v>447</v>
      </c>
      <c r="G399" s="13" t="s">
        <v>1363</v>
      </c>
      <c r="H399" s="13" t="s">
        <v>1381</v>
      </c>
      <c r="I399" s="13" t="s">
        <v>10879</v>
      </c>
      <c r="J399" s="13" t="s">
        <v>447</v>
      </c>
      <c r="K399" s="13" t="s">
        <v>1363</v>
      </c>
      <c r="L399" s="13" t="s">
        <v>447</v>
      </c>
      <c r="M399" s="13" t="s">
        <v>1363</v>
      </c>
      <c r="N399" s="13" t="s">
        <v>9626</v>
      </c>
      <c r="P399" s="15">
        <v>367</v>
      </c>
      <c r="Q399" s="15">
        <v>42550</v>
      </c>
      <c r="R399" s="13" t="s">
        <v>10675</v>
      </c>
      <c r="S399" s="13" t="s">
        <v>1363</v>
      </c>
      <c r="T399" s="13" t="s">
        <v>10880</v>
      </c>
      <c r="U399" s="13" t="s">
        <v>9734</v>
      </c>
      <c r="V399" s="13" t="s">
        <v>9735</v>
      </c>
      <c r="W399" s="13" t="s">
        <v>9736</v>
      </c>
      <c r="X399" s="13" t="s">
        <v>9658</v>
      </c>
      <c r="Z399" s="13" t="s">
        <v>1363</v>
      </c>
      <c r="AA399" s="13" t="s">
        <v>9737</v>
      </c>
      <c r="AB399" s="13" t="s">
        <v>447</v>
      </c>
      <c r="AC399" s="21">
        <v>41394.460995370369</v>
      </c>
      <c r="AD399" s="21">
        <v>42550.73746527778</v>
      </c>
      <c r="AE399" s="13" t="s">
        <v>9629</v>
      </c>
      <c r="AF399" s="13" t="s">
        <v>9634</v>
      </c>
    </row>
    <row r="400" spans="1:32">
      <c r="A400" s="13" t="s">
        <v>10881</v>
      </c>
      <c r="B400" s="13" t="s">
        <v>1150</v>
      </c>
      <c r="C400" s="13" t="s">
        <v>1363</v>
      </c>
      <c r="D400" s="13" t="s">
        <v>1150</v>
      </c>
      <c r="E400" s="13" t="s">
        <v>1363</v>
      </c>
      <c r="F400" s="13" t="s">
        <v>447</v>
      </c>
      <c r="G400" s="13" t="s">
        <v>1363</v>
      </c>
      <c r="H400" s="13" t="s">
        <v>1381</v>
      </c>
      <c r="I400" s="13" t="s">
        <v>10882</v>
      </c>
      <c r="J400" s="13" t="s">
        <v>447</v>
      </c>
      <c r="K400" s="13" t="s">
        <v>1363</v>
      </c>
      <c r="L400" s="13" t="s">
        <v>447</v>
      </c>
      <c r="M400" s="13" t="s">
        <v>1363</v>
      </c>
      <c r="N400" s="13" t="s">
        <v>9626</v>
      </c>
      <c r="P400" s="15">
        <v>367</v>
      </c>
      <c r="Q400" s="15">
        <v>42550</v>
      </c>
      <c r="R400" s="13" t="s">
        <v>10675</v>
      </c>
      <c r="S400" s="13" t="s">
        <v>1363</v>
      </c>
      <c r="T400" s="13" t="s">
        <v>10883</v>
      </c>
      <c r="U400" s="13" t="s">
        <v>9734</v>
      </c>
      <c r="V400" s="13" t="s">
        <v>9735</v>
      </c>
      <c r="W400" s="13" t="s">
        <v>9736</v>
      </c>
      <c r="X400" s="13" t="s">
        <v>9658</v>
      </c>
      <c r="Z400" s="13" t="s">
        <v>1363</v>
      </c>
      <c r="AA400" s="13" t="s">
        <v>9737</v>
      </c>
      <c r="AB400" s="13" t="s">
        <v>447</v>
      </c>
      <c r="AC400" s="21">
        <v>41394.461006944446</v>
      </c>
      <c r="AD400" s="21">
        <v>42550.73746527778</v>
      </c>
      <c r="AE400" s="13" t="s">
        <v>9629</v>
      </c>
      <c r="AF400" s="13" t="s">
        <v>9634</v>
      </c>
    </row>
    <row r="401" spans="1:32">
      <c r="A401" s="13" t="s">
        <v>10884</v>
      </c>
      <c r="B401" s="13" t="s">
        <v>1150</v>
      </c>
      <c r="C401" s="13" t="s">
        <v>1363</v>
      </c>
      <c r="D401" s="13" t="s">
        <v>1150</v>
      </c>
      <c r="E401" s="13" t="s">
        <v>1363</v>
      </c>
      <c r="F401" s="13" t="s">
        <v>447</v>
      </c>
      <c r="G401" s="13" t="s">
        <v>1363</v>
      </c>
      <c r="H401" s="13" t="s">
        <v>1381</v>
      </c>
      <c r="I401" s="13" t="s">
        <v>10885</v>
      </c>
      <c r="J401" s="13" t="s">
        <v>447</v>
      </c>
      <c r="K401" s="13" t="s">
        <v>1363</v>
      </c>
      <c r="L401" s="13" t="s">
        <v>447</v>
      </c>
      <c r="M401" s="13" t="s">
        <v>1363</v>
      </c>
      <c r="N401" s="13" t="s">
        <v>9626</v>
      </c>
      <c r="P401" s="15">
        <v>367</v>
      </c>
      <c r="Q401" s="15">
        <v>42550</v>
      </c>
      <c r="R401" s="13" t="s">
        <v>10675</v>
      </c>
      <c r="S401" s="13" t="s">
        <v>1363</v>
      </c>
      <c r="T401" s="13" t="s">
        <v>10886</v>
      </c>
      <c r="U401" s="13" t="s">
        <v>9734</v>
      </c>
      <c r="V401" s="13" t="s">
        <v>9735</v>
      </c>
      <c r="W401" s="13" t="s">
        <v>9736</v>
      </c>
      <c r="X401" s="13" t="s">
        <v>9658</v>
      </c>
      <c r="Z401" s="13" t="s">
        <v>1363</v>
      </c>
      <c r="AA401" s="13" t="s">
        <v>9737</v>
      </c>
      <c r="AB401" s="13" t="s">
        <v>447</v>
      </c>
      <c r="AC401" s="21">
        <v>41394.461006944446</v>
      </c>
      <c r="AD401" s="21">
        <v>42550.737476851849</v>
      </c>
      <c r="AE401" s="13" t="s">
        <v>9629</v>
      </c>
      <c r="AF401" s="13" t="s">
        <v>9634</v>
      </c>
    </row>
    <row r="402" spans="1:32">
      <c r="A402" s="13" t="s">
        <v>10887</v>
      </c>
      <c r="B402" s="13" t="s">
        <v>1150</v>
      </c>
      <c r="C402" s="13" t="s">
        <v>1363</v>
      </c>
      <c r="D402" s="13" t="s">
        <v>1150</v>
      </c>
      <c r="E402" s="13" t="s">
        <v>1363</v>
      </c>
      <c r="F402" s="13" t="s">
        <v>447</v>
      </c>
      <c r="G402" s="13" t="s">
        <v>1363</v>
      </c>
      <c r="H402" s="13" t="s">
        <v>1381</v>
      </c>
      <c r="I402" s="13" t="s">
        <v>10888</v>
      </c>
      <c r="J402" s="13" t="s">
        <v>447</v>
      </c>
      <c r="K402" s="13" t="s">
        <v>1363</v>
      </c>
      <c r="L402" s="13" t="s">
        <v>447</v>
      </c>
      <c r="M402" s="13" t="s">
        <v>1363</v>
      </c>
      <c r="N402" s="13" t="s">
        <v>9626</v>
      </c>
      <c r="P402" s="15">
        <v>367</v>
      </c>
      <c r="Q402" s="15">
        <v>42550</v>
      </c>
      <c r="R402" s="13" t="s">
        <v>10675</v>
      </c>
      <c r="S402" s="13" t="s">
        <v>1363</v>
      </c>
      <c r="T402" s="13" t="s">
        <v>10889</v>
      </c>
      <c r="U402" s="13" t="s">
        <v>9734</v>
      </c>
      <c r="V402" s="13" t="s">
        <v>9735</v>
      </c>
      <c r="W402" s="13" t="s">
        <v>9736</v>
      </c>
      <c r="X402" s="13" t="s">
        <v>9658</v>
      </c>
      <c r="Z402" s="13" t="s">
        <v>1363</v>
      </c>
      <c r="AA402" s="13" t="s">
        <v>9737</v>
      </c>
      <c r="AB402" s="13" t="s">
        <v>447</v>
      </c>
      <c r="AC402" s="21">
        <v>41394.461006944446</v>
      </c>
      <c r="AD402" s="21">
        <v>42550.737476851849</v>
      </c>
      <c r="AE402" s="13" t="s">
        <v>9629</v>
      </c>
      <c r="AF402" s="13" t="s">
        <v>9634</v>
      </c>
    </row>
    <row r="403" spans="1:32">
      <c r="A403" s="13" t="s">
        <v>10890</v>
      </c>
      <c r="B403" s="13" t="s">
        <v>1150</v>
      </c>
      <c r="C403" s="13" t="s">
        <v>1363</v>
      </c>
      <c r="D403" s="13" t="s">
        <v>1150</v>
      </c>
      <c r="E403" s="13" t="s">
        <v>1363</v>
      </c>
      <c r="F403" s="13" t="s">
        <v>447</v>
      </c>
      <c r="G403" s="13" t="s">
        <v>1363</v>
      </c>
      <c r="H403" s="13" t="s">
        <v>1381</v>
      </c>
      <c r="I403" s="13" t="s">
        <v>10891</v>
      </c>
      <c r="J403" s="13" t="s">
        <v>447</v>
      </c>
      <c r="K403" s="13" t="s">
        <v>1363</v>
      </c>
      <c r="L403" s="13" t="s">
        <v>447</v>
      </c>
      <c r="M403" s="13" t="s">
        <v>1363</v>
      </c>
      <c r="N403" s="13" t="s">
        <v>9626</v>
      </c>
      <c r="P403" s="15">
        <v>367</v>
      </c>
      <c r="Q403" s="15">
        <v>42550</v>
      </c>
      <c r="R403" s="13" t="s">
        <v>10892</v>
      </c>
      <c r="S403" s="13" t="s">
        <v>447</v>
      </c>
      <c r="T403" s="13" t="s">
        <v>10893</v>
      </c>
      <c r="U403" s="13" t="s">
        <v>9734</v>
      </c>
      <c r="V403" s="13" t="s">
        <v>9735</v>
      </c>
      <c r="W403" s="13" t="s">
        <v>9736</v>
      </c>
      <c r="X403" s="13" t="s">
        <v>9658</v>
      </c>
      <c r="Z403" s="13" t="s">
        <v>1363</v>
      </c>
      <c r="AA403" s="13" t="s">
        <v>9737</v>
      </c>
      <c r="AB403" s="13" t="s">
        <v>447</v>
      </c>
      <c r="AC403" s="21">
        <v>41394.461770833332</v>
      </c>
      <c r="AD403" s="21">
        <v>42550.737476851849</v>
      </c>
      <c r="AE403" s="13" t="s">
        <v>9629</v>
      </c>
      <c r="AF403" s="13" t="s">
        <v>9634</v>
      </c>
    </row>
    <row r="404" spans="1:32">
      <c r="A404" s="13" t="s">
        <v>10894</v>
      </c>
      <c r="B404" s="13" t="s">
        <v>1150</v>
      </c>
      <c r="C404" s="13" t="s">
        <v>1363</v>
      </c>
      <c r="D404" s="13" t="s">
        <v>1150</v>
      </c>
      <c r="E404" s="13" t="s">
        <v>1363</v>
      </c>
      <c r="F404" s="13" t="s">
        <v>447</v>
      </c>
      <c r="G404" s="13" t="s">
        <v>1363</v>
      </c>
      <c r="H404" s="13" t="s">
        <v>1381</v>
      </c>
      <c r="I404" s="13" t="s">
        <v>10895</v>
      </c>
      <c r="J404" s="13" t="s">
        <v>447</v>
      </c>
      <c r="K404" s="13" t="s">
        <v>1363</v>
      </c>
      <c r="L404" s="13" t="s">
        <v>447</v>
      </c>
      <c r="M404" s="13" t="s">
        <v>1363</v>
      </c>
      <c r="N404" s="13" t="s">
        <v>9626</v>
      </c>
      <c r="P404" s="15">
        <v>367</v>
      </c>
      <c r="Q404" s="15">
        <v>42550</v>
      </c>
      <c r="R404" s="13" t="s">
        <v>10892</v>
      </c>
      <c r="S404" s="13" t="s">
        <v>447</v>
      </c>
      <c r="T404" s="13" t="s">
        <v>10896</v>
      </c>
      <c r="U404" s="13" t="s">
        <v>9734</v>
      </c>
      <c r="V404" s="13" t="s">
        <v>9735</v>
      </c>
      <c r="W404" s="13" t="s">
        <v>9736</v>
      </c>
      <c r="X404" s="13" t="s">
        <v>9658</v>
      </c>
      <c r="Z404" s="13" t="s">
        <v>1363</v>
      </c>
      <c r="AA404" s="13" t="s">
        <v>9737</v>
      </c>
      <c r="AB404" s="13" t="s">
        <v>447</v>
      </c>
      <c r="AC404" s="21">
        <v>41394.461770833332</v>
      </c>
      <c r="AD404" s="21">
        <v>42550.737476851849</v>
      </c>
      <c r="AE404" s="13" t="s">
        <v>9629</v>
      </c>
      <c r="AF404" s="13" t="s">
        <v>9634</v>
      </c>
    </row>
    <row r="405" spans="1:32">
      <c r="A405" s="13" t="s">
        <v>10897</v>
      </c>
      <c r="B405" s="13" t="s">
        <v>1150</v>
      </c>
      <c r="C405" s="13" t="s">
        <v>1363</v>
      </c>
      <c r="D405" s="13" t="s">
        <v>1150</v>
      </c>
      <c r="E405" s="13" t="s">
        <v>1363</v>
      </c>
      <c r="F405" s="13" t="s">
        <v>447</v>
      </c>
      <c r="G405" s="13" t="s">
        <v>1363</v>
      </c>
      <c r="H405" s="13" t="s">
        <v>1381</v>
      </c>
      <c r="I405" s="13" t="s">
        <v>10898</v>
      </c>
      <c r="J405" s="13" t="s">
        <v>447</v>
      </c>
      <c r="K405" s="13" t="s">
        <v>1363</v>
      </c>
      <c r="L405" s="13" t="s">
        <v>447</v>
      </c>
      <c r="M405" s="13" t="s">
        <v>1363</v>
      </c>
      <c r="N405" s="13" t="s">
        <v>9626</v>
      </c>
      <c r="P405" s="15">
        <v>367</v>
      </c>
      <c r="Q405" s="15">
        <v>42550</v>
      </c>
      <c r="R405" s="13" t="s">
        <v>10892</v>
      </c>
      <c r="S405" s="13" t="s">
        <v>447</v>
      </c>
      <c r="T405" s="13" t="s">
        <v>10899</v>
      </c>
      <c r="U405" s="13" t="s">
        <v>9734</v>
      </c>
      <c r="V405" s="13" t="s">
        <v>9735</v>
      </c>
      <c r="W405" s="13" t="s">
        <v>9736</v>
      </c>
      <c r="X405" s="13" t="s">
        <v>9658</v>
      </c>
      <c r="Z405" s="13" t="s">
        <v>1363</v>
      </c>
      <c r="AA405" s="13" t="s">
        <v>9737</v>
      </c>
      <c r="AB405" s="13" t="s">
        <v>447</v>
      </c>
      <c r="AC405" s="21">
        <v>41394.461782407408</v>
      </c>
      <c r="AD405" s="21">
        <v>42550.737476851849</v>
      </c>
      <c r="AE405" s="13" t="s">
        <v>9629</v>
      </c>
      <c r="AF405" s="13" t="s">
        <v>9634</v>
      </c>
    </row>
    <row r="406" spans="1:32">
      <c r="A406" s="13" t="s">
        <v>10900</v>
      </c>
      <c r="B406" s="13" t="s">
        <v>1150</v>
      </c>
      <c r="C406" s="13" t="s">
        <v>1363</v>
      </c>
      <c r="D406" s="13" t="s">
        <v>1150</v>
      </c>
      <c r="E406" s="13" t="s">
        <v>1363</v>
      </c>
      <c r="F406" s="13" t="s">
        <v>447</v>
      </c>
      <c r="G406" s="13" t="s">
        <v>1363</v>
      </c>
      <c r="H406" s="13" t="s">
        <v>1381</v>
      </c>
      <c r="I406" s="13" t="s">
        <v>10901</v>
      </c>
      <c r="J406" s="13" t="s">
        <v>447</v>
      </c>
      <c r="K406" s="13" t="s">
        <v>1363</v>
      </c>
      <c r="L406" s="13" t="s">
        <v>447</v>
      </c>
      <c r="M406" s="13" t="s">
        <v>1363</v>
      </c>
      <c r="N406" s="13" t="s">
        <v>9626</v>
      </c>
      <c r="P406" s="15">
        <v>367</v>
      </c>
      <c r="Q406" s="15">
        <v>42550</v>
      </c>
      <c r="R406" s="13" t="s">
        <v>10892</v>
      </c>
      <c r="S406" s="13" t="s">
        <v>447</v>
      </c>
      <c r="T406" s="13" t="s">
        <v>10902</v>
      </c>
      <c r="U406" s="13" t="s">
        <v>9734</v>
      </c>
      <c r="V406" s="13" t="s">
        <v>9735</v>
      </c>
      <c r="W406" s="13" t="s">
        <v>9736</v>
      </c>
      <c r="X406" s="13" t="s">
        <v>9658</v>
      </c>
      <c r="Z406" s="13" t="s">
        <v>1363</v>
      </c>
      <c r="AA406" s="13" t="s">
        <v>9737</v>
      </c>
      <c r="AB406" s="13" t="s">
        <v>447</v>
      </c>
      <c r="AC406" s="21">
        <v>41394.461782407408</v>
      </c>
      <c r="AD406" s="21">
        <v>42550.737476851849</v>
      </c>
      <c r="AE406" s="13" t="s">
        <v>9629</v>
      </c>
      <c r="AF406" s="13" t="s">
        <v>9634</v>
      </c>
    </row>
    <row r="407" spans="1:32">
      <c r="A407" s="13" t="s">
        <v>10903</v>
      </c>
      <c r="B407" s="13" t="s">
        <v>1150</v>
      </c>
      <c r="C407" s="13" t="s">
        <v>1363</v>
      </c>
      <c r="D407" s="13" t="s">
        <v>1150</v>
      </c>
      <c r="E407" s="13" t="s">
        <v>1363</v>
      </c>
      <c r="F407" s="13" t="s">
        <v>447</v>
      </c>
      <c r="G407" s="13" t="s">
        <v>1363</v>
      </c>
      <c r="H407" s="13" t="s">
        <v>1381</v>
      </c>
      <c r="I407" s="13" t="s">
        <v>10904</v>
      </c>
      <c r="J407" s="13" t="s">
        <v>447</v>
      </c>
      <c r="K407" s="13" t="s">
        <v>1363</v>
      </c>
      <c r="L407" s="13" t="s">
        <v>447</v>
      </c>
      <c r="M407" s="13" t="s">
        <v>1363</v>
      </c>
      <c r="N407" s="13" t="s">
        <v>9626</v>
      </c>
      <c r="P407" s="15">
        <v>367</v>
      </c>
      <c r="Q407" s="15">
        <v>42550</v>
      </c>
      <c r="R407" s="13" t="s">
        <v>10892</v>
      </c>
      <c r="S407" s="13" t="s">
        <v>447</v>
      </c>
      <c r="T407" s="13" t="s">
        <v>10905</v>
      </c>
      <c r="U407" s="13" t="s">
        <v>9734</v>
      </c>
      <c r="V407" s="13" t="s">
        <v>9735</v>
      </c>
      <c r="W407" s="13" t="s">
        <v>9736</v>
      </c>
      <c r="X407" s="13" t="s">
        <v>9658</v>
      </c>
      <c r="Z407" s="13" t="s">
        <v>1363</v>
      </c>
      <c r="AA407" s="13" t="s">
        <v>9737</v>
      </c>
      <c r="AB407" s="13" t="s">
        <v>447</v>
      </c>
      <c r="AC407" s="21">
        <v>41394.461782407408</v>
      </c>
      <c r="AD407" s="21">
        <v>42550.737476851849</v>
      </c>
      <c r="AE407" s="13" t="s">
        <v>9629</v>
      </c>
      <c r="AF407" s="13" t="s">
        <v>9634</v>
      </c>
    </row>
    <row r="408" spans="1:32">
      <c r="A408" s="13" t="s">
        <v>10906</v>
      </c>
      <c r="B408" s="13" t="s">
        <v>1150</v>
      </c>
      <c r="C408" s="13" t="s">
        <v>1363</v>
      </c>
      <c r="D408" s="13" t="s">
        <v>1150</v>
      </c>
      <c r="E408" s="13" t="s">
        <v>1363</v>
      </c>
      <c r="F408" s="13" t="s">
        <v>447</v>
      </c>
      <c r="G408" s="13" t="s">
        <v>1363</v>
      </c>
      <c r="H408" s="13" t="s">
        <v>1381</v>
      </c>
      <c r="I408" s="13" t="s">
        <v>10907</v>
      </c>
      <c r="J408" s="13" t="s">
        <v>447</v>
      </c>
      <c r="K408" s="13" t="s">
        <v>1363</v>
      </c>
      <c r="L408" s="13" t="s">
        <v>447</v>
      </c>
      <c r="M408" s="13" t="s">
        <v>1363</v>
      </c>
      <c r="N408" s="13" t="s">
        <v>9626</v>
      </c>
      <c r="P408" s="15">
        <v>367</v>
      </c>
      <c r="Q408" s="15">
        <v>42550</v>
      </c>
      <c r="R408" s="13" t="s">
        <v>10892</v>
      </c>
      <c r="S408" s="13" t="s">
        <v>447</v>
      </c>
      <c r="T408" s="13" t="s">
        <v>10908</v>
      </c>
      <c r="U408" s="13" t="s">
        <v>9734</v>
      </c>
      <c r="V408" s="13" t="s">
        <v>9735</v>
      </c>
      <c r="W408" s="13" t="s">
        <v>9736</v>
      </c>
      <c r="X408" s="13" t="s">
        <v>9658</v>
      </c>
      <c r="Z408" s="13" t="s">
        <v>1363</v>
      </c>
      <c r="AA408" s="13" t="s">
        <v>9737</v>
      </c>
      <c r="AB408" s="13" t="s">
        <v>447</v>
      </c>
      <c r="AC408" s="21">
        <v>41394.461782407408</v>
      </c>
      <c r="AD408" s="21">
        <v>42550.737488425926</v>
      </c>
      <c r="AE408" s="13" t="s">
        <v>9629</v>
      </c>
      <c r="AF408" s="13" t="s">
        <v>9634</v>
      </c>
    </row>
    <row r="409" spans="1:32">
      <c r="A409" s="13" t="s">
        <v>10909</v>
      </c>
      <c r="B409" s="13" t="s">
        <v>1150</v>
      </c>
      <c r="C409" s="13" t="s">
        <v>1363</v>
      </c>
      <c r="D409" s="13" t="s">
        <v>1150</v>
      </c>
      <c r="E409" s="13" t="s">
        <v>1363</v>
      </c>
      <c r="F409" s="13" t="s">
        <v>447</v>
      </c>
      <c r="G409" s="13" t="s">
        <v>1363</v>
      </c>
      <c r="H409" s="13" t="s">
        <v>1381</v>
      </c>
      <c r="I409" s="13" t="s">
        <v>10910</v>
      </c>
      <c r="J409" s="13" t="s">
        <v>447</v>
      </c>
      <c r="K409" s="13" t="s">
        <v>1363</v>
      </c>
      <c r="L409" s="13" t="s">
        <v>447</v>
      </c>
      <c r="M409" s="13" t="s">
        <v>1363</v>
      </c>
      <c r="N409" s="13" t="s">
        <v>9626</v>
      </c>
      <c r="P409" s="15">
        <v>367</v>
      </c>
      <c r="Q409" s="15">
        <v>42550</v>
      </c>
      <c r="R409" s="13" t="s">
        <v>10892</v>
      </c>
      <c r="S409" s="13" t="s">
        <v>447</v>
      </c>
      <c r="T409" s="13" t="s">
        <v>10911</v>
      </c>
      <c r="U409" s="13" t="s">
        <v>9734</v>
      </c>
      <c r="V409" s="13" t="s">
        <v>9735</v>
      </c>
      <c r="W409" s="13" t="s">
        <v>9736</v>
      </c>
      <c r="X409" s="13" t="s">
        <v>9658</v>
      </c>
      <c r="Z409" s="13" t="s">
        <v>1363</v>
      </c>
      <c r="AA409" s="13" t="s">
        <v>9737</v>
      </c>
      <c r="AB409" s="13" t="s">
        <v>447</v>
      </c>
      <c r="AC409" s="21">
        <v>41394.461782407408</v>
      </c>
      <c r="AD409" s="21">
        <v>42550.737488425926</v>
      </c>
      <c r="AE409" s="13" t="s">
        <v>9629</v>
      </c>
      <c r="AF409" s="13" t="s">
        <v>9634</v>
      </c>
    </row>
    <row r="410" spans="1:32">
      <c r="A410" s="13" t="s">
        <v>10912</v>
      </c>
      <c r="B410" s="13" t="s">
        <v>1150</v>
      </c>
      <c r="C410" s="13" t="s">
        <v>1363</v>
      </c>
      <c r="D410" s="13" t="s">
        <v>1150</v>
      </c>
      <c r="E410" s="13" t="s">
        <v>1363</v>
      </c>
      <c r="F410" s="13" t="s">
        <v>447</v>
      </c>
      <c r="G410" s="13" t="s">
        <v>1363</v>
      </c>
      <c r="H410" s="13" t="s">
        <v>1381</v>
      </c>
      <c r="I410" s="13" t="s">
        <v>10913</v>
      </c>
      <c r="J410" s="13" t="s">
        <v>447</v>
      </c>
      <c r="K410" s="13" t="s">
        <v>1363</v>
      </c>
      <c r="L410" s="13" t="s">
        <v>447</v>
      </c>
      <c r="M410" s="13" t="s">
        <v>1363</v>
      </c>
      <c r="N410" s="13" t="s">
        <v>9626</v>
      </c>
      <c r="P410" s="15">
        <v>367</v>
      </c>
      <c r="Q410" s="15">
        <v>42550</v>
      </c>
      <c r="R410" s="13" t="s">
        <v>10892</v>
      </c>
      <c r="S410" s="13" t="s">
        <v>447</v>
      </c>
      <c r="T410" s="13" t="s">
        <v>10914</v>
      </c>
      <c r="U410" s="13" t="s">
        <v>9734</v>
      </c>
      <c r="V410" s="13" t="s">
        <v>9735</v>
      </c>
      <c r="W410" s="13" t="s">
        <v>9736</v>
      </c>
      <c r="X410" s="13" t="s">
        <v>9658</v>
      </c>
      <c r="Z410" s="13" t="s">
        <v>1363</v>
      </c>
      <c r="AA410" s="13" t="s">
        <v>9737</v>
      </c>
      <c r="AB410" s="13" t="s">
        <v>447</v>
      </c>
      <c r="AC410" s="21">
        <v>41394.461782407408</v>
      </c>
      <c r="AD410" s="21">
        <v>42550.737488425926</v>
      </c>
      <c r="AE410" s="13" t="s">
        <v>9629</v>
      </c>
      <c r="AF410" s="13" t="s">
        <v>9634</v>
      </c>
    </row>
    <row r="411" spans="1:32">
      <c r="A411" s="13" t="s">
        <v>10915</v>
      </c>
      <c r="B411" s="13" t="s">
        <v>1150</v>
      </c>
      <c r="C411" s="13" t="s">
        <v>1363</v>
      </c>
      <c r="D411" s="13" t="s">
        <v>1150</v>
      </c>
      <c r="E411" s="13" t="s">
        <v>1363</v>
      </c>
      <c r="F411" s="13" t="s">
        <v>447</v>
      </c>
      <c r="G411" s="13" t="s">
        <v>1363</v>
      </c>
      <c r="H411" s="13" t="s">
        <v>1381</v>
      </c>
      <c r="I411" s="13" t="s">
        <v>10916</v>
      </c>
      <c r="J411" s="13" t="s">
        <v>447</v>
      </c>
      <c r="K411" s="13" t="s">
        <v>1363</v>
      </c>
      <c r="L411" s="13" t="s">
        <v>447</v>
      </c>
      <c r="M411" s="13" t="s">
        <v>1363</v>
      </c>
      <c r="N411" s="13" t="s">
        <v>9626</v>
      </c>
      <c r="P411" s="15">
        <v>367</v>
      </c>
      <c r="Q411" s="15">
        <v>42550</v>
      </c>
      <c r="R411" s="13" t="s">
        <v>10892</v>
      </c>
      <c r="S411" s="13" t="s">
        <v>447</v>
      </c>
      <c r="T411" s="13" t="s">
        <v>10917</v>
      </c>
      <c r="U411" s="13" t="s">
        <v>9734</v>
      </c>
      <c r="V411" s="13" t="s">
        <v>9735</v>
      </c>
      <c r="W411" s="13" t="s">
        <v>9736</v>
      </c>
      <c r="X411" s="13" t="s">
        <v>9658</v>
      </c>
      <c r="Z411" s="13" t="s">
        <v>1363</v>
      </c>
      <c r="AA411" s="13" t="s">
        <v>9737</v>
      </c>
      <c r="AB411" s="13" t="s">
        <v>447</v>
      </c>
      <c r="AC411" s="21">
        <v>41394.461782407408</v>
      </c>
      <c r="AD411" s="21">
        <v>42550.737488425926</v>
      </c>
      <c r="AE411" s="13" t="s">
        <v>9629</v>
      </c>
      <c r="AF411" s="13" t="s">
        <v>9634</v>
      </c>
    </row>
    <row r="412" spans="1:32">
      <c r="A412" s="13" t="s">
        <v>10918</v>
      </c>
      <c r="B412" s="13" t="s">
        <v>1150</v>
      </c>
      <c r="C412" s="13" t="s">
        <v>1363</v>
      </c>
      <c r="D412" s="13" t="s">
        <v>1150</v>
      </c>
      <c r="E412" s="13" t="s">
        <v>1363</v>
      </c>
      <c r="F412" s="13" t="s">
        <v>447</v>
      </c>
      <c r="G412" s="13" t="s">
        <v>1363</v>
      </c>
      <c r="H412" s="13" t="s">
        <v>1381</v>
      </c>
      <c r="I412" s="13" t="s">
        <v>10919</v>
      </c>
      <c r="J412" s="13" t="s">
        <v>447</v>
      </c>
      <c r="K412" s="13" t="s">
        <v>1363</v>
      </c>
      <c r="L412" s="13" t="s">
        <v>447</v>
      </c>
      <c r="M412" s="13" t="s">
        <v>1363</v>
      </c>
      <c r="N412" s="13" t="s">
        <v>9626</v>
      </c>
      <c r="P412" s="15">
        <v>367</v>
      </c>
      <c r="Q412" s="15">
        <v>42550</v>
      </c>
      <c r="R412" s="13" t="s">
        <v>10892</v>
      </c>
      <c r="S412" s="13" t="s">
        <v>447</v>
      </c>
      <c r="T412" s="13" t="s">
        <v>10920</v>
      </c>
      <c r="U412" s="13" t="s">
        <v>9734</v>
      </c>
      <c r="V412" s="13" t="s">
        <v>9735</v>
      </c>
      <c r="W412" s="13" t="s">
        <v>9736</v>
      </c>
      <c r="X412" s="13" t="s">
        <v>9658</v>
      </c>
      <c r="Z412" s="13" t="s">
        <v>1363</v>
      </c>
      <c r="AA412" s="13" t="s">
        <v>9737</v>
      </c>
      <c r="AB412" s="13" t="s">
        <v>447</v>
      </c>
      <c r="AC412" s="21">
        <v>41394.461782407408</v>
      </c>
      <c r="AD412" s="21">
        <v>42550.737488425926</v>
      </c>
      <c r="AE412" s="13" t="s">
        <v>9629</v>
      </c>
      <c r="AF412" s="13" t="s">
        <v>9634</v>
      </c>
    </row>
    <row r="413" spans="1:32">
      <c r="A413" s="13" t="s">
        <v>10921</v>
      </c>
      <c r="B413" s="13" t="s">
        <v>1150</v>
      </c>
      <c r="C413" s="13" t="s">
        <v>1363</v>
      </c>
      <c r="D413" s="13" t="s">
        <v>1150</v>
      </c>
      <c r="E413" s="13" t="s">
        <v>1363</v>
      </c>
      <c r="F413" s="13" t="s">
        <v>447</v>
      </c>
      <c r="G413" s="13" t="s">
        <v>1363</v>
      </c>
      <c r="H413" s="13" t="s">
        <v>1381</v>
      </c>
      <c r="I413" s="13" t="s">
        <v>10922</v>
      </c>
      <c r="J413" s="13" t="s">
        <v>447</v>
      </c>
      <c r="K413" s="13" t="s">
        <v>1363</v>
      </c>
      <c r="L413" s="13" t="s">
        <v>447</v>
      </c>
      <c r="M413" s="13" t="s">
        <v>1363</v>
      </c>
      <c r="N413" s="13" t="s">
        <v>9626</v>
      </c>
      <c r="P413" s="15">
        <v>367</v>
      </c>
      <c r="Q413" s="15">
        <v>42550</v>
      </c>
      <c r="R413" s="13" t="s">
        <v>10892</v>
      </c>
      <c r="S413" s="13" t="s">
        <v>447</v>
      </c>
      <c r="T413" s="13" t="s">
        <v>10923</v>
      </c>
      <c r="U413" s="13" t="s">
        <v>9734</v>
      </c>
      <c r="V413" s="13" t="s">
        <v>9735</v>
      </c>
      <c r="W413" s="13" t="s">
        <v>9736</v>
      </c>
      <c r="X413" s="13" t="s">
        <v>9658</v>
      </c>
      <c r="Z413" s="13" t="s">
        <v>1363</v>
      </c>
      <c r="AA413" s="13" t="s">
        <v>9737</v>
      </c>
      <c r="AB413" s="13" t="s">
        <v>447</v>
      </c>
      <c r="AC413" s="21">
        <v>41394.461782407408</v>
      </c>
      <c r="AD413" s="21">
        <v>42550.737488425926</v>
      </c>
      <c r="AE413" s="13" t="s">
        <v>9629</v>
      </c>
      <c r="AF413" s="13" t="s">
        <v>9634</v>
      </c>
    </row>
    <row r="414" spans="1:32">
      <c r="A414" s="13" t="s">
        <v>10924</v>
      </c>
      <c r="B414" s="13" t="s">
        <v>1150</v>
      </c>
      <c r="C414" s="13" t="s">
        <v>1363</v>
      </c>
      <c r="D414" s="13" t="s">
        <v>1150</v>
      </c>
      <c r="E414" s="13" t="s">
        <v>1363</v>
      </c>
      <c r="F414" s="13" t="s">
        <v>447</v>
      </c>
      <c r="G414" s="13" t="s">
        <v>1363</v>
      </c>
      <c r="H414" s="13" t="s">
        <v>1381</v>
      </c>
      <c r="I414" s="13" t="s">
        <v>10925</v>
      </c>
      <c r="J414" s="13" t="s">
        <v>447</v>
      </c>
      <c r="K414" s="13" t="s">
        <v>1363</v>
      </c>
      <c r="L414" s="13" t="s">
        <v>447</v>
      </c>
      <c r="M414" s="13" t="s">
        <v>1363</v>
      </c>
      <c r="N414" s="13" t="s">
        <v>9626</v>
      </c>
      <c r="P414" s="15">
        <v>367</v>
      </c>
      <c r="Q414" s="15">
        <v>42550</v>
      </c>
      <c r="R414" s="13" t="s">
        <v>10892</v>
      </c>
      <c r="S414" s="13" t="s">
        <v>447</v>
      </c>
      <c r="T414" s="13" t="s">
        <v>10926</v>
      </c>
      <c r="U414" s="13" t="s">
        <v>9734</v>
      </c>
      <c r="V414" s="13" t="s">
        <v>9735</v>
      </c>
      <c r="W414" s="13" t="s">
        <v>9736</v>
      </c>
      <c r="X414" s="13" t="s">
        <v>9658</v>
      </c>
      <c r="Z414" s="13" t="s">
        <v>1363</v>
      </c>
      <c r="AA414" s="13" t="s">
        <v>9737</v>
      </c>
      <c r="AB414" s="13" t="s">
        <v>447</v>
      </c>
      <c r="AC414" s="21">
        <v>41394.461793981478</v>
      </c>
      <c r="AD414" s="21">
        <v>42550.737488425926</v>
      </c>
      <c r="AE414" s="13" t="s">
        <v>9629</v>
      </c>
      <c r="AF414" s="13" t="s">
        <v>9634</v>
      </c>
    </row>
    <row r="415" spans="1:32">
      <c r="A415" s="13" t="s">
        <v>10927</v>
      </c>
      <c r="B415" s="13" t="s">
        <v>1150</v>
      </c>
      <c r="C415" s="13" t="s">
        <v>1363</v>
      </c>
      <c r="D415" s="13" t="s">
        <v>1150</v>
      </c>
      <c r="E415" s="13" t="s">
        <v>1363</v>
      </c>
      <c r="F415" s="13" t="s">
        <v>447</v>
      </c>
      <c r="G415" s="13" t="s">
        <v>1363</v>
      </c>
      <c r="H415" s="13" t="s">
        <v>1381</v>
      </c>
      <c r="I415" s="13" t="s">
        <v>10928</v>
      </c>
      <c r="J415" s="13" t="s">
        <v>447</v>
      </c>
      <c r="K415" s="13" t="s">
        <v>1363</v>
      </c>
      <c r="L415" s="13" t="s">
        <v>447</v>
      </c>
      <c r="M415" s="13" t="s">
        <v>1363</v>
      </c>
      <c r="N415" s="13" t="s">
        <v>9626</v>
      </c>
      <c r="P415" s="15">
        <v>367</v>
      </c>
      <c r="Q415" s="15">
        <v>42550</v>
      </c>
      <c r="R415" s="13" t="s">
        <v>10892</v>
      </c>
      <c r="S415" s="13" t="s">
        <v>447</v>
      </c>
      <c r="T415" s="13" t="s">
        <v>10929</v>
      </c>
      <c r="U415" s="13" t="s">
        <v>9734</v>
      </c>
      <c r="V415" s="13" t="s">
        <v>9735</v>
      </c>
      <c r="W415" s="13" t="s">
        <v>9736</v>
      </c>
      <c r="X415" s="13" t="s">
        <v>9658</v>
      </c>
      <c r="Z415" s="13" t="s">
        <v>1363</v>
      </c>
      <c r="AA415" s="13" t="s">
        <v>9737</v>
      </c>
      <c r="AB415" s="13" t="s">
        <v>447</v>
      </c>
      <c r="AC415" s="21">
        <v>41394.461793981478</v>
      </c>
      <c r="AD415" s="21">
        <v>42550.737488425926</v>
      </c>
      <c r="AE415" s="13" t="s">
        <v>9629</v>
      </c>
      <c r="AF415" s="13" t="s">
        <v>9634</v>
      </c>
    </row>
    <row r="416" spans="1:32">
      <c r="A416" s="13" t="s">
        <v>10930</v>
      </c>
      <c r="B416" s="13" t="s">
        <v>1150</v>
      </c>
      <c r="C416" s="13" t="s">
        <v>1363</v>
      </c>
      <c r="D416" s="13" t="s">
        <v>1150</v>
      </c>
      <c r="E416" s="13" t="s">
        <v>1363</v>
      </c>
      <c r="F416" s="13" t="s">
        <v>447</v>
      </c>
      <c r="G416" s="13" t="s">
        <v>1363</v>
      </c>
      <c r="H416" s="13" t="s">
        <v>1381</v>
      </c>
      <c r="I416" s="13" t="s">
        <v>10931</v>
      </c>
      <c r="J416" s="13" t="s">
        <v>447</v>
      </c>
      <c r="K416" s="13" t="s">
        <v>1363</v>
      </c>
      <c r="L416" s="13" t="s">
        <v>447</v>
      </c>
      <c r="M416" s="13" t="s">
        <v>1363</v>
      </c>
      <c r="N416" s="13" t="s">
        <v>9626</v>
      </c>
      <c r="P416" s="15">
        <v>367</v>
      </c>
      <c r="Q416" s="15">
        <v>42550</v>
      </c>
      <c r="R416" s="13" t="s">
        <v>10892</v>
      </c>
      <c r="S416" s="13" t="s">
        <v>447</v>
      </c>
      <c r="T416" s="13" t="s">
        <v>10932</v>
      </c>
      <c r="U416" s="13" t="s">
        <v>9734</v>
      </c>
      <c r="V416" s="13" t="s">
        <v>9735</v>
      </c>
      <c r="W416" s="13" t="s">
        <v>9736</v>
      </c>
      <c r="X416" s="13" t="s">
        <v>9658</v>
      </c>
      <c r="Z416" s="13" t="s">
        <v>1363</v>
      </c>
      <c r="AA416" s="13" t="s">
        <v>9737</v>
      </c>
      <c r="AB416" s="13" t="s">
        <v>447</v>
      </c>
      <c r="AC416" s="21">
        <v>41394.461793981478</v>
      </c>
      <c r="AD416" s="21">
        <v>42550.737500000003</v>
      </c>
      <c r="AE416" s="13" t="s">
        <v>9629</v>
      </c>
      <c r="AF416" s="13" t="s">
        <v>9634</v>
      </c>
    </row>
    <row r="417" spans="1:32">
      <c r="A417" s="13" t="s">
        <v>10933</v>
      </c>
      <c r="B417" s="13" t="s">
        <v>1150</v>
      </c>
      <c r="C417" s="13" t="s">
        <v>1363</v>
      </c>
      <c r="D417" s="13" t="s">
        <v>1150</v>
      </c>
      <c r="E417" s="13" t="s">
        <v>1363</v>
      </c>
      <c r="F417" s="13" t="s">
        <v>447</v>
      </c>
      <c r="G417" s="13" t="s">
        <v>1363</v>
      </c>
      <c r="H417" s="13" t="s">
        <v>1381</v>
      </c>
      <c r="I417" s="13" t="s">
        <v>10934</v>
      </c>
      <c r="J417" s="13" t="s">
        <v>447</v>
      </c>
      <c r="K417" s="13" t="s">
        <v>1363</v>
      </c>
      <c r="L417" s="13" t="s">
        <v>447</v>
      </c>
      <c r="M417" s="13" t="s">
        <v>1363</v>
      </c>
      <c r="N417" s="13" t="s">
        <v>9626</v>
      </c>
      <c r="P417" s="15">
        <v>367</v>
      </c>
      <c r="Q417" s="15">
        <v>42550</v>
      </c>
      <c r="R417" s="13" t="s">
        <v>10892</v>
      </c>
      <c r="S417" s="13" t="s">
        <v>447</v>
      </c>
      <c r="T417" s="13" t="s">
        <v>10935</v>
      </c>
      <c r="U417" s="13" t="s">
        <v>9734</v>
      </c>
      <c r="V417" s="13" t="s">
        <v>9735</v>
      </c>
      <c r="W417" s="13" t="s">
        <v>9736</v>
      </c>
      <c r="X417" s="13" t="s">
        <v>9658</v>
      </c>
      <c r="Z417" s="13" t="s">
        <v>1363</v>
      </c>
      <c r="AA417" s="13" t="s">
        <v>9737</v>
      </c>
      <c r="AB417" s="13" t="s">
        <v>447</v>
      </c>
      <c r="AC417" s="21">
        <v>41394.461793981478</v>
      </c>
      <c r="AD417" s="21">
        <v>42550.737500000003</v>
      </c>
      <c r="AE417" s="13" t="s">
        <v>9629</v>
      </c>
      <c r="AF417" s="13" t="s">
        <v>9634</v>
      </c>
    </row>
    <row r="418" spans="1:32">
      <c r="A418" s="13" t="s">
        <v>10936</v>
      </c>
      <c r="B418" s="13" t="s">
        <v>1150</v>
      </c>
      <c r="C418" s="13" t="s">
        <v>1363</v>
      </c>
      <c r="D418" s="13" t="s">
        <v>1150</v>
      </c>
      <c r="E418" s="13" t="s">
        <v>1363</v>
      </c>
      <c r="F418" s="13" t="s">
        <v>447</v>
      </c>
      <c r="G418" s="13" t="s">
        <v>1363</v>
      </c>
      <c r="H418" s="13" t="s">
        <v>1381</v>
      </c>
      <c r="I418" s="13" t="s">
        <v>10937</v>
      </c>
      <c r="J418" s="13" t="s">
        <v>447</v>
      </c>
      <c r="K418" s="13" t="s">
        <v>1363</v>
      </c>
      <c r="L418" s="13" t="s">
        <v>447</v>
      </c>
      <c r="M418" s="13" t="s">
        <v>1363</v>
      </c>
      <c r="N418" s="13" t="s">
        <v>9626</v>
      </c>
      <c r="P418" s="15">
        <v>367</v>
      </c>
      <c r="Q418" s="15">
        <v>42550</v>
      </c>
      <c r="R418" s="13" t="s">
        <v>10892</v>
      </c>
      <c r="S418" s="13" t="s">
        <v>447</v>
      </c>
      <c r="T418" s="13" t="s">
        <v>10938</v>
      </c>
      <c r="U418" s="13" t="s">
        <v>9734</v>
      </c>
      <c r="V418" s="13" t="s">
        <v>9735</v>
      </c>
      <c r="W418" s="13" t="s">
        <v>9736</v>
      </c>
      <c r="X418" s="13" t="s">
        <v>9658</v>
      </c>
      <c r="Z418" s="13" t="s">
        <v>1363</v>
      </c>
      <c r="AA418" s="13" t="s">
        <v>9737</v>
      </c>
      <c r="AB418" s="13" t="s">
        <v>447</v>
      </c>
      <c r="AC418" s="21">
        <v>41394.461793981478</v>
      </c>
      <c r="AD418" s="21">
        <v>42550.737500000003</v>
      </c>
      <c r="AE418" s="13" t="s">
        <v>9629</v>
      </c>
      <c r="AF418" s="13" t="s">
        <v>9634</v>
      </c>
    </row>
    <row r="419" spans="1:32">
      <c r="A419" s="13" t="s">
        <v>10939</v>
      </c>
      <c r="B419" s="13" t="s">
        <v>1150</v>
      </c>
      <c r="C419" s="13" t="s">
        <v>1363</v>
      </c>
      <c r="D419" s="13" t="s">
        <v>1150</v>
      </c>
      <c r="E419" s="13" t="s">
        <v>1363</v>
      </c>
      <c r="F419" s="13" t="s">
        <v>447</v>
      </c>
      <c r="G419" s="13" t="s">
        <v>1363</v>
      </c>
      <c r="H419" s="13" t="s">
        <v>1381</v>
      </c>
      <c r="I419" s="13" t="s">
        <v>10940</v>
      </c>
      <c r="J419" s="13" t="s">
        <v>447</v>
      </c>
      <c r="K419" s="13" t="s">
        <v>1363</v>
      </c>
      <c r="L419" s="13" t="s">
        <v>447</v>
      </c>
      <c r="M419" s="13" t="s">
        <v>1363</v>
      </c>
      <c r="N419" s="13" t="s">
        <v>9626</v>
      </c>
      <c r="P419" s="15">
        <v>367</v>
      </c>
      <c r="Q419" s="15">
        <v>42550</v>
      </c>
      <c r="R419" s="13" t="s">
        <v>10892</v>
      </c>
      <c r="S419" s="13" t="s">
        <v>447</v>
      </c>
      <c r="T419" s="13" t="s">
        <v>10941</v>
      </c>
      <c r="U419" s="13" t="s">
        <v>9734</v>
      </c>
      <c r="V419" s="13" t="s">
        <v>9735</v>
      </c>
      <c r="W419" s="13" t="s">
        <v>9736</v>
      </c>
      <c r="X419" s="13" t="s">
        <v>9658</v>
      </c>
      <c r="Z419" s="13" t="s">
        <v>1363</v>
      </c>
      <c r="AA419" s="13" t="s">
        <v>9737</v>
      </c>
      <c r="AB419" s="13" t="s">
        <v>447</v>
      </c>
      <c r="AC419" s="21">
        <v>41394.461793981478</v>
      </c>
      <c r="AD419" s="21">
        <v>42550.737500000003</v>
      </c>
      <c r="AE419" s="13" t="s">
        <v>9629</v>
      </c>
      <c r="AF419" s="13" t="s">
        <v>9634</v>
      </c>
    </row>
    <row r="420" spans="1:32">
      <c r="A420" s="13" t="s">
        <v>10942</v>
      </c>
      <c r="B420" s="13" t="s">
        <v>1150</v>
      </c>
      <c r="C420" s="13" t="s">
        <v>1363</v>
      </c>
      <c r="D420" s="13" t="s">
        <v>1150</v>
      </c>
      <c r="E420" s="13" t="s">
        <v>1363</v>
      </c>
      <c r="F420" s="13" t="s">
        <v>447</v>
      </c>
      <c r="G420" s="13" t="s">
        <v>1363</v>
      </c>
      <c r="H420" s="13" t="s">
        <v>1381</v>
      </c>
      <c r="I420" s="13" t="s">
        <v>10943</v>
      </c>
      <c r="J420" s="13" t="s">
        <v>447</v>
      </c>
      <c r="K420" s="13" t="s">
        <v>1363</v>
      </c>
      <c r="L420" s="13" t="s">
        <v>447</v>
      </c>
      <c r="M420" s="13" t="s">
        <v>1363</v>
      </c>
      <c r="N420" s="13" t="s">
        <v>9626</v>
      </c>
      <c r="P420" s="15">
        <v>367</v>
      </c>
      <c r="Q420" s="15">
        <v>42550</v>
      </c>
      <c r="R420" s="13" t="s">
        <v>10892</v>
      </c>
      <c r="S420" s="13" t="s">
        <v>447</v>
      </c>
      <c r="T420" s="13" t="s">
        <v>10944</v>
      </c>
      <c r="U420" s="13" t="s">
        <v>9734</v>
      </c>
      <c r="V420" s="13" t="s">
        <v>9735</v>
      </c>
      <c r="W420" s="13" t="s">
        <v>9736</v>
      </c>
      <c r="X420" s="13" t="s">
        <v>9658</v>
      </c>
      <c r="Z420" s="13" t="s">
        <v>1363</v>
      </c>
      <c r="AA420" s="13" t="s">
        <v>9737</v>
      </c>
      <c r="AB420" s="13" t="s">
        <v>447</v>
      </c>
      <c r="AC420" s="21">
        <v>41394.461793981478</v>
      </c>
      <c r="AD420" s="21">
        <v>42550.737500000003</v>
      </c>
      <c r="AE420" s="13" t="s">
        <v>9629</v>
      </c>
      <c r="AF420" s="13" t="s">
        <v>9634</v>
      </c>
    </row>
    <row r="421" spans="1:32">
      <c r="A421" s="13" t="s">
        <v>10945</v>
      </c>
      <c r="B421" s="13" t="s">
        <v>1150</v>
      </c>
      <c r="C421" s="13" t="s">
        <v>1363</v>
      </c>
      <c r="D421" s="13" t="s">
        <v>1150</v>
      </c>
      <c r="E421" s="13" t="s">
        <v>1363</v>
      </c>
      <c r="F421" s="13" t="s">
        <v>447</v>
      </c>
      <c r="G421" s="13" t="s">
        <v>1363</v>
      </c>
      <c r="H421" s="13" t="s">
        <v>1381</v>
      </c>
      <c r="I421" s="13" t="s">
        <v>10946</v>
      </c>
      <c r="J421" s="13" t="s">
        <v>447</v>
      </c>
      <c r="K421" s="13" t="s">
        <v>1363</v>
      </c>
      <c r="L421" s="13" t="s">
        <v>447</v>
      </c>
      <c r="M421" s="13" t="s">
        <v>1363</v>
      </c>
      <c r="N421" s="13" t="s">
        <v>9626</v>
      </c>
      <c r="P421" s="15">
        <v>367</v>
      </c>
      <c r="Q421" s="15">
        <v>42550</v>
      </c>
      <c r="R421" s="13" t="s">
        <v>10892</v>
      </c>
      <c r="S421" s="13" t="s">
        <v>447</v>
      </c>
      <c r="T421" s="13" t="s">
        <v>10947</v>
      </c>
      <c r="U421" s="13" t="s">
        <v>9734</v>
      </c>
      <c r="V421" s="13" t="s">
        <v>9735</v>
      </c>
      <c r="W421" s="13" t="s">
        <v>9736</v>
      </c>
      <c r="X421" s="13" t="s">
        <v>9658</v>
      </c>
      <c r="Z421" s="13" t="s">
        <v>1363</v>
      </c>
      <c r="AA421" s="13" t="s">
        <v>9737</v>
      </c>
      <c r="AB421" s="13" t="s">
        <v>447</v>
      </c>
      <c r="AC421" s="21">
        <v>41394.461793981478</v>
      </c>
      <c r="AD421" s="21">
        <v>42550.737500000003</v>
      </c>
      <c r="AE421" s="13" t="s">
        <v>9629</v>
      </c>
      <c r="AF421" s="13" t="s">
        <v>9634</v>
      </c>
    </row>
    <row r="422" spans="1:32">
      <c r="A422" s="13" t="s">
        <v>10948</v>
      </c>
      <c r="B422" s="13" t="s">
        <v>1150</v>
      </c>
      <c r="C422" s="13" t="s">
        <v>1363</v>
      </c>
      <c r="D422" s="13" t="s">
        <v>1150</v>
      </c>
      <c r="E422" s="13" t="s">
        <v>1363</v>
      </c>
      <c r="F422" s="13" t="s">
        <v>447</v>
      </c>
      <c r="G422" s="13" t="s">
        <v>1363</v>
      </c>
      <c r="H422" s="13" t="s">
        <v>1381</v>
      </c>
      <c r="I422" s="13" t="s">
        <v>10949</v>
      </c>
      <c r="J422" s="13" t="s">
        <v>447</v>
      </c>
      <c r="K422" s="13" t="s">
        <v>1363</v>
      </c>
      <c r="L422" s="13" t="s">
        <v>447</v>
      </c>
      <c r="M422" s="13" t="s">
        <v>1363</v>
      </c>
      <c r="N422" s="13" t="s">
        <v>9626</v>
      </c>
      <c r="P422" s="15">
        <v>367</v>
      </c>
      <c r="Q422" s="15">
        <v>42550</v>
      </c>
      <c r="R422" s="13" t="s">
        <v>10892</v>
      </c>
      <c r="S422" s="13" t="s">
        <v>447</v>
      </c>
      <c r="T422" s="13" t="s">
        <v>10950</v>
      </c>
      <c r="U422" s="13" t="s">
        <v>9734</v>
      </c>
      <c r="V422" s="13" t="s">
        <v>9735</v>
      </c>
      <c r="W422" s="13" t="s">
        <v>9736</v>
      </c>
      <c r="X422" s="13" t="s">
        <v>9658</v>
      </c>
      <c r="Z422" s="13" t="s">
        <v>1363</v>
      </c>
      <c r="AA422" s="13" t="s">
        <v>9737</v>
      </c>
      <c r="AB422" s="13" t="s">
        <v>447</v>
      </c>
      <c r="AC422" s="21">
        <v>41394.461793981478</v>
      </c>
      <c r="AD422" s="21">
        <v>42550.737500000003</v>
      </c>
      <c r="AE422" s="13" t="s">
        <v>9629</v>
      </c>
      <c r="AF422" s="13" t="s">
        <v>9634</v>
      </c>
    </row>
    <row r="423" spans="1:32">
      <c r="A423" s="13" t="s">
        <v>10951</v>
      </c>
      <c r="B423" s="13" t="s">
        <v>1150</v>
      </c>
      <c r="C423" s="13" t="s">
        <v>1363</v>
      </c>
      <c r="D423" s="13" t="s">
        <v>1150</v>
      </c>
      <c r="E423" s="13" t="s">
        <v>1363</v>
      </c>
      <c r="F423" s="13" t="s">
        <v>447</v>
      </c>
      <c r="G423" s="13" t="s">
        <v>1363</v>
      </c>
      <c r="H423" s="13" t="s">
        <v>1381</v>
      </c>
      <c r="I423" s="13" t="s">
        <v>10952</v>
      </c>
      <c r="J423" s="13" t="s">
        <v>447</v>
      </c>
      <c r="K423" s="13" t="s">
        <v>1363</v>
      </c>
      <c r="L423" s="13" t="s">
        <v>447</v>
      </c>
      <c r="M423" s="13" t="s">
        <v>1363</v>
      </c>
      <c r="N423" s="13" t="s">
        <v>9626</v>
      </c>
      <c r="P423" s="15">
        <v>367</v>
      </c>
      <c r="Q423" s="15">
        <v>42550</v>
      </c>
      <c r="R423" s="13" t="s">
        <v>10892</v>
      </c>
      <c r="S423" s="13" t="s">
        <v>447</v>
      </c>
      <c r="T423" s="13" t="s">
        <v>10953</v>
      </c>
      <c r="U423" s="13" t="s">
        <v>9734</v>
      </c>
      <c r="V423" s="13" t="s">
        <v>9735</v>
      </c>
      <c r="W423" s="13" t="s">
        <v>9736</v>
      </c>
      <c r="X423" s="13" t="s">
        <v>9658</v>
      </c>
      <c r="Z423" s="13" t="s">
        <v>1363</v>
      </c>
      <c r="AA423" s="13" t="s">
        <v>9737</v>
      </c>
      <c r="AB423" s="13" t="s">
        <v>447</v>
      </c>
      <c r="AC423" s="21">
        <v>41394.461793981478</v>
      </c>
      <c r="AD423" s="21">
        <v>42550.737500000003</v>
      </c>
      <c r="AE423" s="13" t="s">
        <v>9629</v>
      </c>
      <c r="AF423" s="13" t="s">
        <v>9634</v>
      </c>
    </row>
    <row r="424" spans="1:32">
      <c r="A424" s="13" t="s">
        <v>10954</v>
      </c>
      <c r="B424" s="13" t="s">
        <v>1150</v>
      </c>
      <c r="C424" s="13" t="s">
        <v>1363</v>
      </c>
      <c r="D424" s="13" t="s">
        <v>1150</v>
      </c>
      <c r="E424" s="13" t="s">
        <v>1363</v>
      </c>
      <c r="F424" s="13" t="s">
        <v>447</v>
      </c>
      <c r="G424" s="13" t="s">
        <v>1363</v>
      </c>
      <c r="H424" s="13" t="s">
        <v>1381</v>
      </c>
      <c r="I424" s="13" t="s">
        <v>10955</v>
      </c>
      <c r="J424" s="13" t="s">
        <v>447</v>
      </c>
      <c r="K424" s="13" t="s">
        <v>1363</v>
      </c>
      <c r="L424" s="13" t="s">
        <v>447</v>
      </c>
      <c r="M424" s="13" t="s">
        <v>1363</v>
      </c>
      <c r="N424" s="13" t="s">
        <v>9626</v>
      </c>
      <c r="P424" s="15">
        <v>367</v>
      </c>
      <c r="Q424" s="15">
        <v>42550</v>
      </c>
      <c r="R424" s="13" t="s">
        <v>10892</v>
      </c>
      <c r="S424" s="13" t="s">
        <v>447</v>
      </c>
      <c r="T424" s="13" t="s">
        <v>10956</v>
      </c>
      <c r="U424" s="13" t="s">
        <v>9734</v>
      </c>
      <c r="V424" s="13" t="s">
        <v>9735</v>
      </c>
      <c r="W424" s="13" t="s">
        <v>9736</v>
      </c>
      <c r="X424" s="13" t="s">
        <v>9658</v>
      </c>
      <c r="Z424" s="13" t="s">
        <v>1363</v>
      </c>
      <c r="AA424" s="13" t="s">
        <v>9737</v>
      </c>
      <c r="AB424" s="13" t="s">
        <v>447</v>
      </c>
      <c r="AC424" s="21">
        <v>41394.461805555555</v>
      </c>
      <c r="AD424" s="21">
        <v>42550.737500000003</v>
      </c>
      <c r="AE424" s="13" t="s">
        <v>9629</v>
      </c>
      <c r="AF424" s="13" t="s">
        <v>9634</v>
      </c>
    </row>
    <row r="425" spans="1:32">
      <c r="A425" s="13" t="s">
        <v>10957</v>
      </c>
      <c r="B425" s="13" t="s">
        <v>1150</v>
      </c>
      <c r="C425" s="13" t="s">
        <v>1363</v>
      </c>
      <c r="D425" s="13" t="s">
        <v>1150</v>
      </c>
      <c r="E425" s="13" t="s">
        <v>1363</v>
      </c>
      <c r="F425" s="13" t="s">
        <v>447</v>
      </c>
      <c r="G425" s="13" t="s">
        <v>1363</v>
      </c>
      <c r="H425" s="13" t="s">
        <v>1381</v>
      </c>
      <c r="I425" s="13" t="s">
        <v>10958</v>
      </c>
      <c r="J425" s="13" t="s">
        <v>447</v>
      </c>
      <c r="K425" s="13" t="s">
        <v>1363</v>
      </c>
      <c r="L425" s="13" t="s">
        <v>447</v>
      </c>
      <c r="M425" s="13" t="s">
        <v>1363</v>
      </c>
      <c r="N425" s="13" t="s">
        <v>9626</v>
      </c>
      <c r="P425" s="15">
        <v>367</v>
      </c>
      <c r="Q425" s="15">
        <v>42550</v>
      </c>
      <c r="R425" s="13" t="s">
        <v>10892</v>
      </c>
      <c r="S425" s="13" t="s">
        <v>447</v>
      </c>
      <c r="T425" s="13" t="s">
        <v>10959</v>
      </c>
      <c r="U425" s="13" t="s">
        <v>9734</v>
      </c>
      <c r="V425" s="13" t="s">
        <v>9735</v>
      </c>
      <c r="W425" s="13" t="s">
        <v>9736</v>
      </c>
      <c r="X425" s="13" t="s">
        <v>9658</v>
      </c>
      <c r="Z425" s="13" t="s">
        <v>1363</v>
      </c>
      <c r="AA425" s="13" t="s">
        <v>9737</v>
      </c>
      <c r="AB425" s="13" t="s">
        <v>447</v>
      </c>
      <c r="AC425" s="21">
        <v>41394.461805555555</v>
      </c>
      <c r="AD425" s="21">
        <v>42550.737511574072</v>
      </c>
      <c r="AE425" s="13" t="s">
        <v>9629</v>
      </c>
      <c r="AF425" s="13" t="s">
        <v>9634</v>
      </c>
    </row>
    <row r="426" spans="1:32">
      <c r="A426" s="13" t="s">
        <v>10960</v>
      </c>
      <c r="B426" s="13" t="s">
        <v>1150</v>
      </c>
      <c r="C426" s="13" t="s">
        <v>1363</v>
      </c>
      <c r="D426" s="13" t="s">
        <v>1150</v>
      </c>
      <c r="E426" s="13" t="s">
        <v>1363</v>
      </c>
      <c r="F426" s="13" t="s">
        <v>447</v>
      </c>
      <c r="G426" s="13" t="s">
        <v>1363</v>
      </c>
      <c r="H426" s="13" t="s">
        <v>1381</v>
      </c>
      <c r="I426" s="13" t="s">
        <v>10961</v>
      </c>
      <c r="J426" s="13" t="s">
        <v>447</v>
      </c>
      <c r="K426" s="13" t="s">
        <v>1363</v>
      </c>
      <c r="L426" s="13" t="s">
        <v>447</v>
      </c>
      <c r="M426" s="13" t="s">
        <v>1363</v>
      </c>
      <c r="N426" s="13" t="s">
        <v>9626</v>
      </c>
      <c r="P426" s="15">
        <v>367</v>
      </c>
      <c r="Q426" s="15">
        <v>42550</v>
      </c>
      <c r="R426" s="13" t="s">
        <v>10892</v>
      </c>
      <c r="S426" s="13" t="s">
        <v>447</v>
      </c>
      <c r="T426" s="13" t="s">
        <v>10962</v>
      </c>
      <c r="U426" s="13" t="s">
        <v>9734</v>
      </c>
      <c r="V426" s="13" t="s">
        <v>9735</v>
      </c>
      <c r="W426" s="13" t="s">
        <v>9736</v>
      </c>
      <c r="X426" s="13" t="s">
        <v>9658</v>
      </c>
      <c r="Z426" s="13" t="s">
        <v>1363</v>
      </c>
      <c r="AA426" s="13" t="s">
        <v>9737</v>
      </c>
      <c r="AB426" s="13" t="s">
        <v>447</v>
      </c>
      <c r="AC426" s="21">
        <v>41394.461805555555</v>
      </c>
      <c r="AD426" s="21">
        <v>42550.737511574072</v>
      </c>
      <c r="AE426" s="13" t="s">
        <v>9629</v>
      </c>
      <c r="AF426" s="13" t="s">
        <v>9634</v>
      </c>
    </row>
    <row r="427" spans="1:32">
      <c r="A427" s="13" t="s">
        <v>10963</v>
      </c>
      <c r="B427" s="13" t="s">
        <v>1150</v>
      </c>
      <c r="C427" s="13" t="s">
        <v>1363</v>
      </c>
      <c r="D427" s="13" t="s">
        <v>1150</v>
      </c>
      <c r="E427" s="13" t="s">
        <v>1363</v>
      </c>
      <c r="F427" s="13" t="s">
        <v>447</v>
      </c>
      <c r="G427" s="13" t="s">
        <v>1363</v>
      </c>
      <c r="H427" s="13" t="s">
        <v>1381</v>
      </c>
      <c r="I427" s="13" t="s">
        <v>10964</v>
      </c>
      <c r="J427" s="13" t="s">
        <v>447</v>
      </c>
      <c r="K427" s="13" t="s">
        <v>1363</v>
      </c>
      <c r="L427" s="13" t="s">
        <v>447</v>
      </c>
      <c r="M427" s="13" t="s">
        <v>1363</v>
      </c>
      <c r="N427" s="13" t="s">
        <v>9626</v>
      </c>
      <c r="P427" s="15">
        <v>367</v>
      </c>
      <c r="Q427" s="15">
        <v>42550</v>
      </c>
      <c r="R427" s="13" t="s">
        <v>10892</v>
      </c>
      <c r="S427" s="13" t="s">
        <v>447</v>
      </c>
      <c r="T427" s="13" t="s">
        <v>10965</v>
      </c>
      <c r="U427" s="13" t="s">
        <v>9734</v>
      </c>
      <c r="V427" s="13" t="s">
        <v>9735</v>
      </c>
      <c r="W427" s="13" t="s">
        <v>9736</v>
      </c>
      <c r="X427" s="13" t="s">
        <v>9658</v>
      </c>
      <c r="Z427" s="13" t="s">
        <v>1363</v>
      </c>
      <c r="AA427" s="13" t="s">
        <v>9737</v>
      </c>
      <c r="AB427" s="13" t="s">
        <v>447</v>
      </c>
      <c r="AC427" s="21">
        <v>41394.461805555555</v>
      </c>
      <c r="AD427" s="21">
        <v>42550.737511574072</v>
      </c>
      <c r="AE427" s="13" t="s">
        <v>9629</v>
      </c>
      <c r="AF427" s="13" t="s">
        <v>9634</v>
      </c>
    </row>
    <row r="428" spans="1:32">
      <c r="A428" s="13" t="s">
        <v>10966</v>
      </c>
      <c r="B428" s="13" t="s">
        <v>1150</v>
      </c>
      <c r="C428" s="13" t="s">
        <v>1363</v>
      </c>
      <c r="D428" s="13" t="s">
        <v>1150</v>
      </c>
      <c r="E428" s="13" t="s">
        <v>1363</v>
      </c>
      <c r="F428" s="13" t="s">
        <v>447</v>
      </c>
      <c r="G428" s="13" t="s">
        <v>1363</v>
      </c>
      <c r="H428" s="13" t="s">
        <v>1381</v>
      </c>
      <c r="I428" s="13" t="s">
        <v>10967</v>
      </c>
      <c r="J428" s="13" t="s">
        <v>447</v>
      </c>
      <c r="K428" s="13" t="s">
        <v>1363</v>
      </c>
      <c r="L428" s="13" t="s">
        <v>447</v>
      </c>
      <c r="M428" s="13" t="s">
        <v>1363</v>
      </c>
      <c r="N428" s="13" t="s">
        <v>9626</v>
      </c>
      <c r="P428" s="15">
        <v>367</v>
      </c>
      <c r="Q428" s="15">
        <v>42550</v>
      </c>
      <c r="R428" s="13" t="s">
        <v>10892</v>
      </c>
      <c r="S428" s="13" t="s">
        <v>447</v>
      </c>
      <c r="T428" s="13" t="s">
        <v>10968</v>
      </c>
      <c r="U428" s="13" t="s">
        <v>9734</v>
      </c>
      <c r="V428" s="13" t="s">
        <v>9735</v>
      </c>
      <c r="W428" s="13" t="s">
        <v>9736</v>
      </c>
      <c r="X428" s="13" t="s">
        <v>9658</v>
      </c>
      <c r="Z428" s="13" t="s">
        <v>1363</v>
      </c>
      <c r="AA428" s="13" t="s">
        <v>9737</v>
      </c>
      <c r="AB428" s="13" t="s">
        <v>447</v>
      </c>
      <c r="AC428" s="21">
        <v>41394.461805555555</v>
      </c>
      <c r="AD428" s="21">
        <v>42550.737511574072</v>
      </c>
      <c r="AE428" s="13" t="s">
        <v>9629</v>
      </c>
      <c r="AF428" s="13" t="s">
        <v>9634</v>
      </c>
    </row>
    <row r="429" spans="1:32">
      <c r="A429" s="13" t="s">
        <v>10969</v>
      </c>
      <c r="B429" s="13" t="s">
        <v>1150</v>
      </c>
      <c r="C429" s="13" t="s">
        <v>1363</v>
      </c>
      <c r="D429" s="13" t="s">
        <v>1150</v>
      </c>
      <c r="E429" s="13" t="s">
        <v>1363</v>
      </c>
      <c r="F429" s="13" t="s">
        <v>447</v>
      </c>
      <c r="G429" s="13" t="s">
        <v>1363</v>
      </c>
      <c r="H429" s="13" t="s">
        <v>1381</v>
      </c>
      <c r="I429" s="13" t="s">
        <v>10970</v>
      </c>
      <c r="J429" s="13" t="s">
        <v>447</v>
      </c>
      <c r="K429" s="13" t="s">
        <v>1363</v>
      </c>
      <c r="L429" s="13" t="s">
        <v>447</v>
      </c>
      <c r="M429" s="13" t="s">
        <v>1363</v>
      </c>
      <c r="N429" s="13" t="s">
        <v>9626</v>
      </c>
      <c r="P429" s="15">
        <v>367</v>
      </c>
      <c r="Q429" s="15">
        <v>42550</v>
      </c>
      <c r="R429" s="13" t="s">
        <v>10892</v>
      </c>
      <c r="S429" s="13" t="s">
        <v>447</v>
      </c>
      <c r="T429" s="13" t="s">
        <v>10971</v>
      </c>
      <c r="U429" s="13" t="s">
        <v>9734</v>
      </c>
      <c r="V429" s="13" t="s">
        <v>9735</v>
      </c>
      <c r="W429" s="13" t="s">
        <v>9736</v>
      </c>
      <c r="X429" s="13" t="s">
        <v>9658</v>
      </c>
      <c r="Z429" s="13" t="s">
        <v>1363</v>
      </c>
      <c r="AA429" s="13" t="s">
        <v>9737</v>
      </c>
      <c r="AB429" s="13" t="s">
        <v>447</v>
      </c>
      <c r="AC429" s="21">
        <v>41394.461805555555</v>
      </c>
      <c r="AD429" s="21">
        <v>42550.737511574072</v>
      </c>
      <c r="AE429" s="13" t="s">
        <v>9629</v>
      </c>
      <c r="AF429" s="13" t="s">
        <v>9634</v>
      </c>
    </row>
    <row r="430" spans="1:32">
      <c r="A430" s="13" t="s">
        <v>10972</v>
      </c>
      <c r="B430" s="13" t="s">
        <v>1150</v>
      </c>
      <c r="C430" s="13" t="s">
        <v>1363</v>
      </c>
      <c r="D430" s="13" t="s">
        <v>1150</v>
      </c>
      <c r="E430" s="13" t="s">
        <v>1363</v>
      </c>
      <c r="F430" s="13" t="s">
        <v>447</v>
      </c>
      <c r="G430" s="13" t="s">
        <v>1363</v>
      </c>
      <c r="H430" s="13" t="s">
        <v>1381</v>
      </c>
      <c r="I430" s="13" t="s">
        <v>10973</v>
      </c>
      <c r="J430" s="13" t="s">
        <v>447</v>
      </c>
      <c r="K430" s="13" t="s">
        <v>1363</v>
      </c>
      <c r="L430" s="13" t="s">
        <v>447</v>
      </c>
      <c r="M430" s="13" t="s">
        <v>1363</v>
      </c>
      <c r="N430" s="13" t="s">
        <v>9626</v>
      </c>
      <c r="P430" s="15">
        <v>367</v>
      </c>
      <c r="Q430" s="15">
        <v>42550</v>
      </c>
      <c r="R430" s="13" t="s">
        <v>10892</v>
      </c>
      <c r="S430" s="13" t="s">
        <v>447</v>
      </c>
      <c r="T430" s="13" t="s">
        <v>10974</v>
      </c>
      <c r="U430" s="13" t="s">
        <v>9734</v>
      </c>
      <c r="V430" s="13" t="s">
        <v>9735</v>
      </c>
      <c r="W430" s="13" t="s">
        <v>9736</v>
      </c>
      <c r="X430" s="13" t="s">
        <v>9658</v>
      </c>
      <c r="Z430" s="13" t="s">
        <v>1363</v>
      </c>
      <c r="AA430" s="13" t="s">
        <v>9737</v>
      </c>
      <c r="AB430" s="13" t="s">
        <v>447</v>
      </c>
      <c r="AC430" s="21">
        <v>41394.461805555555</v>
      </c>
      <c r="AD430" s="21">
        <v>42550.737511574072</v>
      </c>
      <c r="AE430" s="13" t="s">
        <v>9629</v>
      </c>
      <c r="AF430" s="13" t="s">
        <v>9634</v>
      </c>
    </row>
    <row r="431" spans="1:32">
      <c r="A431" s="13" t="s">
        <v>10975</v>
      </c>
      <c r="B431" s="13" t="s">
        <v>1150</v>
      </c>
      <c r="C431" s="13" t="s">
        <v>1363</v>
      </c>
      <c r="D431" s="13" t="s">
        <v>1150</v>
      </c>
      <c r="E431" s="13" t="s">
        <v>1363</v>
      </c>
      <c r="F431" s="13" t="s">
        <v>447</v>
      </c>
      <c r="G431" s="13" t="s">
        <v>1363</v>
      </c>
      <c r="H431" s="13" t="s">
        <v>1381</v>
      </c>
      <c r="I431" s="13" t="s">
        <v>10976</v>
      </c>
      <c r="J431" s="13" t="s">
        <v>447</v>
      </c>
      <c r="K431" s="13" t="s">
        <v>1363</v>
      </c>
      <c r="L431" s="13" t="s">
        <v>447</v>
      </c>
      <c r="M431" s="13" t="s">
        <v>1363</v>
      </c>
      <c r="N431" s="13" t="s">
        <v>9626</v>
      </c>
      <c r="P431" s="15">
        <v>367</v>
      </c>
      <c r="Q431" s="15">
        <v>42550</v>
      </c>
      <c r="R431" s="13" t="s">
        <v>10892</v>
      </c>
      <c r="S431" s="13" t="s">
        <v>447</v>
      </c>
      <c r="T431" s="13" t="s">
        <v>10977</v>
      </c>
      <c r="U431" s="13" t="s">
        <v>9734</v>
      </c>
      <c r="V431" s="13" t="s">
        <v>9735</v>
      </c>
      <c r="W431" s="13" t="s">
        <v>9736</v>
      </c>
      <c r="X431" s="13" t="s">
        <v>9658</v>
      </c>
      <c r="Z431" s="13" t="s">
        <v>1363</v>
      </c>
      <c r="AA431" s="13" t="s">
        <v>9737</v>
      </c>
      <c r="AB431" s="13" t="s">
        <v>447</v>
      </c>
      <c r="AC431" s="21">
        <v>41394.461805555555</v>
      </c>
      <c r="AD431" s="21">
        <v>42550.737511574072</v>
      </c>
      <c r="AE431" s="13" t="s">
        <v>9629</v>
      </c>
      <c r="AF431" s="13" t="s">
        <v>9634</v>
      </c>
    </row>
    <row r="432" spans="1:32">
      <c r="A432" s="13" t="s">
        <v>10978</v>
      </c>
      <c r="B432" s="13" t="s">
        <v>1150</v>
      </c>
      <c r="C432" s="13" t="s">
        <v>1363</v>
      </c>
      <c r="D432" s="13" t="s">
        <v>1150</v>
      </c>
      <c r="E432" s="13" t="s">
        <v>1363</v>
      </c>
      <c r="F432" s="13" t="s">
        <v>447</v>
      </c>
      <c r="G432" s="13" t="s">
        <v>1363</v>
      </c>
      <c r="H432" s="13" t="s">
        <v>1381</v>
      </c>
      <c r="I432" s="13" t="s">
        <v>10979</v>
      </c>
      <c r="J432" s="13" t="s">
        <v>447</v>
      </c>
      <c r="K432" s="13" t="s">
        <v>1363</v>
      </c>
      <c r="L432" s="13" t="s">
        <v>447</v>
      </c>
      <c r="M432" s="13" t="s">
        <v>1363</v>
      </c>
      <c r="N432" s="13" t="s">
        <v>9626</v>
      </c>
      <c r="P432" s="15">
        <v>367</v>
      </c>
      <c r="Q432" s="15">
        <v>42550</v>
      </c>
      <c r="R432" s="13" t="s">
        <v>10892</v>
      </c>
      <c r="S432" s="13" t="s">
        <v>447</v>
      </c>
      <c r="T432" s="13" t="s">
        <v>10980</v>
      </c>
      <c r="U432" s="13" t="s">
        <v>9734</v>
      </c>
      <c r="V432" s="13" t="s">
        <v>9735</v>
      </c>
      <c r="W432" s="13" t="s">
        <v>9736</v>
      </c>
      <c r="X432" s="13" t="s">
        <v>9658</v>
      </c>
      <c r="Z432" s="13" t="s">
        <v>1363</v>
      </c>
      <c r="AA432" s="13" t="s">
        <v>9737</v>
      </c>
      <c r="AB432" s="13" t="s">
        <v>447</v>
      </c>
      <c r="AC432" s="21">
        <v>41394.461805555555</v>
      </c>
      <c r="AD432" s="21">
        <v>42550.737511574072</v>
      </c>
      <c r="AE432" s="13" t="s">
        <v>9629</v>
      </c>
      <c r="AF432" s="13" t="s">
        <v>9634</v>
      </c>
    </row>
    <row r="433" spans="1:32">
      <c r="A433" s="13" t="s">
        <v>10981</v>
      </c>
      <c r="B433" s="13" t="s">
        <v>1150</v>
      </c>
      <c r="C433" s="13" t="s">
        <v>1363</v>
      </c>
      <c r="D433" s="13" t="s">
        <v>1150</v>
      </c>
      <c r="E433" s="13" t="s">
        <v>1363</v>
      </c>
      <c r="F433" s="13" t="s">
        <v>447</v>
      </c>
      <c r="G433" s="13" t="s">
        <v>1363</v>
      </c>
      <c r="H433" s="13" t="s">
        <v>1381</v>
      </c>
      <c r="I433" s="13" t="s">
        <v>10982</v>
      </c>
      <c r="J433" s="13" t="s">
        <v>447</v>
      </c>
      <c r="K433" s="13" t="s">
        <v>1363</v>
      </c>
      <c r="L433" s="13" t="s">
        <v>447</v>
      </c>
      <c r="M433" s="13" t="s">
        <v>1363</v>
      </c>
      <c r="N433" s="13" t="s">
        <v>9626</v>
      </c>
      <c r="P433" s="15">
        <v>367</v>
      </c>
      <c r="Q433" s="15">
        <v>42550</v>
      </c>
      <c r="R433" s="13" t="s">
        <v>10892</v>
      </c>
      <c r="S433" s="13" t="s">
        <v>447</v>
      </c>
      <c r="T433" s="13" t="s">
        <v>10983</v>
      </c>
      <c r="U433" s="13" t="s">
        <v>9734</v>
      </c>
      <c r="V433" s="13" t="s">
        <v>9735</v>
      </c>
      <c r="W433" s="13" t="s">
        <v>9736</v>
      </c>
      <c r="X433" s="13" t="s">
        <v>9658</v>
      </c>
      <c r="Z433" s="13" t="s">
        <v>1363</v>
      </c>
      <c r="AA433" s="13" t="s">
        <v>9737</v>
      </c>
      <c r="AB433" s="13" t="s">
        <v>447</v>
      </c>
      <c r="AC433" s="21">
        <v>41394.461805555555</v>
      </c>
      <c r="AD433" s="21">
        <v>42550.737511574072</v>
      </c>
      <c r="AE433" s="13" t="s">
        <v>9629</v>
      </c>
      <c r="AF433" s="13" t="s">
        <v>9634</v>
      </c>
    </row>
    <row r="434" spans="1:32">
      <c r="A434" s="13" t="s">
        <v>10984</v>
      </c>
      <c r="B434" s="13" t="s">
        <v>1150</v>
      </c>
      <c r="C434" s="13" t="s">
        <v>1363</v>
      </c>
      <c r="D434" s="13" t="s">
        <v>1150</v>
      </c>
      <c r="E434" s="13" t="s">
        <v>1363</v>
      </c>
      <c r="F434" s="13" t="s">
        <v>447</v>
      </c>
      <c r="G434" s="13" t="s">
        <v>1363</v>
      </c>
      <c r="H434" s="13" t="s">
        <v>1381</v>
      </c>
      <c r="I434" s="13" t="s">
        <v>10985</v>
      </c>
      <c r="J434" s="13" t="s">
        <v>447</v>
      </c>
      <c r="K434" s="13" t="s">
        <v>1363</v>
      </c>
      <c r="L434" s="13" t="s">
        <v>447</v>
      </c>
      <c r="M434" s="13" t="s">
        <v>1363</v>
      </c>
      <c r="N434" s="13" t="s">
        <v>9626</v>
      </c>
      <c r="P434" s="15">
        <v>367</v>
      </c>
      <c r="Q434" s="15">
        <v>42550</v>
      </c>
      <c r="R434" s="13" t="s">
        <v>10892</v>
      </c>
      <c r="S434" s="13" t="s">
        <v>447</v>
      </c>
      <c r="T434" s="13" t="s">
        <v>10986</v>
      </c>
      <c r="U434" s="13" t="s">
        <v>9734</v>
      </c>
      <c r="V434" s="13" t="s">
        <v>9735</v>
      </c>
      <c r="W434" s="13" t="s">
        <v>9736</v>
      </c>
      <c r="X434" s="13" t="s">
        <v>9658</v>
      </c>
      <c r="Z434" s="13" t="s">
        <v>1363</v>
      </c>
      <c r="AA434" s="13" t="s">
        <v>9737</v>
      </c>
      <c r="AB434" s="13" t="s">
        <v>447</v>
      </c>
      <c r="AC434" s="21">
        <v>41394.461805555555</v>
      </c>
      <c r="AD434" s="21">
        <v>42550.737523148149</v>
      </c>
      <c r="AE434" s="13" t="s">
        <v>9629</v>
      </c>
      <c r="AF434" s="13" t="s">
        <v>9634</v>
      </c>
    </row>
    <row r="435" spans="1:32">
      <c r="A435" s="13" t="s">
        <v>10987</v>
      </c>
      <c r="B435" s="13" t="s">
        <v>1150</v>
      </c>
      <c r="C435" s="13" t="s">
        <v>1363</v>
      </c>
      <c r="D435" s="13" t="s">
        <v>1150</v>
      </c>
      <c r="E435" s="13" t="s">
        <v>1363</v>
      </c>
      <c r="F435" s="13" t="s">
        <v>447</v>
      </c>
      <c r="G435" s="13" t="s">
        <v>1363</v>
      </c>
      <c r="H435" s="13" t="s">
        <v>1381</v>
      </c>
      <c r="I435" s="13" t="s">
        <v>10988</v>
      </c>
      <c r="J435" s="13" t="s">
        <v>447</v>
      </c>
      <c r="K435" s="13" t="s">
        <v>1363</v>
      </c>
      <c r="L435" s="13" t="s">
        <v>447</v>
      </c>
      <c r="M435" s="13" t="s">
        <v>1363</v>
      </c>
      <c r="N435" s="13" t="s">
        <v>9626</v>
      </c>
      <c r="P435" s="15">
        <v>367</v>
      </c>
      <c r="Q435" s="15">
        <v>42550</v>
      </c>
      <c r="R435" s="13" t="s">
        <v>10892</v>
      </c>
      <c r="S435" s="13" t="s">
        <v>447</v>
      </c>
      <c r="T435" s="13" t="s">
        <v>10989</v>
      </c>
      <c r="U435" s="13" t="s">
        <v>9734</v>
      </c>
      <c r="V435" s="13" t="s">
        <v>9735</v>
      </c>
      <c r="W435" s="13" t="s">
        <v>9736</v>
      </c>
      <c r="X435" s="13" t="s">
        <v>9658</v>
      </c>
      <c r="Z435" s="13" t="s">
        <v>1363</v>
      </c>
      <c r="AA435" s="13" t="s">
        <v>9737</v>
      </c>
      <c r="AB435" s="13" t="s">
        <v>447</v>
      </c>
      <c r="AC435" s="21">
        <v>41394.461817129632</v>
      </c>
      <c r="AD435" s="21">
        <v>42550.737523148149</v>
      </c>
      <c r="AE435" s="13" t="s">
        <v>9629</v>
      </c>
      <c r="AF435" s="13" t="s">
        <v>9634</v>
      </c>
    </row>
    <row r="436" spans="1:32">
      <c r="A436" s="13" t="s">
        <v>10990</v>
      </c>
      <c r="B436" s="13" t="s">
        <v>1150</v>
      </c>
      <c r="C436" s="13" t="s">
        <v>1363</v>
      </c>
      <c r="D436" s="13" t="s">
        <v>1150</v>
      </c>
      <c r="E436" s="13" t="s">
        <v>1363</v>
      </c>
      <c r="F436" s="13" t="s">
        <v>447</v>
      </c>
      <c r="G436" s="13" t="s">
        <v>1363</v>
      </c>
      <c r="H436" s="13" t="s">
        <v>1381</v>
      </c>
      <c r="I436" s="13" t="s">
        <v>10991</v>
      </c>
      <c r="J436" s="13" t="s">
        <v>447</v>
      </c>
      <c r="K436" s="13" t="s">
        <v>1363</v>
      </c>
      <c r="L436" s="13" t="s">
        <v>447</v>
      </c>
      <c r="M436" s="13" t="s">
        <v>1363</v>
      </c>
      <c r="N436" s="13" t="s">
        <v>9626</v>
      </c>
      <c r="P436" s="15">
        <v>367</v>
      </c>
      <c r="Q436" s="15">
        <v>42550</v>
      </c>
      <c r="R436" s="13" t="s">
        <v>10892</v>
      </c>
      <c r="S436" s="13" t="s">
        <v>447</v>
      </c>
      <c r="T436" s="13" t="s">
        <v>10992</v>
      </c>
      <c r="U436" s="13" t="s">
        <v>9734</v>
      </c>
      <c r="V436" s="13" t="s">
        <v>9735</v>
      </c>
      <c r="W436" s="13" t="s">
        <v>9736</v>
      </c>
      <c r="X436" s="13" t="s">
        <v>9658</v>
      </c>
      <c r="Z436" s="13" t="s">
        <v>1363</v>
      </c>
      <c r="AA436" s="13" t="s">
        <v>9737</v>
      </c>
      <c r="AB436" s="13" t="s">
        <v>447</v>
      </c>
      <c r="AC436" s="21">
        <v>41394.461817129632</v>
      </c>
      <c r="AD436" s="21">
        <v>42550.737523148149</v>
      </c>
      <c r="AE436" s="13" t="s">
        <v>9629</v>
      </c>
      <c r="AF436" s="13" t="s">
        <v>9634</v>
      </c>
    </row>
    <row r="437" spans="1:32">
      <c r="A437" s="13" t="s">
        <v>10993</v>
      </c>
      <c r="B437" s="13" t="s">
        <v>1150</v>
      </c>
      <c r="C437" s="13" t="s">
        <v>1363</v>
      </c>
      <c r="D437" s="13" t="s">
        <v>1150</v>
      </c>
      <c r="E437" s="13" t="s">
        <v>1363</v>
      </c>
      <c r="F437" s="13" t="s">
        <v>447</v>
      </c>
      <c r="G437" s="13" t="s">
        <v>1363</v>
      </c>
      <c r="H437" s="13" t="s">
        <v>1381</v>
      </c>
      <c r="I437" s="13" t="s">
        <v>10994</v>
      </c>
      <c r="J437" s="13" t="s">
        <v>447</v>
      </c>
      <c r="K437" s="13" t="s">
        <v>1363</v>
      </c>
      <c r="L437" s="13" t="s">
        <v>447</v>
      </c>
      <c r="M437" s="13" t="s">
        <v>1363</v>
      </c>
      <c r="N437" s="13" t="s">
        <v>9626</v>
      </c>
      <c r="P437" s="15">
        <v>367</v>
      </c>
      <c r="Q437" s="15">
        <v>42550</v>
      </c>
      <c r="R437" s="13" t="s">
        <v>10892</v>
      </c>
      <c r="S437" s="13" t="s">
        <v>447</v>
      </c>
      <c r="T437" s="13" t="s">
        <v>10995</v>
      </c>
      <c r="U437" s="13" t="s">
        <v>9734</v>
      </c>
      <c r="V437" s="13" t="s">
        <v>9735</v>
      </c>
      <c r="W437" s="13" t="s">
        <v>9736</v>
      </c>
      <c r="X437" s="13" t="s">
        <v>9658</v>
      </c>
      <c r="Z437" s="13" t="s">
        <v>1363</v>
      </c>
      <c r="AA437" s="13" t="s">
        <v>9737</v>
      </c>
      <c r="AB437" s="13" t="s">
        <v>447</v>
      </c>
      <c r="AC437" s="21">
        <v>41394.461817129632</v>
      </c>
      <c r="AD437" s="21">
        <v>42550.737523148149</v>
      </c>
      <c r="AE437" s="13" t="s">
        <v>9629</v>
      </c>
      <c r="AF437" s="13" t="s">
        <v>9634</v>
      </c>
    </row>
    <row r="438" spans="1:32">
      <c r="A438" s="13" t="s">
        <v>10996</v>
      </c>
      <c r="B438" s="13" t="s">
        <v>1150</v>
      </c>
      <c r="C438" s="13" t="s">
        <v>1363</v>
      </c>
      <c r="D438" s="13" t="s">
        <v>1150</v>
      </c>
      <c r="E438" s="13" t="s">
        <v>1363</v>
      </c>
      <c r="F438" s="13" t="s">
        <v>447</v>
      </c>
      <c r="G438" s="13" t="s">
        <v>1363</v>
      </c>
      <c r="H438" s="13" t="s">
        <v>1381</v>
      </c>
      <c r="I438" s="13" t="s">
        <v>10997</v>
      </c>
      <c r="J438" s="13" t="s">
        <v>447</v>
      </c>
      <c r="K438" s="13" t="s">
        <v>1363</v>
      </c>
      <c r="L438" s="13" t="s">
        <v>447</v>
      </c>
      <c r="M438" s="13" t="s">
        <v>1363</v>
      </c>
      <c r="N438" s="13" t="s">
        <v>9626</v>
      </c>
      <c r="P438" s="15">
        <v>367</v>
      </c>
      <c r="Q438" s="15">
        <v>42550</v>
      </c>
      <c r="R438" s="13" t="s">
        <v>10892</v>
      </c>
      <c r="S438" s="13" t="s">
        <v>447</v>
      </c>
      <c r="T438" s="13" t="s">
        <v>10998</v>
      </c>
      <c r="U438" s="13" t="s">
        <v>9734</v>
      </c>
      <c r="V438" s="13" t="s">
        <v>9735</v>
      </c>
      <c r="W438" s="13" t="s">
        <v>9736</v>
      </c>
      <c r="X438" s="13" t="s">
        <v>9658</v>
      </c>
      <c r="Z438" s="13" t="s">
        <v>1363</v>
      </c>
      <c r="AA438" s="13" t="s">
        <v>9737</v>
      </c>
      <c r="AB438" s="13" t="s">
        <v>447</v>
      </c>
      <c r="AC438" s="21">
        <v>41394.461817129632</v>
      </c>
      <c r="AD438" s="21">
        <v>42550.737523148149</v>
      </c>
      <c r="AE438" s="13" t="s">
        <v>9629</v>
      </c>
      <c r="AF438" s="13" t="s">
        <v>9634</v>
      </c>
    </row>
    <row r="439" spans="1:32">
      <c r="A439" s="13" t="s">
        <v>10999</v>
      </c>
      <c r="B439" s="13" t="s">
        <v>1438</v>
      </c>
      <c r="C439" s="13" t="s">
        <v>1363</v>
      </c>
      <c r="D439" s="13" t="s">
        <v>1150</v>
      </c>
      <c r="E439" s="13" t="s">
        <v>1363</v>
      </c>
      <c r="F439" s="13" t="s">
        <v>447</v>
      </c>
      <c r="G439" s="13" t="s">
        <v>1363</v>
      </c>
      <c r="H439" s="13" t="s">
        <v>1367</v>
      </c>
      <c r="I439" s="13" t="s">
        <v>11000</v>
      </c>
      <c r="J439" s="13" t="s">
        <v>1363</v>
      </c>
      <c r="K439" s="13" t="s">
        <v>1363</v>
      </c>
      <c r="L439" s="13" t="s">
        <v>447</v>
      </c>
      <c r="M439" s="13" t="s">
        <v>1363</v>
      </c>
      <c r="N439" s="13" t="s">
        <v>9626</v>
      </c>
      <c r="O439" s="13" t="s">
        <v>11001</v>
      </c>
      <c r="P439" s="15">
        <v>40179</v>
      </c>
      <c r="R439" s="13" t="s">
        <v>11002</v>
      </c>
      <c r="S439" s="13" t="s">
        <v>1363</v>
      </c>
      <c r="X439" s="13" t="s">
        <v>10293</v>
      </c>
      <c r="Z439" s="13" t="s">
        <v>1363</v>
      </c>
      <c r="AB439" s="13" t="s">
        <v>447</v>
      </c>
      <c r="AC439" s="21">
        <v>41883.502824074072</v>
      </c>
      <c r="AD439" s="21">
        <v>41898.439212962963</v>
      </c>
      <c r="AE439" s="13" t="s">
        <v>9634</v>
      </c>
      <c r="AF439" s="13" t="s">
        <v>9634</v>
      </c>
    </row>
    <row r="440" spans="1:32">
      <c r="A440" s="13" t="s">
        <v>11003</v>
      </c>
      <c r="B440" s="13" t="s">
        <v>1150</v>
      </c>
      <c r="C440" s="13" t="s">
        <v>1363</v>
      </c>
      <c r="D440" s="13" t="s">
        <v>1150</v>
      </c>
      <c r="E440" s="13" t="s">
        <v>1363</v>
      </c>
      <c r="F440" s="13" t="s">
        <v>447</v>
      </c>
      <c r="G440" s="13" t="s">
        <v>1363</v>
      </c>
      <c r="H440" s="13" t="s">
        <v>1415</v>
      </c>
      <c r="I440" s="13" t="s">
        <v>11004</v>
      </c>
      <c r="J440" s="13" t="s">
        <v>447</v>
      </c>
      <c r="K440" s="13" t="s">
        <v>1363</v>
      </c>
      <c r="L440" s="13" t="s">
        <v>447</v>
      </c>
      <c r="M440" s="13" t="s">
        <v>1363</v>
      </c>
      <c r="N440" s="13" t="s">
        <v>9626</v>
      </c>
      <c r="O440" s="13" t="s">
        <v>11005</v>
      </c>
      <c r="P440" s="15">
        <v>367</v>
      </c>
      <c r="S440" s="13" t="s">
        <v>1363</v>
      </c>
      <c r="X440" s="13" t="s">
        <v>9628</v>
      </c>
      <c r="Z440" s="13" t="s">
        <v>1363</v>
      </c>
      <c r="AB440" s="13" t="s">
        <v>447</v>
      </c>
      <c r="AC440" s="21">
        <v>41682.985752314817</v>
      </c>
      <c r="AD440" s="21">
        <v>41688.599432870367</v>
      </c>
      <c r="AE440" s="13" t="s">
        <v>9795</v>
      </c>
      <c r="AF440" s="13" t="s">
        <v>9629</v>
      </c>
    </row>
    <row r="441" spans="1:32">
      <c r="A441" s="13" t="s">
        <v>11006</v>
      </c>
      <c r="B441" s="13" t="s">
        <v>1150</v>
      </c>
      <c r="C441" s="13" t="s">
        <v>1363</v>
      </c>
      <c r="D441" s="13" t="s">
        <v>1150</v>
      </c>
      <c r="E441" s="13" t="s">
        <v>1363</v>
      </c>
      <c r="F441" s="13" t="s">
        <v>447</v>
      </c>
      <c r="G441" s="13" t="s">
        <v>447</v>
      </c>
      <c r="H441" s="13" t="s">
        <v>1150</v>
      </c>
      <c r="I441" s="13" t="s">
        <v>11007</v>
      </c>
      <c r="J441" s="13" t="s">
        <v>447</v>
      </c>
      <c r="K441" s="13" t="s">
        <v>1363</v>
      </c>
      <c r="L441" s="13" t="s">
        <v>447</v>
      </c>
      <c r="M441" s="13" t="s">
        <v>1363</v>
      </c>
      <c r="N441" s="13" t="s">
        <v>9626</v>
      </c>
      <c r="O441" s="13" t="s">
        <v>10159</v>
      </c>
      <c r="P441" s="15">
        <v>367</v>
      </c>
      <c r="R441" s="13" t="s">
        <v>11007</v>
      </c>
      <c r="S441" s="13" t="s">
        <v>1363</v>
      </c>
      <c r="T441" s="13" t="s">
        <v>11008</v>
      </c>
      <c r="U441" s="13" t="s">
        <v>9734</v>
      </c>
      <c r="V441" s="13" t="s">
        <v>9735</v>
      </c>
      <c r="W441" s="13" t="s">
        <v>9736</v>
      </c>
      <c r="X441" s="13" t="s">
        <v>9658</v>
      </c>
      <c r="Z441" s="13" t="s">
        <v>1363</v>
      </c>
      <c r="AA441" s="13" t="s">
        <v>9737</v>
      </c>
      <c r="AB441" s="13" t="s">
        <v>447</v>
      </c>
      <c r="AC441" s="21">
        <v>41691.452870370369</v>
      </c>
      <c r="AD441" s="21">
        <v>42550.736620370371</v>
      </c>
      <c r="AE441" s="13" t="s">
        <v>9629</v>
      </c>
      <c r="AF441" s="13" t="s">
        <v>9634</v>
      </c>
    </row>
    <row r="442" spans="1:32">
      <c r="A442" s="13" t="s">
        <v>8919</v>
      </c>
      <c r="B442" s="13" t="s">
        <v>1438</v>
      </c>
      <c r="C442" s="13" t="s">
        <v>1363</v>
      </c>
      <c r="D442" s="13" t="s">
        <v>1150</v>
      </c>
      <c r="E442" s="13" t="s">
        <v>1363</v>
      </c>
      <c r="F442" s="13" t="s">
        <v>447</v>
      </c>
      <c r="G442" s="13" t="s">
        <v>447</v>
      </c>
      <c r="H442" s="13" t="s">
        <v>1415</v>
      </c>
      <c r="I442" s="13" t="s">
        <v>11009</v>
      </c>
      <c r="J442" s="13" t="s">
        <v>1363</v>
      </c>
      <c r="K442" s="13" t="s">
        <v>447</v>
      </c>
      <c r="L442" s="13" t="s">
        <v>1363</v>
      </c>
      <c r="M442" s="13" t="s">
        <v>447</v>
      </c>
      <c r="N442" s="13" t="s">
        <v>9626</v>
      </c>
      <c r="O442" s="13" t="s">
        <v>11010</v>
      </c>
      <c r="P442" s="15">
        <v>36526</v>
      </c>
      <c r="R442" s="13" t="s">
        <v>11011</v>
      </c>
      <c r="S442" s="13" t="s">
        <v>1363</v>
      </c>
      <c r="X442" s="13" t="s">
        <v>10174</v>
      </c>
      <c r="Z442" s="13" t="s">
        <v>1363</v>
      </c>
      <c r="AB442" s="13" t="s">
        <v>447</v>
      </c>
      <c r="AC442" s="21">
        <v>41864.591956018521</v>
      </c>
      <c r="AD442" s="21">
        <v>41864.591956018521</v>
      </c>
      <c r="AE442" s="13" t="s">
        <v>9634</v>
      </c>
      <c r="AF442" s="13" t="s">
        <v>9634</v>
      </c>
    </row>
    <row r="443" spans="1:32">
      <c r="A443" s="13" t="s">
        <v>11012</v>
      </c>
      <c r="B443" s="13" t="s">
        <v>1150</v>
      </c>
      <c r="C443" s="13" t="s">
        <v>1363</v>
      </c>
      <c r="D443" s="13" t="s">
        <v>1150</v>
      </c>
      <c r="E443" s="13" t="s">
        <v>1363</v>
      </c>
      <c r="F443" s="13" t="s">
        <v>447</v>
      </c>
      <c r="G443" s="13" t="s">
        <v>1363</v>
      </c>
      <c r="H443" s="13" t="s">
        <v>1415</v>
      </c>
      <c r="I443" s="13" t="s">
        <v>11013</v>
      </c>
      <c r="J443" s="13" t="s">
        <v>447</v>
      </c>
      <c r="K443" s="13" t="s">
        <v>447</v>
      </c>
      <c r="L443" s="13" t="s">
        <v>447</v>
      </c>
      <c r="M443" s="13" t="s">
        <v>1363</v>
      </c>
      <c r="N443" s="13" t="s">
        <v>9626</v>
      </c>
      <c r="O443" s="13" t="s">
        <v>11014</v>
      </c>
      <c r="P443" s="15">
        <v>732</v>
      </c>
      <c r="R443" s="13" t="s">
        <v>11015</v>
      </c>
      <c r="S443" s="13" t="s">
        <v>1363</v>
      </c>
      <c r="X443" s="13" t="s">
        <v>11016</v>
      </c>
      <c r="Z443" s="13" t="s">
        <v>1363</v>
      </c>
      <c r="AB443" s="13" t="s">
        <v>447</v>
      </c>
      <c r="AC443" s="21">
        <v>41912.437430555554</v>
      </c>
      <c r="AD443" s="21">
        <v>43423.312858796293</v>
      </c>
      <c r="AE443" s="13" t="s">
        <v>9860</v>
      </c>
      <c r="AF443" s="13" t="s">
        <v>9860</v>
      </c>
    </row>
    <row r="444" spans="1:32">
      <c r="A444" s="13" t="s">
        <v>11017</v>
      </c>
      <c r="B444" s="13" t="s">
        <v>1438</v>
      </c>
      <c r="C444" s="13" t="s">
        <v>1363</v>
      </c>
      <c r="D444" s="13" t="s">
        <v>1150</v>
      </c>
      <c r="E444" s="13" t="s">
        <v>1363</v>
      </c>
      <c r="F444" s="13" t="s">
        <v>447</v>
      </c>
      <c r="G444" s="13" t="s">
        <v>1363</v>
      </c>
      <c r="H444" s="13" t="s">
        <v>1415</v>
      </c>
      <c r="I444" s="13" t="s">
        <v>11018</v>
      </c>
      <c r="J444" s="13" t="s">
        <v>447</v>
      </c>
      <c r="K444" s="13" t="s">
        <v>1363</v>
      </c>
      <c r="L444" s="13" t="s">
        <v>447</v>
      </c>
      <c r="M444" s="13" t="s">
        <v>1363</v>
      </c>
      <c r="N444" s="13" t="s">
        <v>9626</v>
      </c>
      <c r="O444" s="13" t="s">
        <v>11019</v>
      </c>
      <c r="P444" s="15">
        <v>732</v>
      </c>
      <c r="R444" s="13" t="s">
        <v>11018</v>
      </c>
      <c r="S444" s="13" t="s">
        <v>1363</v>
      </c>
      <c r="X444" s="13" t="s">
        <v>11016</v>
      </c>
      <c r="Z444" s="13" t="s">
        <v>1363</v>
      </c>
      <c r="AB444" s="13" t="s">
        <v>447</v>
      </c>
      <c r="AC444" s="21">
        <v>41925.391273148147</v>
      </c>
      <c r="AD444" s="21">
        <v>43423.313171296293</v>
      </c>
      <c r="AE444" s="13" t="s">
        <v>9860</v>
      </c>
      <c r="AF444" s="13" t="s">
        <v>9860</v>
      </c>
    </row>
    <row r="445" spans="1:32">
      <c r="A445" s="13" t="s">
        <v>11020</v>
      </c>
      <c r="B445" s="13" t="s">
        <v>1150</v>
      </c>
      <c r="C445" s="13" t="s">
        <v>1363</v>
      </c>
      <c r="D445" s="13" t="s">
        <v>1150</v>
      </c>
      <c r="E445" s="13" t="s">
        <v>447</v>
      </c>
      <c r="F445" s="13" t="s">
        <v>447</v>
      </c>
      <c r="G445" s="13" t="s">
        <v>447</v>
      </c>
      <c r="H445" s="13" t="s">
        <v>1415</v>
      </c>
      <c r="I445" s="13" t="s">
        <v>11021</v>
      </c>
      <c r="J445" s="13" t="s">
        <v>447</v>
      </c>
      <c r="K445" s="13" t="s">
        <v>1363</v>
      </c>
      <c r="L445" s="13" t="s">
        <v>447</v>
      </c>
      <c r="M445" s="13" t="s">
        <v>1363</v>
      </c>
      <c r="N445" s="13" t="s">
        <v>9626</v>
      </c>
      <c r="O445" s="13" t="s">
        <v>11022</v>
      </c>
      <c r="P445" s="15">
        <v>41791</v>
      </c>
      <c r="R445" s="13" t="s">
        <v>11023</v>
      </c>
      <c r="S445" s="13" t="s">
        <v>1363</v>
      </c>
      <c r="X445" s="13" t="s">
        <v>9675</v>
      </c>
      <c r="Z445" s="13" t="s">
        <v>1363</v>
      </c>
      <c r="AB445" s="13" t="s">
        <v>447</v>
      </c>
      <c r="AC445" s="21">
        <v>41955.520358796297</v>
      </c>
      <c r="AD445" s="21">
        <v>41955.520358796297</v>
      </c>
      <c r="AE445" s="13" t="s">
        <v>9795</v>
      </c>
      <c r="AF445" s="13" t="s">
        <v>9795</v>
      </c>
    </row>
    <row r="446" spans="1:32">
      <c r="A446" s="13" t="s">
        <v>11024</v>
      </c>
      <c r="B446" s="13" t="s">
        <v>1150</v>
      </c>
      <c r="C446" s="13" t="s">
        <v>1363</v>
      </c>
      <c r="D446" s="13" t="s">
        <v>1150</v>
      </c>
      <c r="E446" s="13" t="s">
        <v>447</v>
      </c>
      <c r="F446" s="13" t="s">
        <v>447</v>
      </c>
      <c r="G446" s="13" t="s">
        <v>447</v>
      </c>
      <c r="H446" s="13" t="s">
        <v>1415</v>
      </c>
      <c r="I446" s="13" t="s">
        <v>11025</v>
      </c>
      <c r="J446" s="13" t="s">
        <v>1363</v>
      </c>
      <c r="K446" s="13" t="s">
        <v>1363</v>
      </c>
      <c r="L446" s="13" t="s">
        <v>1363</v>
      </c>
      <c r="M446" s="13" t="s">
        <v>1363</v>
      </c>
      <c r="N446" s="13" t="s">
        <v>9626</v>
      </c>
      <c r="O446" s="13" t="s">
        <v>11026</v>
      </c>
      <c r="P446" s="15">
        <v>40544</v>
      </c>
      <c r="R446" s="13" t="s">
        <v>11027</v>
      </c>
      <c r="S446" s="13" t="s">
        <v>1363</v>
      </c>
      <c r="X446" s="13" t="s">
        <v>9675</v>
      </c>
      <c r="Z446" s="13" t="s">
        <v>1363</v>
      </c>
      <c r="AB446" s="13" t="s">
        <v>447</v>
      </c>
      <c r="AC446" s="21">
        <v>41982.551064814812</v>
      </c>
      <c r="AD446" s="21">
        <v>42241.46534722222</v>
      </c>
      <c r="AE446" s="13" t="s">
        <v>9795</v>
      </c>
      <c r="AF446" s="13" t="s">
        <v>9634</v>
      </c>
    </row>
    <row r="447" spans="1:32">
      <c r="A447" s="13" t="s">
        <v>11028</v>
      </c>
      <c r="B447" s="13" t="s">
        <v>1150</v>
      </c>
      <c r="C447" s="13" t="s">
        <v>1363</v>
      </c>
      <c r="D447" s="13" t="s">
        <v>1150</v>
      </c>
      <c r="E447" s="13" t="s">
        <v>1363</v>
      </c>
      <c r="F447" s="13" t="s">
        <v>447</v>
      </c>
      <c r="G447" s="13" t="s">
        <v>1363</v>
      </c>
      <c r="H447" s="13" t="s">
        <v>1415</v>
      </c>
      <c r="I447" s="13" t="s">
        <v>11029</v>
      </c>
      <c r="J447" s="13" t="s">
        <v>1363</v>
      </c>
      <c r="K447" s="13" t="s">
        <v>1363</v>
      </c>
      <c r="L447" s="13" t="s">
        <v>1363</v>
      </c>
      <c r="M447" s="13" t="s">
        <v>1363</v>
      </c>
      <c r="N447" s="13" t="s">
        <v>9626</v>
      </c>
      <c r="O447" s="13" t="s">
        <v>11030</v>
      </c>
      <c r="P447" s="15">
        <v>367</v>
      </c>
      <c r="R447" s="13" t="s">
        <v>11028</v>
      </c>
      <c r="S447" s="13" t="s">
        <v>1363</v>
      </c>
      <c r="X447" s="13" t="s">
        <v>9658</v>
      </c>
      <c r="Z447" s="13" t="s">
        <v>1363</v>
      </c>
      <c r="AB447" s="13" t="s">
        <v>447</v>
      </c>
      <c r="AC447" s="21">
        <v>42111.877812500003</v>
      </c>
      <c r="AD447" s="21">
        <v>42111.877812500003</v>
      </c>
      <c r="AE447" s="13" t="s">
        <v>9629</v>
      </c>
      <c r="AF447" s="13" t="s">
        <v>9629</v>
      </c>
    </row>
    <row r="448" spans="1:32">
      <c r="A448" s="13" t="s">
        <v>11031</v>
      </c>
      <c r="B448" s="13" t="s">
        <v>1150</v>
      </c>
      <c r="C448" s="13" t="s">
        <v>1363</v>
      </c>
      <c r="D448" s="13" t="s">
        <v>1150</v>
      </c>
      <c r="E448" s="13" t="s">
        <v>1363</v>
      </c>
      <c r="F448" s="13" t="s">
        <v>447</v>
      </c>
      <c r="G448" s="13" t="s">
        <v>1363</v>
      </c>
      <c r="H448" s="13" t="s">
        <v>1415</v>
      </c>
      <c r="I448" s="13" t="s">
        <v>11032</v>
      </c>
      <c r="J448" s="13" t="s">
        <v>1363</v>
      </c>
      <c r="K448" s="13" t="s">
        <v>1363</v>
      </c>
      <c r="L448" s="13" t="s">
        <v>1363</v>
      </c>
      <c r="M448" s="13" t="s">
        <v>1363</v>
      </c>
      <c r="N448" s="13" t="s">
        <v>9626</v>
      </c>
      <c r="O448" s="13" t="s">
        <v>11033</v>
      </c>
      <c r="P448" s="15">
        <v>367</v>
      </c>
      <c r="R448" s="13" t="s">
        <v>7736</v>
      </c>
      <c r="S448" s="13" t="s">
        <v>1363</v>
      </c>
      <c r="X448" s="13" t="s">
        <v>9658</v>
      </c>
      <c r="Z448" s="13" t="s">
        <v>447</v>
      </c>
      <c r="AB448" s="13" t="s">
        <v>447</v>
      </c>
      <c r="AC448" s="21">
        <v>42111.877812500003</v>
      </c>
      <c r="AD448" s="21">
        <v>42111.877812500003</v>
      </c>
      <c r="AE448" s="13" t="s">
        <v>9629</v>
      </c>
      <c r="AF448" s="13" t="s">
        <v>9629</v>
      </c>
    </row>
    <row r="449" spans="1:32">
      <c r="A449" s="13" t="s">
        <v>11034</v>
      </c>
      <c r="B449" s="13" t="s">
        <v>1150</v>
      </c>
      <c r="C449" s="13" t="s">
        <v>1363</v>
      </c>
      <c r="D449" s="13" t="s">
        <v>1150</v>
      </c>
      <c r="E449" s="13" t="s">
        <v>1363</v>
      </c>
      <c r="F449" s="13" t="s">
        <v>447</v>
      </c>
      <c r="G449" s="13" t="s">
        <v>1363</v>
      </c>
      <c r="H449" s="13" t="s">
        <v>1415</v>
      </c>
      <c r="I449" s="13" t="s">
        <v>11035</v>
      </c>
      <c r="J449" s="13" t="s">
        <v>1363</v>
      </c>
      <c r="K449" s="13" t="s">
        <v>1363</v>
      </c>
      <c r="L449" s="13" t="s">
        <v>1363</v>
      </c>
      <c r="M449" s="13" t="s">
        <v>1363</v>
      </c>
      <c r="N449" s="13" t="s">
        <v>9626</v>
      </c>
      <c r="O449" s="13" t="s">
        <v>11036</v>
      </c>
      <c r="P449" s="15">
        <v>367</v>
      </c>
      <c r="R449" s="13" t="s">
        <v>11034</v>
      </c>
      <c r="S449" s="13" t="s">
        <v>1363</v>
      </c>
      <c r="X449" s="13" t="s">
        <v>9658</v>
      </c>
      <c r="Z449" s="13" t="s">
        <v>1363</v>
      </c>
      <c r="AB449" s="13" t="s">
        <v>447</v>
      </c>
      <c r="AC449" s="21">
        <v>42111.877812500003</v>
      </c>
      <c r="AD449" s="21">
        <v>42111.877812500003</v>
      </c>
      <c r="AE449" s="13" t="s">
        <v>9629</v>
      </c>
      <c r="AF449" s="13" t="s">
        <v>9629</v>
      </c>
    </row>
    <row r="450" spans="1:32">
      <c r="A450" s="13" t="s">
        <v>11037</v>
      </c>
      <c r="B450" s="13" t="s">
        <v>1150</v>
      </c>
      <c r="C450" s="13" t="s">
        <v>1363</v>
      </c>
      <c r="D450" s="13" t="s">
        <v>1150</v>
      </c>
      <c r="E450" s="13" t="s">
        <v>1363</v>
      </c>
      <c r="F450" s="13" t="s">
        <v>447</v>
      </c>
      <c r="G450" s="13" t="s">
        <v>1363</v>
      </c>
      <c r="H450" s="13" t="s">
        <v>1415</v>
      </c>
      <c r="I450" s="13" t="s">
        <v>11038</v>
      </c>
      <c r="J450" s="13" t="s">
        <v>1363</v>
      </c>
      <c r="K450" s="13" t="s">
        <v>1363</v>
      </c>
      <c r="L450" s="13" t="s">
        <v>1363</v>
      </c>
      <c r="M450" s="13" t="s">
        <v>1363</v>
      </c>
      <c r="N450" s="13" t="s">
        <v>9626</v>
      </c>
      <c r="O450" s="13" t="s">
        <v>11039</v>
      </c>
      <c r="P450" s="15">
        <v>367</v>
      </c>
      <c r="R450" s="13" t="s">
        <v>11037</v>
      </c>
      <c r="S450" s="13" t="s">
        <v>1363</v>
      </c>
      <c r="X450" s="13" t="s">
        <v>9658</v>
      </c>
      <c r="Z450" s="13" t="s">
        <v>1363</v>
      </c>
      <c r="AB450" s="13" t="s">
        <v>447</v>
      </c>
      <c r="AC450" s="21">
        <v>42111.877812500003</v>
      </c>
      <c r="AD450" s="21">
        <v>42111.877812500003</v>
      </c>
      <c r="AE450" s="13" t="s">
        <v>9629</v>
      </c>
      <c r="AF450" s="13" t="s">
        <v>9629</v>
      </c>
    </row>
    <row r="451" spans="1:32">
      <c r="A451" s="13" t="s">
        <v>11040</v>
      </c>
      <c r="B451" s="13" t="s">
        <v>1150</v>
      </c>
      <c r="C451" s="13" t="s">
        <v>1363</v>
      </c>
      <c r="D451" s="13" t="s">
        <v>1150</v>
      </c>
      <c r="E451" s="13" t="s">
        <v>1363</v>
      </c>
      <c r="F451" s="13" t="s">
        <v>447</v>
      </c>
      <c r="G451" s="13" t="s">
        <v>1363</v>
      </c>
      <c r="H451" s="13" t="s">
        <v>1415</v>
      </c>
      <c r="I451" s="13" t="s">
        <v>11041</v>
      </c>
      <c r="J451" s="13" t="s">
        <v>1363</v>
      </c>
      <c r="K451" s="13" t="s">
        <v>1363</v>
      </c>
      <c r="L451" s="13" t="s">
        <v>1363</v>
      </c>
      <c r="M451" s="13" t="s">
        <v>1363</v>
      </c>
      <c r="N451" s="13" t="s">
        <v>9626</v>
      </c>
      <c r="O451" s="13" t="s">
        <v>11042</v>
      </c>
      <c r="P451" s="15">
        <v>367</v>
      </c>
      <c r="R451" s="13" t="s">
        <v>9717</v>
      </c>
      <c r="S451" s="13" t="s">
        <v>1363</v>
      </c>
      <c r="X451" s="13" t="s">
        <v>9658</v>
      </c>
      <c r="Z451" s="13" t="s">
        <v>1363</v>
      </c>
      <c r="AB451" s="13" t="s">
        <v>447</v>
      </c>
      <c r="AC451" s="21">
        <v>42111.877812500003</v>
      </c>
      <c r="AD451" s="21">
        <v>42111.877812500003</v>
      </c>
      <c r="AE451" s="13" t="s">
        <v>9629</v>
      </c>
      <c r="AF451" s="13" t="s">
        <v>9629</v>
      </c>
    </row>
    <row r="452" spans="1:32">
      <c r="A452" s="13" t="s">
        <v>11043</v>
      </c>
      <c r="B452" s="13" t="s">
        <v>1150</v>
      </c>
      <c r="C452" s="13" t="s">
        <v>1363</v>
      </c>
      <c r="D452" s="13" t="s">
        <v>1150</v>
      </c>
      <c r="E452" s="13" t="s">
        <v>1363</v>
      </c>
      <c r="F452" s="13" t="s">
        <v>447</v>
      </c>
      <c r="G452" s="13" t="s">
        <v>1363</v>
      </c>
      <c r="H452" s="13" t="s">
        <v>1415</v>
      </c>
      <c r="I452" s="13" t="s">
        <v>11044</v>
      </c>
      <c r="J452" s="13" t="s">
        <v>1363</v>
      </c>
      <c r="K452" s="13" t="s">
        <v>1363</v>
      </c>
      <c r="L452" s="13" t="s">
        <v>1363</v>
      </c>
      <c r="M452" s="13" t="s">
        <v>1363</v>
      </c>
      <c r="N452" s="13" t="s">
        <v>9626</v>
      </c>
      <c r="O452" s="13" t="s">
        <v>11045</v>
      </c>
      <c r="P452" s="15">
        <v>367</v>
      </c>
      <c r="R452" s="13" t="s">
        <v>11043</v>
      </c>
      <c r="S452" s="13" t="s">
        <v>1363</v>
      </c>
      <c r="X452" s="13" t="s">
        <v>9658</v>
      </c>
      <c r="Z452" s="13" t="s">
        <v>1363</v>
      </c>
      <c r="AB452" s="13" t="s">
        <v>447</v>
      </c>
      <c r="AC452" s="21">
        <v>42111.877812500003</v>
      </c>
      <c r="AD452" s="21">
        <v>42111.877812500003</v>
      </c>
      <c r="AE452" s="13" t="s">
        <v>9629</v>
      </c>
      <c r="AF452" s="13" t="s">
        <v>9629</v>
      </c>
    </row>
    <row r="453" spans="1:32">
      <c r="A453" s="13" t="s">
        <v>11046</v>
      </c>
      <c r="B453" s="13" t="s">
        <v>1438</v>
      </c>
      <c r="C453" s="13" t="s">
        <v>1363</v>
      </c>
      <c r="D453" s="13" t="s">
        <v>1150</v>
      </c>
      <c r="E453" s="13" t="s">
        <v>1363</v>
      </c>
      <c r="F453" s="13" t="s">
        <v>447</v>
      </c>
      <c r="G453" s="13" t="s">
        <v>1363</v>
      </c>
      <c r="H453" s="13" t="s">
        <v>1415</v>
      </c>
      <c r="I453" s="13" t="s">
        <v>11047</v>
      </c>
      <c r="J453" s="13" t="s">
        <v>1363</v>
      </c>
      <c r="K453" s="13" t="s">
        <v>1363</v>
      </c>
      <c r="L453" s="13" t="s">
        <v>447</v>
      </c>
      <c r="M453" s="13" t="s">
        <v>1363</v>
      </c>
      <c r="N453" s="13" t="s">
        <v>9626</v>
      </c>
      <c r="O453" s="13" t="s">
        <v>11048</v>
      </c>
      <c r="P453" s="15">
        <v>732</v>
      </c>
      <c r="R453" s="13" t="s">
        <v>11047</v>
      </c>
      <c r="S453" s="13" t="s">
        <v>1363</v>
      </c>
      <c r="X453" s="13" t="s">
        <v>11016</v>
      </c>
      <c r="Z453" s="13" t="s">
        <v>1363</v>
      </c>
      <c r="AB453" s="13" t="s">
        <v>447</v>
      </c>
      <c r="AC453" s="21">
        <v>42159.558506944442</v>
      </c>
      <c r="AD453" s="21">
        <v>42205.668958333335</v>
      </c>
      <c r="AE453" s="13" t="s">
        <v>9629</v>
      </c>
      <c r="AF453" s="13" t="s">
        <v>9629</v>
      </c>
    </row>
    <row r="454" spans="1:32">
      <c r="A454" s="13" t="s">
        <v>11049</v>
      </c>
      <c r="B454" s="13" t="s">
        <v>1438</v>
      </c>
      <c r="C454" s="13" t="s">
        <v>1363</v>
      </c>
      <c r="D454" s="13" t="s">
        <v>1150</v>
      </c>
      <c r="E454" s="13" t="s">
        <v>1363</v>
      </c>
      <c r="F454" s="13" t="s">
        <v>447</v>
      </c>
      <c r="G454" s="13" t="s">
        <v>1363</v>
      </c>
      <c r="H454" s="13" t="s">
        <v>1415</v>
      </c>
      <c r="I454" s="13" t="s">
        <v>11050</v>
      </c>
      <c r="J454" s="13" t="s">
        <v>1363</v>
      </c>
      <c r="K454" s="13" t="s">
        <v>447</v>
      </c>
      <c r="L454" s="13" t="s">
        <v>447</v>
      </c>
      <c r="M454" s="13" t="s">
        <v>447</v>
      </c>
      <c r="N454" s="13" t="s">
        <v>9626</v>
      </c>
      <c r="O454" s="13" t="s">
        <v>11051</v>
      </c>
      <c r="P454" s="15">
        <v>732</v>
      </c>
      <c r="R454" s="13" t="s">
        <v>11050</v>
      </c>
      <c r="S454" s="13" t="s">
        <v>1363</v>
      </c>
      <c r="X454" s="13" t="s">
        <v>11016</v>
      </c>
      <c r="Z454" s="13" t="s">
        <v>1363</v>
      </c>
      <c r="AB454" s="13" t="s">
        <v>447</v>
      </c>
      <c r="AC454" s="21">
        <v>42159.558506944442</v>
      </c>
      <c r="AD454" s="21">
        <v>44365.695405092592</v>
      </c>
      <c r="AE454" s="13" t="s">
        <v>9795</v>
      </c>
      <c r="AF454" s="13" t="s">
        <v>9629</v>
      </c>
    </row>
    <row r="455" spans="1:32">
      <c r="A455" s="13" t="s">
        <v>11052</v>
      </c>
      <c r="B455" s="13" t="s">
        <v>1438</v>
      </c>
      <c r="C455" s="13" t="s">
        <v>1363</v>
      </c>
      <c r="D455" s="13" t="s">
        <v>1150</v>
      </c>
      <c r="E455" s="13" t="s">
        <v>1363</v>
      </c>
      <c r="F455" s="13" t="s">
        <v>447</v>
      </c>
      <c r="G455" s="13" t="s">
        <v>1363</v>
      </c>
      <c r="H455" s="13" t="s">
        <v>1415</v>
      </c>
      <c r="I455" s="13" t="s">
        <v>11053</v>
      </c>
      <c r="J455" s="13" t="s">
        <v>1363</v>
      </c>
      <c r="K455" s="13" t="s">
        <v>1363</v>
      </c>
      <c r="L455" s="13" t="s">
        <v>447</v>
      </c>
      <c r="M455" s="13" t="s">
        <v>1363</v>
      </c>
      <c r="N455" s="13" t="s">
        <v>9626</v>
      </c>
      <c r="O455" s="13" t="s">
        <v>11054</v>
      </c>
      <c r="P455" s="15">
        <v>732</v>
      </c>
      <c r="R455" s="13" t="s">
        <v>11053</v>
      </c>
      <c r="S455" s="13" t="s">
        <v>1363</v>
      </c>
      <c r="X455" s="13" t="s">
        <v>11016</v>
      </c>
      <c r="Z455" s="13" t="s">
        <v>1363</v>
      </c>
      <c r="AB455" s="13" t="s">
        <v>447</v>
      </c>
      <c r="AC455" s="21">
        <v>42159.558506944442</v>
      </c>
      <c r="AD455" s="21">
        <v>42205.668958333335</v>
      </c>
      <c r="AE455" s="13" t="s">
        <v>9629</v>
      </c>
      <c r="AF455" s="13" t="s">
        <v>9629</v>
      </c>
    </row>
    <row r="456" spans="1:32">
      <c r="A456" s="13" t="s">
        <v>8376</v>
      </c>
      <c r="B456" s="13" t="s">
        <v>1150</v>
      </c>
      <c r="C456" s="13" t="s">
        <v>1363</v>
      </c>
      <c r="D456" s="13" t="s">
        <v>1150</v>
      </c>
      <c r="E456" s="13" t="s">
        <v>1363</v>
      </c>
      <c r="F456" s="13" t="s">
        <v>447</v>
      </c>
      <c r="G456" s="13" t="s">
        <v>1363</v>
      </c>
      <c r="H456" s="13" t="s">
        <v>1415</v>
      </c>
      <c r="I456" s="13" t="s">
        <v>11055</v>
      </c>
      <c r="J456" s="13" t="s">
        <v>447</v>
      </c>
      <c r="K456" s="13" t="s">
        <v>1363</v>
      </c>
      <c r="L456" s="13" t="s">
        <v>1363</v>
      </c>
      <c r="M456" s="13" t="s">
        <v>1363</v>
      </c>
      <c r="N456" s="13" t="s">
        <v>9626</v>
      </c>
      <c r="O456" s="13" t="s">
        <v>11056</v>
      </c>
      <c r="P456" s="15">
        <v>732</v>
      </c>
      <c r="R456" s="13" t="s">
        <v>11055</v>
      </c>
      <c r="S456" s="13" t="s">
        <v>1363</v>
      </c>
      <c r="X456" s="13" t="s">
        <v>11016</v>
      </c>
      <c r="Z456" s="13" t="s">
        <v>1363</v>
      </c>
      <c r="AB456" s="13" t="s">
        <v>447</v>
      </c>
      <c r="AC456" s="21">
        <v>42159.558506944442</v>
      </c>
      <c r="AD456" s="21">
        <v>42205.668958333335</v>
      </c>
      <c r="AE456" s="13" t="s">
        <v>9629</v>
      </c>
      <c r="AF456" s="13" t="s">
        <v>9629</v>
      </c>
    </row>
    <row r="457" spans="1:32">
      <c r="A457" s="13" t="s">
        <v>2917</v>
      </c>
      <c r="B457" s="13" t="s">
        <v>1438</v>
      </c>
      <c r="C457" s="13" t="s">
        <v>1363</v>
      </c>
      <c r="D457" s="13" t="s">
        <v>1150</v>
      </c>
      <c r="E457" s="13" t="s">
        <v>1363</v>
      </c>
      <c r="F457" s="13" t="s">
        <v>447</v>
      </c>
      <c r="G457" s="13" t="s">
        <v>1363</v>
      </c>
      <c r="H457" s="13" t="s">
        <v>1415</v>
      </c>
      <c r="I457" s="13" t="s">
        <v>11057</v>
      </c>
      <c r="J457" s="13" t="s">
        <v>1363</v>
      </c>
      <c r="K457" s="13" t="s">
        <v>1363</v>
      </c>
      <c r="L457" s="13" t="s">
        <v>447</v>
      </c>
      <c r="M457" s="13" t="s">
        <v>447</v>
      </c>
      <c r="N457" s="13" t="s">
        <v>9626</v>
      </c>
      <c r="O457" s="13" t="s">
        <v>11058</v>
      </c>
      <c r="P457" s="15">
        <v>367</v>
      </c>
      <c r="S457" s="13" t="s">
        <v>1363</v>
      </c>
      <c r="X457" s="13" t="s">
        <v>11016</v>
      </c>
      <c r="Z457" s="13" t="s">
        <v>1363</v>
      </c>
      <c r="AB457" s="13" t="s">
        <v>447</v>
      </c>
      <c r="AC457" s="21">
        <v>42160.608715277776</v>
      </c>
      <c r="AD457" s="21">
        <v>42160.608715277776</v>
      </c>
      <c r="AE457" s="13" t="s">
        <v>9629</v>
      </c>
      <c r="AF457" s="13" t="s">
        <v>9629</v>
      </c>
    </row>
    <row r="458" spans="1:32">
      <c r="A458" s="13" t="s">
        <v>11059</v>
      </c>
      <c r="B458" s="13" t="s">
        <v>1438</v>
      </c>
      <c r="C458" s="13" t="s">
        <v>1363</v>
      </c>
      <c r="D458" s="13" t="s">
        <v>1150</v>
      </c>
      <c r="E458" s="13" t="s">
        <v>1363</v>
      </c>
      <c r="F458" s="13" t="s">
        <v>447</v>
      </c>
      <c r="G458" s="13" t="s">
        <v>1363</v>
      </c>
      <c r="H458" s="13" t="s">
        <v>1415</v>
      </c>
      <c r="I458" s="13" t="s">
        <v>11060</v>
      </c>
      <c r="J458" s="13" t="s">
        <v>1363</v>
      </c>
      <c r="K458" s="13" t="s">
        <v>1363</v>
      </c>
      <c r="L458" s="13" t="s">
        <v>447</v>
      </c>
      <c r="M458" s="13" t="s">
        <v>447</v>
      </c>
      <c r="N458" s="13" t="s">
        <v>9626</v>
      </c>
      <c r="O458" s="13" t="s">
        <v>11061</v>
      </c>
      <c r="P458" s="15">
        <v>368</v>
      </c>
      <c r="S458" s="13" t="s">
        <v>1363</v>
      </c>
      <c r="X458" s="13" t="s">
        <v>11016</v>
      </c>
      <c r="Z458" s="13" t="s">
        <v>1363</v>
      </c>
      <c r="AB458" s="13" t="s">
        <v>447</v>
      </c>
      <c r="AC458" s="21">
        <v>42160.608726851853</v>
      </c>
      <c r="AD458" s="21">
        <v>42160.608726851853</v>
      </c>
      <c r="AE458" s="13" t="s">
        <v>9629</v>
      </c>
      <c r="AF458" s="13" t="s">
        <v>9629</v>
      </c>
    </row>
    <row r="459" spans="1:32">
      <c r="A459" s="13" t="s">
        <v>11062</v>
      </c>
      <c r="B459" s="13" t="s">
        <v>1150</v>
      </c>
      <c r="C459" s="13" t="s">
        <v>1363</v>
      </c>
      <c r="D459" s="13" t="s">
        <v>1150</v>
      </c>
      <c r="E459" s="13" t="s">
        <v>1363</v>
      </c>
      <c r="F459" s="13" t="s">
        <v>447</v>
      </c>
      <c r="G459" s="13" t="s">
        <v>1363</v>
      </c>
      <c r="H459" s="13" t="s">
        <v>1415</v>
      </c>
      <c r="I459" s="13" t="s">
        <v>11063</v>
      </c>
      <c r="J459" s="13" t="s">
        <v>447</v>
      </c>
      <c r="K459" s="13" t="s">
        <v>1363</v>
      </c>
      <c r="L459" s="13" t="s">
        <v>447</v>
      </c>
      <c r="M459" s="13" t="s">
        <v>447</v>
      </c>
      <c r="N459" s="13" t="s">
        <v>9626</v>
      </c>
      <c r="O459" s="13" t="s">
        <v>11064</v>
      </c>
      <c r="P459" s="15">
        <v>368</v>
      </c>
      <c r="S459" s="13" t="s">
        <v>1363</v>
      </c>
      <c r="X459" s="13" t="s">
        <v>11016</v>
      </c>
      <c r="Z459" s="13" t="s">
        <v>1363</v>
      </c>
      <c r="AB459" s="13" t="s">
        <v>447</v>
      </c>
      <c r="AC459" s="21">
        <v>42160.608726851853</v>
      </c>
      <c r="AD459" s="21">
        <v>42160.608726851853</v>
      </c>
      <c r="AE459" s="13" t="s">
        <v>9629</v>
      </c>
      <c r="AF459" s="13" t="s">
        <v>9629</v>
      </c>
    </row>
    <row r="460" spans="1:32">
      <c r="A460" s="13" t="s">
        <v>11065</v>
      </c>
      <c r="B460" s="13" t="s">
        <v>1438</v>
      </c>
      <c r="C460" s="13" t="s">
        <v>1363</v>
      </c>
      <c r="D460" s="13" t="s">
        <v>1150</v>
      </c>
      <c r="E460" s="13" t="s">
        <v>1363</v>
      </c>
      <c r="F460" s="13" t="s">
        <v>447</v>
      </c>
      <c r="G460" s="13" t="s">
        <v>1363</v>
      </c>
      <c r="H460" s="13" t="s">
        <v>1415</v>
      </c>
      <c r="I460" s="13" t="s">
        <v>11066</v>
      </c>
      <c r="J460" s="13" t="s">
        <v>1363</v>
      </c>
      <c r="K460" s="13" t="s">
        <v>1363</v>
      </c>
      <c r="L460" s="13" t="s">
        <v>447</v>
      </c>
      <c r="M460" s="13" t="s">
        <v>447</v>
      </c>
      <c r="N460" s="13" t="s">
        <v>9626</v>
      </c>
      <c r="O460" s="13" t="s">
        <v>11067</v>
      </c>
      <c r="P460" s="15">
        <v>368</v>
      </c>
      <c r="R460" s="13" t="s">
        <v>11066</v>
      </c>
      <c r="S460" s="13" t="s">
        <v>1363</v>
      </c>
      <c r="X460" s="13" t="s">
        <v>11016</v>
      </c>
      <c r="Z460" s="13" t="s">
        <v>1363</v>
      </c>
      <c r="AB460" s="13" t="s">
        <v>447</v>
      </c>
      <c r="AC460" s="21">
        <v>42160.608726851853</v>
      </c>
      <c r="AD460" s="21">
        <v>43073.563877314817</v>
      </c>
      <c r="AE460" s="13" t="s">
        <v>9860</v>
      </c>
      <c r="AF460" s="13" t="s">
        <v>9629</v>
      </c>
    </row>
    <row r="461" spans="1:32">
      <c r="A461" s="13" t="s">
        <v>11068</v>
      </c>
      <c r="B461" s="13" t="s">
        <v>1438</v>
      </c>
      <c r="C461" s="13" t="s">
        <v>1363</v>
      </c>
      <c r="D461" s="13" t="s">
        <v>1150</v>
      </c>
      <c r="E461" s="13" t="s">
        <v>1363</v>
      </c>
      <c r="F461" s="13" t="s">
        <v>447</v>
      </c>
      <c r="G461" s="13" t="s">
        <v>1363</v>
      </c>
      <c r="H461" s="13" t="s">
        <v>1415</v>
      </c>
      <c r="I461" s="13" t="s">
        <v>11069</v>
      </c>
      <c r="J461" s="13" t="s">
        <v>1363</v>
      </c>
      <c r="K461" s="13" t="s">
        <v>1363</v>
      </c>
      <c r="L461" s="13" t="s">
        <v>447</v>
      </c>
      <c r="M461" s="13" t="s">
        <v>447</v>
      </c>
      <c r="N461" s="13" t="s">
        <v>9626</v>
      </c>
      <c r="O461" s="13" t="s">
        <v>11070</v>
      </c>
      <c r="P461" s="15">
        <v>368</v>
      </c>
      <c r="R461" s="13" t="s">
        <v>11069</v>
      </c>
      <c r="S461" s="13" t="s">
        <v>1363</v>
      </c>
      <c r="X461" s="13" t="s">
        <v>11016</v>
      </c>
      <c r="Z461" s="13" t="s">
        <v>1363</v>
      </c>
      <c r="AB461" s="13" t="s">
        <v>447</v>
      </c>
      <c r="AC461" s="21">
        <v>42160.608726851853</v>
      </c>
      <c r="AD461" s="21">
        <v>42591.494467592594</v>
      </c>
      <c r="AE461" s="13" t="s">
        <v>9860</v>
      </c>
      <c r="AF461" s="13" t="s">
        <v>9629</v>
      </c>
    </row>
    <row r="462" spans="1:32">
      <c r="A462" s="13" t="s">
        <v>11071</v>
      </c>
      <c r="B462" s="13" t="s">
        <v>1150</v>
      </c>
      <c r="C462" s="13" t="s">
        <v>447</v>
      </c>
      <c r="D462" s="13" t="s">
        <v>1150</v>
      </c>
      <c r="E462" s="13" t="s">
        <v>447</v>
      </c>
      <c r="F462" s="13" t="s">
        <v>447</v>
      </c>
      <c r="G462" s="13" t="s">
        <v>1363</v>
      </c>
      <c r="H462" s="13" t="s">
        <v>1415</v>
      </c>
      <c r="I462" s="13" t="s">
        <v>11072</v>
      </c>
      <c r="J462" s="13" t="s">
        <v>447</v>
      </c>
      <c r="K462" s="13" t="s">
        <v>1363</v>
      </c>
      <c r="L462" s="13" t="s">
        <v>1363</v>
      </c>
      <c r="M462" s="13" t="s">
        <v>1363</v>
      </c>
      <c r="N462" s="13" t="s">
        <v>9626</v>
      </c>
      <c r="O462" s="13" t="s">
        <v>11073</v>
      </c>
      <c r="P462" s="15">
        <v>41640</v>
      </c>
      <c r="R462" s="13" t="s">
        <v>11074</v>
      </c>
      <c r="S462" s="13" t="s">
        <v>1363</v>
      </c>
      <c r="X462" s="13" t="s">
        <v>9628</v>
      </c>
      <c r="Z462" s="13" t="s">
        <v>1363</v>
      </c>
      <c r="AB462" s="13" t="s">
        <v>447</v>
      </c>
      <c r="AC462" s="21">
        <v>42160.608726851853</v>
      </c>
      <c r="AD462" s="21">
        <v>42271.651469907411</v>
      </c>
      <c r="AE462" s="13" t="s">
        <v>9634</v>
      </c>
      <c r="AF462" s="13" t="s">
        <v>9629</v>
      </c>
    </row>
    <row r="463" spans="1:32">
      <c r="A463" s="13" t="s">
        <v>8346</v>
      </c>
      <c r="B463" s="13" t="s">
        <v>1438</v>
      </c>
      <c r="C463" s="13" t="s">
        <v>1363</v>
      </c>
      <c r="D463" s="13" t="s">
        <v>1150</v>
      </c>
      <c r="E463" s="13" t="s">
        <v>1363</v>
      </c>
      <c r="F463" s="13" t="s">
        <v>447</v>
      </c>
      <c r="G463" s="13" t="s">
        <v>1363</v>
      </c>
      <c r="H463" s="13" t="s">
        <v>1415</v>
      </c>
      <c r="I463" s="13" t="s">
        <v>11075</v>
      </c>
      <c r="J463" s="13" t="s">
        <v>1363</v>
      </c>
      <c r="K463" s="13" t="s">
        <v>1363</v>
      </c>
      <c r="L463" s="13" t="s">
        <v>1363</v>
      </c>
      <c r="M463" s="13" t="s">
        <v>447</v>
      </c>
      <c r="N463" s="13" t="s">
        <v>9626</v>
      </c>
      <c r="O463" s="13" t="s">
        <v>11076</v>
      </c>
      <c r="P463" s="15">
        <v>368</v>
      </c>
      <c r="R463" s="13" t="s">
        <v>11075</v>
      </c>
      <c r="S463" s="13" t="s">
        <v>1363</v>
      </c>
      <c r="X463" s="13" t="s">
        <v>11016</v>
      </c>
      <c r="Z463" s="13" t="s">
        <v>447</v>
      </c>
      <c r="AB463" s="13" t="s">
        <v>447</v>
      </c>
      <c r="AC463" s="21">
        <v>42160.608726851853</v>
      </c>
      <c r="AD463" s="21">
        <v>42160.608726851853</v>
      </c>
      <c r="AE463" s="13" t="s">
        <v>9629</v>
      </c>
      <c r="AF463" s="13" t="s">
        <v>9629</v>
      </c>
    </row>
    <row r="464" spans="1:32">
      <c r="A464" s="13" t="s">
        <v>11077</v>
      </c>
      <c r="B464" s="13" t="s">
        <v>1438</v>
      </c>
      <c r="C464" s="13" t="s">
        <v>1363</v>
      </c>
      <c r="D464" s="13" t="s">
        <v>1150</v>
      </c>
      <c r="E464" s="13" t="s">
        <v>1363</v>
      </c>
      <c r="F464" s="13" t="s">
        <v>447</v>
      </c>
      <c r="G464" s="13" t="s">
        <v>1363</v>
      </c>
      <c r="H464" s="13" t="s">
        <v>1415</v>
      </c>
      <c r="I464" s="13" t="s">
        <v>11078</v>
      </c>
      <c r="J464" s="13" t="s">
        <v>1363</v>
      </c>
      <c r="K464" s="13" t="s">
        <v>1363</v>
      </c>
      <c r="L464" s="13" t="s">
        <v>447</v>
      </c>
      <c r="M464" s="13" t="s">
        <v>447</v>
      </c>
      <c r="N464" s="13" t="s">
        <v>9626</v>
      </c>
      <c r="O464" s="13" t="s">
        <v>11079</v>
      </c>
      <c r="P464" s="15">
        <v>368</v>
      </c>
      <c r="R464" s="13" t="s">
        <v>11080</v>
      </c>
      <c r="S464" s="13" t="s">
        <v>1363</v>
      </c>
      <c r="X464" s="13" t="s">
        <v>11016</v>
      </c>
      <c r="Z464" s="13" t="s">
        <v>1363</v>
      </c>
      <c r="AB464" s="13" t="s">
        <v>447</v>
      </c>
      <c r="AC464" s="21">
        <v>42160.608726851853</v>
      </c>
      <c r="AD464" s="21">
        <v>42160.608726851853</v>
      </c>
      <c r="AE464" s="13" t="s">
        <v>9629</v>
      </c>
      <c r="AF464" s="13" t="s">
        <v>9629</v>
      </c>
    </row>
    <row r="465" spans="1:32">
      <c r="A465" s="13" t="s">
        <v>11081</v>
      </c>
      <c r="B465" s="13" t="s">
        <v>1438</v>
      </c>
      <c r="C465" s="13" t="s">
        <v>1363</v>
      </c>
      <c r="D465" s="13" t="s">
        <v>1150</v>
      </c>
      <c r="E465" s="13" t="s">
        <v>1363</v>
      </c>
      <c r="F465" s="13" t="s">
        <v>447</v>
      </c>
      <c r="G465" s="13" t="s">
        <v>1363</v>
      </c>
      <c r="H465" s="13" t="s">
        <v>1415</v>
      </c>
      <c r="I465" s="13" t="s">
        <v>11082</v>
      </c>
      <c r="J465" s="13" t="s">
        <v>1363</v>
      </c>
      <c r="K465" s="13" t="s">
        <v>1363</v>
      </c>
      <c r="L465" s="13" t="s">
        <v>447</v>
      </c>
      <c r="M465" s="13" t="s">
        <v>447</v>
      </c>
      <c r="N465" s="13" t="s">
        <v>9626</v>
      </c>
      <c r="O465" s="13" t="s">
        <v>11083</v>
      </c>
      <c r="P465" s="15">
        <v>368</v>
      </c>
      <c r="R465" s="13" t="s">
        <v>11084</v>
      </c>
      <c r="S465" s="13" t="s">
        <v>1363</v>
      </c>
      <c r="X465" s="13" t="s">
        <v>11016</v>
      </c>
      <c r="Z465" s="13" t="s">
        <v>1363</v>
      </c>
      <c r="AB465" s="13" t="s">
        <v>447</v>
      </c>
      <c r="AC465" s="21">
        <v>42160.608726851853</v>
      </c>
      <c r="AD465" s="21">
        <v>42160.608726851853</v>
      </c>
      <c r="AE465" s="13" t="s">
        <v>9629</v>
      </c>
      <c r="AF465" s="13" t="s">
        <v>9629</v>
      </c>
    </row>
    <row r="466" spans="1:32">
      <c r="A466" s="13" t="s">
        <v>11085</v>
      </c>
      <c r="B466" s="13" t="s">
        <v>1438</v>
      </c>
      <c r="C466" s="13" t="s">
        <v>1363</v>
      </c>
      <c r="D466" s="13" t="s">
        <v>1150</v>
      </c>
      <c r="E466" s="13" t="s">
        <v>1363</v>
      </c>
      <c r="F466" s="13" t="s">
        <v>447</v>
      </c>
      <c r="G466" s="13" t="s">
        <v>1363</v>
      </c>
      <c r="H466" s="13" t="s">
        <v>1415</v>
      </c>
      <c r="I466" s="13" t="s">
        <v>11086</v>
      </c>
      <c r="J466" s="13" t="s">
        <v>1363</v>
      </c>
      <c r="K466" s="13" t="s">
        <v>1363</v>
      </c>
      <c r="L466" s="13" t="s">
        <v>447</v>
      </c>
      <c r="M466" s="13" t="s">
        <v>1363</v>
      </c>
      <c r="N466" s="13" t="s">
        <v>9626</v>
      </c>
      <c r="O466" s="13" t="s">
        <v>11087</v>
      </c>
      <c r="P466" s="15">
        <v>368</v>
      </c>
      <c r="R466" s="13" t="s">
        <v>11086</v>
      </c>
      <c r="S466" s="13" t="s">
        <v>1363</v>
      </c>
      <c r="X466" s="13" t="s">
        <v>11016</v>
      </c>
      <c r="Z466" s="13" t="s">
        <v>1363</v>
      </c>
      <c r="AB466" s="13" t="s">
        <v>447</v>
      </c>
      <c r="AC466" s="21">
        <v>42160.608726851853</v>
      </c>
      <c r="AD466" s="21">
        <v>42160.608726851853</v>
      </c>
      <c r="AE466" s="13" t="s">
        <v>9629</v>
      </c>
      <c r="AF466" s="13" t="s">
        <v>9629</v>
      </c>
    </row>
    <row r="467" spans="1:32">
      <c r="A467" s="13" t="s">
        <v>11088</v>
      </c>
      <c r="B467" s="13" t="s">
        <v>1150</v>
      </c>
      <c r="C467" s="13" t="s">
        <v>447</v>
      </c>
      <c r="D467" s="13" t="s">
        <v>1150</v>
      </c>
      <c r="E467" s="13" t="s">
        <v>1363</v>
      </c>
      <c r="F467" s="13" t="s">
        <v>447</v>
      </c>
      <c r="G467" s="13" t="s">
        <v>447</v>
      </c>
      <c r="H467" s="13" t="s">
        <v>1150</v>
      </c>
      <c r="I467" s="13" t="s">
        <v>11089</v>
      </c>
      <c r="J467" s="13" t="s">
        <v>447</v>
      </c>
      <c r="K467" s="13" t="s">
        <v>1363</v>
      </c>
      <c r="L467" s="13" t="s">
        <v>447</v>
      </c>
      <c r="M467" s="13" t="s">
        <v>1363</v>
      </c>
      <c r="N467" s="13" t="s">
        <v>9626</v>
      </c>
      <c r="O467" s="13" t="s">
        <v>11090</v>
      </c>
      <c r="P467" s="15">
        <v>41275</v>
      </c>
      <c r="R467" s="13" t="s">
        <v>11088</v>
      </c>
      <c r="S467" s="13" t="s">
        <v>1363</v>
      </c>
      <c r="X467" s="13" t="s">
        <v>9658</v>
      </c>
      <c r="Z467" s="13" t="s">
        <v>1363</v>
      </c>
      <c r="AB467" s="13" t="s">
        <v>447</v>
      </c>
      <c r="AC467" s="21">
        <v>42188.462476851855</v>
      </c>
      <c r="AD467" s="21">
        <v>42188.462476851855</v>
      </c>
      <c r="AE467" s="13" t="s">
        <v>9634</v>
      </c>
      <c r="AF467" s="13" t="s">
        <v>9634</v>
      </c>
    </row>
    <row r="468" spans="1:32">
      <c r="A468" s="13" t="s">
        <v>11091</v>
      </c>
      <c r="B468" s="13" t="s">
        <v>1438</v>
      </c>
      <c r="C468" s="13" t="s">
        <v>1363</v>
      </c>
      <c r="D468" s="13" t="s">
        <v>1150</v>
      </c>
      <c r="E468" s="13" t="s">
        <v>1363</v>
      </c>
      <c r="F468" s="13" t="s">
        <v>447</v>
      </c>
      <c r="G468" s="13" t="s">
        <v>1363</v>
      </c>
      <c r="H468" s="13" t="s">
        <v>1415</v>
      </c>
      <c r="I468" s="13" t="s">
        <v>11092</v>
      </c>
      <c r="J468" s="13" t="s">
        <v>1363</v>
      </c>
      <c r="K468" s="13" t="s">
        <v>447</v>
      </c>
      <c r="L468" s="13" t="s">
        <v>1363</v>
      </c>
      <c r="M468" s="13" t="s">
        <v>447</v>
      </c>
      <c r="N468" s="13" t="s">
        <v>9626</v>
      </c>
      <c r="O468" s="13" t="s">
        <v>11093</v>
      </c>
      <c r="P468" s="15">
        <v>368</v>
      </c>
      <c r="R468" s="13" t="s">
        <v>11092</v>
      </c>
      <c r="S468" s="13" t="s">
        <v>1363</v>
      </c>
      <c r="X468" s="13" t="s">
        <v>9628</v>
      </c>
      <c r="Z468" s="13" t="s">
        <v>1363</v>
      </c>
      <c r="AB468" s="13" t="s">
        <v>447</v>
      </c>
      <c r="AC468" s="21">
        <v>42188.468576388892</v>
      </c>
      <c r="AD468" s="21">
        <v>42188.468576388892</v>
      </c>
      <c r="AE468" s="13" t="s">
        <v>9860</v>
      </c>
      <c r="AF468" s="13" t="s">
        <v>9860</v>
      </c>
    </row>
    <row r="469" spans="1:32">
      <c r="A469" s="13" t="s">
        <v>11094</v>
      </c>
      <c r="B469" s="13" t="s">
        <v>1150</v>
      </c>
      <c r="C469" s="13" t="s">
        <v>1363</v>
      </c>
      <c r="D469" s="13" t="s">
        <v>1150</v>
      </c>
      <c r="E469" s="13" t="s">
        <v>1363</v>
      </c>
      <c r="F469" s="13" t="s">
        <v>447</v>
      </c>
      <c r="G469" s="13" t="s">
        <v>1363</v>
      </c>
      <c r="H469" s="13" t="s">
        <v>1415</v>
      </c>
      <c r="I469" s="13" t="s">
        <v>11095</v>
      </c>
      <c r="J469" s="13" t="s">
        <v>447</v>
      </c>
      <c r="K469" s="13" t="s">
        <v>1363</v>
      </c>
      <c r="L469" s="13" t="s">
        <v>447</v>
      </c>
      <c r="M469" s="13" t="s">
        <v>447</v>
      </c>
      <c r="N469" s="13" t="s">
        <v>9626</v>
      </c>
      <c r="O469" s="13" t="s">
        <v>11096</v>
      </c>
      <c r="P469" s="15">
        <v>368</v>
      </c>
      <c r="S469" s="13" t="s">
        <v>1363</v>
      </c>
      <c r="X469" s="13" t="s">
        <v>9628</v>
      </c>
      <c r="Z469" s="13" t="s">
        <v>1363</v>
      </c>
      <c r="AB469" s="13" t="s">
        <v>447</v>
      </c>
      <c r="AC469" s="21">
        <v>42192.600798611114</v>
      </c>
      <c r="AD469" s="21">
        <v>42597.382824074077</v>
      </c>
      <c r="AE469" s="13" t="s">
        <v>9634</v>
      </c>
      <c r="AF469" s="13" t="s">
        <v>9860</v>
      </c>
    </row>
    <row r="470" spans="1:32">
      <c r="A470" s="13" t="s">
        <v>11097</v>
      </c>
      <c r="B470" s="13" t="s">
        <v>1150</v>
      </c>
      <c r="C470" s="13" t="s">
        <v>1363</v>
      </c>
      <c r="D470" s="13" t="s">
        <v>1150</v>
      </c>
      <c r="E470" s="13" t="s">
        <v>447</v>
      </c>
      <c r="F470" s="13" t="s">
        <v>447</v>
      </c>
      <c r="G470" s="13" t="s">
        <v>1363</v>
      </c>
      <c r="H470" s="13" t="s">
        <v>1415</v>
      </c>
      <c r="I470" s="13" t="s">
        <v>11098</v>
      </c>
      <c r="J470" s="13" t="s">
        <v>447</v>
      </c>
      <c r="K470" s="13" t="s">
        <v>1363</v>
      </c>
      <c r="L470" s="13" t="s">
        <v>447</v>
      </c>
      <c r="M470" s="13" t="s">
        <v>447</v>
      </c>
      <c r="N470" s="13" t="s">
        <v>9626</v>
      </c>
      <c r="O470" s="13" t="s">
        <v>11099</v>
      </c>
      <c r="P470" s="15">
        <v>368</v>
      </c>
      <c r="R470" s="13" t="s">
        <v>11098</v>
      </c>
      <c r="S470" s="13" t="s">
        <v>1363</v>
      </c>
      <c r="X470" s="13" t="s">
        <v>9628</v>
      </c>
      <c r="Z470" s="13" t="s">
        <v>1363</v>
      </c>
      <c r="AB470" s="13" t="s">
        <v>447</v>
      </c>
      <c r="AC470" s="21">
        <v>42199.372870370367</v>
      </c>
      <c r="AD470" s="21">
        <v>42199.377581018518</v>
      </c>
      <c r="AE470" s="13" t="s">
        <v>9860</v>
      </c>
      <c r="AF470" s="13" t="s">
        <v>9860</v>
      </c>
    </row>
    <row r="471" spans="1:32">
      <c r="A471" s="13" t="s">
        <v>6355</v>
      </c>
      <c r="B471" s="13" t="s">
        <v>1150</v>
      </c>
      <c r="C471" s="13" t="s">
        <v>1363</v>
      </c>
      <c r="D471" s="13" t="s">
        <v>1150</v>
      </c>
      <c r="E471" s="13" t="s">
        <v>447</v>
      </c>
      <c r="F471" s="13" t="s">
        <v>447</v>
      </c>
      <c r="G471" s="13" t="s">
        <v>1363</v>
      </c>
      <c r="H471" s="13" t="s">
        <v>1415</v>
      </c>
      <c r="I471" s="13" t="s">
        <v>529</v>
      </c>
      <c r="J471" s="13" t="s">
        <v>447</v>
      </c>
      <c r="K471" s="13" t="s">
        <v>1363</v>
      </c>
      <c r="L471" s="13" t="s">
        <v>447</v>
      </c>
      <c r="M471" s="13" t="s">
        <v>447</v>
      </c>
      <c r="N471" s="13" t="s">
        <v>9626</v>
      </c>
      <c r="O471" s="13" t="s">
        <v>11100</v>
      </c>
      <c r="P471" s="15">
        <v>368</v>
      </c>
      <c r="R471" s="13" t="s">
        <v>529</v>
      </c>
      <c r="S471" s="13" t="s">
        <v>1363</v>
      </c>
      <c r="X471" s="13" t="s">
        <v>9628</v>
      </c>
      <c r="Z471" s="13" t="s">
        <v>1363</v>
      </c>
      <c r="AB471" s="13" t="s">
        <v>447</v>
      </c>
      <c r="AC471" s="21">
        <v>42199.37740740741</v>
      </c>
      <c r="AD471" s="21">
        <v>42199.37740740741</v>
      </c>
      <c r="AE471" s="13" t="s">
        <v>9860</v>
      </c>
      <c r="AF471" s="13" t="s">
        <v>9860</v>
      </c>
    </row>
    <row r="472" spans="1:32">
      <c r="A472" s="13" t="s">
        <v>8133</v>
      </c>
      <c r="B472" s="13" t="s">
        <v>1150</v>
      </c>
      <c r="C472" s="13" t="s">
        <v>1363</v>
      </c>
      <c r="D472" s="13" t="s">
        <v>1150</v>
      </c>
      <c r="E472" s="13" t="s">
        <v>447</v>
      </c>
      <c r="F472" s="13" t="s">
        <v>447</v>
      </c>
      <c r="G472" s="13" t="s">
        <v>1363</v>
      </c>
      <c r="H472" s="13" t="s">
        <v>1415</v>
      </c>
      <c r="I472" s="13" t="s">
        <v>11101</v>
      </c>
      <c r="J472" s="13" t="s">
        <v>447</v>
      </c>
      <c r="K472" s="13" t="s">
        <v>1363</v>
      </c>
      <c r="L472" s="13" t="s">
        <v>447</v>
      </c>
      <c r="M472" s="13" t="s">
        <v>447</v>
      </c>
      <c r="N472" s="13" t="s">
        <v>9626</v>
      </c>
      <c r="O472" s="13" t="s">
        <v>11102</v>
      </c>
      <c r="P472" s="15">
        <v>368</v>
      </c>
      <c r="R472" s="13" t="s">
        <v>11101</v>
      </c>
      <c r="S472" s="13" t="s">
        <v>1363</v>
      </c>
      <c r="X472" s="13" t="s">
        <v>9628</v>
      </c>
      <c r="Z472" s="13" t="s">
        <v>1363</v>
      </c>
      <c r="AB472" s="13" t="s">
        <v>447</v>
      </c>
      <c r="AC472" s="21">
        <v>42199.384131944447</v>
      </c>
      <c r="AD472" s="21">
        <v>42199.384131944447</v>
      </c>
      <c r="AE472" s="13" t="s">
        <v>9860</v>
      </c>
      <c r="AF472" s="13" t="s">
        <v>9860</v>
      </c>
    </row>
    <row r="473" spans="1:32">
      <c r="A473" s="13" t="s">
        <v>11103</v>
      </c>
      <c r="B473" s="13" t="s">
        <v>1150</v>
      </c>
      <c r="C473" s="13" t="s">
        <v>1363</v>
      </c>
      <c r="D473" s="13" t="s">
        <v>1150</v>
      </c>
      <c r="E473" s="13" t="s">
        <v>447</v>
      </c>
      <c r="F473" s="13" t="s">
        <v>447</v>
      </c>
      <c r="G473" s="13" t="s">
        <v>1363</v>
      </c>
      <c r="H473" s="13" t="s">
        <v>1415</v>
      </c>
      <c r="I473" s="13" t="s">
        <v>11104</v>
      </c>
      <c r="J473" s="13" t="s">
        <v>447</v>
      </c>
      <c r="K473" s="13" t="s">
        <v>1363</v>
      </c>
      <c r="L473" s="13" t="s">
        <v>447</v>
      </c>
      <c r="M473" s="13" t="s">
        <v>447</v>
      </c>
      <c r="N473" s="13" t="s">
        <v>9626</v>
      </c>
      <c r="O473" s="13" t="s">
        <v>11105</v>
      </c>
      <c r="P473" s="15">
        <v>368</v>
      </c>
      <c r="R473" s="13" t="s">
        <v>11104</v>
      </c>
      <c r="S473" s="13" t="s">
        <v>1363</v>
      </c>
      <c r="X473" s="13" t="s">
        <v>9628</v>
      </c>
      <c r="Z473" s="13" t="s">
        <v>1363</v>
      </c>
      <c r="AB473" s="13" t="s">
        <v>447</v>
      </c>
      <c r="AC473" s="21">
        <v>42199.432164351849</v>
      </c>
      <c r="AD473" s="21">
        <v>42199.432164351849</v>
      </c>
      <c r="AE473" s="13" t="s">
        <v>9860</v>
      </c>
      <c r="AF473" s="13" t="s">
        <v>9860</v>
      </c>
    </row>
    <row r="474" spans="1:32">
      <c r="A474" s="13" t="s">
        <v>11106</v>
      </c>
      <c r="B474" s="13" t="s">
        <v>1150</v>
      </c>
      <c r="C474" s="13" t="s">
        <v>1363</v>
      </c>
      <c r="D474" s="13" t="s">
        <v>1150</v>
      </c>
      <c r="E474" s="13" t="s">
        <v>1363</v>
      </c>
      <c r="F474" s="13" t="s">
        <v>447</v>
      </c>
      <c r="G474" s="13" t="s">
        <v>1363</v>
      </c>
      <c r="H474" s="13" t="s">
        <v>1415</v>
      </c>
      <c r="I474" s="13" t="s">
        <v>11107</v>
      </c>
      <c r="J474" s="13" t="s">
        <v>447</v>
      </c>
      <c r="K474" s="13" t="s">
        <v>1363</v>
      </c>
      <c r="L474" s="13" t="s">
        <v>447</v>
      </c>
      <c r="M474" s="13" t="s">
        <v>447</v>
      </c>
      <c r="N474" s="13" t="s">
        <v>9626</v>
      </c>
      <c r="O474" s="13" t="s">
        <v>11108</v>
      </c>
      <c r="P474" s="15">
        <v>368</v>
      </c>
      <c r="R474" s="13" t="s">
        <v>11107</v>
      </c>
      <c r="S474" s="13" t="s">
        <v>1363</v>
      </c>
      <c r="X474" s="13" t="s">
        <v>9628</v>
      </c>
      <c r="Z474" s="13" t="s">
        <v>1363</v>
      </c>
      <c r="AB474" s="13" t="s">
        <v>447</v>
      </c>
      <c r="AC474" s="21">
        <v>42199.436423611114</v>
      </c>
      <c r="AD474" s="21">
        <v>42597.37054398148</v>
      </c>
      <c r="AE474" s="13" t="s">
        <v>9634</v>
      </c>
      <c r="AF474" s="13" t="s">
        <v>9860</v>
      </c>
    </row>
    <row r="475" spans="1:32">
      <c r="A475" s="13" t="s">
        <v>11109</v>
      </c>
      <c r="B475" s="13" t="s">
        <v>1438</v>
      </c>
      <c r="C475" s="13" t="s">
        <v>1363</v>
      </c>
      <c r="D475" s="13" t="s">
        <v>1150</v>
      </c>
      <c r="E475" s="13" t="s">
        <v>1363</v>
      </c>
      <c r="F475" s="13" t="s">
        <v>447</v>
      </c>
      <c r="G475" s="13" t="s">
        <v>1363</v>
      </c>
      <c r="H475" s="13" t="s">
        <v>1415</v>
      </c>
      <c r="I475" s="13" t="s">
        <v>11110</v>
      </c>
      <c r="J475" s="13" t="s">
        <v>1363</v>
      </c>
      <c r="K475" s="13" t="s">
        <v>1363</v>
      </c>
      <c r="L475" s="13" t="s">
        <v>1363</v>
      </c>
      <c r="M475" s="13" t="s">
        <v>447</v>
      </c>
      <c r="N475" s="13" t="s">
        <v>9626</v>
      </c>
      <c r="O475" s="13" t="s">
        <v>11111</v>
      </c>
      <c r="P475" s="15">
        <v>368</v>
      </c>
      <c r="R475" s="13" t="s">
        <v>11109</v>
      </c>
      <c r="S475" s="13" t="s">
        <v>1363</v>
      </c>
      <c r="X475" s="13" t="s">
        <v>9628</v>
      </c>
      <c r="Z475" s="13" t="s">
        <v>1363</v>
      </c>
      <c r="AB475" s="13" t="s">
        <v>447</v>
      </c>
      <c r="AC475" s="21">
        <v>42199.446689814817</v>
      </c>
      <c r="AD475" s="21">
        <v>42597.371331018519</v>
      </c>
      <c r="AE475" s="13" t="s">
        <v>9634</v>
      </c>
      <c r="AF475" s="13" t="s">
        <v>9860</v>
      </c>
    </row>
    <row r="476" spans="1:32">
      <c r="A476" s="13" t="s">
        <v>11112</v>
      </c>
      <c r="B476" s="13" t="s">
        <v>1150</v>
      </c>
      <c r="C476" s="13" t="s">
        <v>1363</v>
      </c>
      <c r="D476" s="13" t="s">
        <v>1150</v>
      </c>
      <c r="E476" s="13" t="s">
        <v>1363</v>
      </c>
      <c r="F476" s="13" t="s">
        <v>447</v>
      </c>
      <c r="G476" s="13" t="s">
        <v>1363</v>
      </c>
      <c r="H476" s="13" t="s">
        <v>1415</v>
      </c>
      <c r="I476" s="13" t="s">
        <v>11113</v>
      </c>
      <c r="J476" s="13" t="s">
        <v>447</v>
      </c>
      <c r="K476" s="13" t="s">
        <v>447</v>
      </c>
      <c r="L476" s="13" t="s">
        <v>447</v>
      </c>
      <c r="M476" s="13" t="s">
        <v>447</v>
      </c>
      <c r="N476" s="13" t="s">
        <v>9626</v>
      </c>
      <c r="O476" s="13" t="s">
        <v>11114</v>
      </c>
      <c r="P476" s="15">
        <v>732</v>
      </c>
      <c r="R476" s="13" t="s">
        <v>11113</v>
      </c>
      <c r="S476" s="13" t="s">
        <v>1363</v>
      </c>
      <c r="X476" s="13" t="s">
        <v>9628</v>
      </c>
      <c r="Z476" s="13" t="s">
        <v>1363</v>
      </c>
      <c r="AB476" s="13" t="s">
        <v>447</v>
      </c>
      <c r="AC476" s="21">
        <v>42276.532418981478</v>
      </c>
      <c r="AD476" s="21">
        <v>42276.532418981478</v>
      </c>
      <c r="AE476" s="13" t="s">
        <v>9860</v>
      </c>
      <c r="AF476" s="13" t="s">
        <v>9860</v>
      </c>
    </row>
    <row r="477" spans="1:32">
      <c r="A477" s="13" t="s">
        <v>11115</v>
      </c>
      <c r="B477" s="13" t="s">
        <v>1150</v>
      </c>
      <c r="C477" s="13" t="s">
        <v>1363</v>
      </c>
      <c r="D477" s="13" t="s">
        <v>1150</v>
      </c>
      <c r="E477" s="13" t="s">
        <v>1363</v>
      </c>
      <c r="F477" s="13" t="s">
        <v>447</v>
      </c>
      <c r="G477" s="13" t="s">
        <v>1363</v>
      </c>
      <c r="H477" s="13" t="s">
        <v>1415</v>
      </c>
      <c r="I477" s="13" t="s">
        <v>11116</v>
      </c>
      <c r="J477" s="13" t="s">
        <v>447</v>
      </c>
      <c r="K477" s="13" t="s">
        <v>447</v>
      </c>
      <c r="L477" s="13" t="s">
        <v>447</v>
      </c>
      <c r="M477" s="13" t="s">
        <v>447</v>
      </c>
      <c r="N477" s="13" t="s">
        <v>9626</v>
      </c>
      <c r="O477" s="13" t="s">
        <v>11117</v>
      </c>
      <c r="P477" s="15">
        <v>732</v>
      </c>
      <c r="R477" s="13" t="s">
        <v>11116</v>
      </c>
      <c r="S477" s="13" t="s">
        <v>1363</v>
      </c>
      <c r="X477" s="13" t="s">
        <v>9628</v>
      </c>
      <c r="Z477" s="13" t="s">
        <v>1363</v>
      </c>
      <c r="AB477" s="13" t="s">
        <v>447</v>
      </c>
      <c r="AC477" s="21">
        <v>42276.594409722224</v>
      </c>
      <c r="AD477" s="21">
        <v>42276.594409722224</v>
      </c>
      <c r="AE477" s="13" t="s">
        <v>9860</v>
      </c>
      <c r="AF477" s="13" t="s">
        <v>9860</v>
      </c>
    </row>
    <row r="478" spans="1:32">
      <c r="A478" s="13" t="s">
        <v>11118</v>
      </c>
      <c r="B478" s="13" t="s">
        <v>1150</v>
      </c>
      <c r="C478" s="13" t="s">
        <v>447</v>
      </c>
      <c r="D478" s="13" t="s">
        <v>1150</v>
      </c>
      <c r="E478" s="13" t="s">
        <v>1363</v>
      </c>
      <c r="F478" s="13" t="s">
        <v>447</v>
      </c>
      <c r="G478" s="13" t="s">
        <v>1363</v>
      </c>
      <c r="H478" s="13" t="s">
        <v>1150</v>
      </c>
      <c r="I478" s="13" t="s">
        <v>11119</v>
      </c>
      <c r="J478" s="13" t="s">
        <v>447</v>
      </c>
      <c r="K478" s="13" t="s">
        <v>1363</v>
      </c>
      <c r="L478" s="13" t="s">
        <v>1363</v>
      </c>
      <c r="M478" s="13" t="s">
        <v>1363</v>
      </c>
      <c r="N478" s="13" t="s">
        <v>9626</v>
      </c>
      <c r="O478" s="13" t="s">
        <v>11120</v>
      </c>
      <c r="P478" s="15">
        <v>39814</v>
      </c>
      <c r="R478" s="13" t="s">
        <v>11119</v>
      </c>
      <c r="S478" s="13" t="s">
        <v>1363</v>
      </c>
      <c r="X478" s="13" t="s">
        <v>9658</v>
      </c>
      <c r="Z478" s="13" t="s">
        <v>1363</v>
      </c>
      <c r="AB478" s="13" t="s">
        <v>447</v>
      </c>
      <c r="AC478" s="21">
        <v>42314.53769675926</v>
      </c>
      <c r="AD478" s="21">
        <v>42808.600740740738</v>
      </c>
      <c r="AE478" s="13" t="s">
        <v>11121</v>
      </c>
      <c r="AF478" s="13" t="s">
        <v>9634</v>
      </c>
    </row>
    <row r="479" spans="1:32">
      <c r="A479" s="13" t="s">
        <v>11122</v>
      </c>
      <c r="B479" s="13" t="s">
        <v>1438</v>
      </c>
      <c r="C479" s="13" t="s">
        <v>1363</v>
      </c>
      <c r="D479" s="13" t="s">
        <v>1150</v>
      </c>
      <c r="E479" s="13" t="s">
        <v>1363</v>
      </c>
      <c r="F479" s="13" t="s">
        <v>447</v>
      </c>
      <c r="G479" s="13" t="s">
        <v>1363</v>
      </c>
      <c r="H479" s="13" t="s">
        <v>1415</v>
      </c>
      <c r="I479" s="13" t="s">
        <v>11123</v>
      </c>
      <c r="J479" s="13" t="s">
        <v>1363</v>
      </c>
      <c r="K479" s="13" t="s">
        <v>1363</v>
      </c>
      <c r="L479" s="13" t="s">
        <v>447</v>
      </c>
      <c r="M479" s="13" t="s">
        <v>1363</v>
      </c>
      <c r="N479" s="13" t="s">
        <v>9626</v>
      </c>
      <c r="O479" s="13" t="s">
        <v>11124</v>
      </c>
      <c r="P479" s="15">
        <v>368</v>
      </c>
      <c r="R479" s="13" t="s">
        <v>11123</v>
      </c>
      <c r="S479" s="13" t="s">
        <v>1363</v>
      </c>
      <c r="X479" s="13" t="s">
        <v>9628</v>
      </c>
      <c r="Z479" s="13" t="s">
        <v>1363</v>
      </c>
      <c r="AB479" s="13" t="s">
        <v>447</v>
      </c>
      <c r="AC479" s="21">
        <v>42317.436550925922</v>
      </c>
      <c r="AD479" s="21">
        <v>42317.436550925922</v>
      </c>
      <c r="AE479" s="13" t="s">
        <v>9634</v>
      </c>
      <c r="AF479" s="13" t="s">
        <v>9634</v>
      </c>
    </row>
    <row r="480" spans="1:32">
      <c r="A480" s="13" t="s">
        <v>11125</v>
      </c>
      <c r="B480" s="13" t="s">
        <v>1150</v>
      </c>
      <c r="C480" s="13" t="s">
        <v>447</v>
      </c>
      <c r="D480" s="13" t="s">
        <v>1150</v>
      </c>
      <c r="E480" s="13" t="s">
        <v>447</v>
      </c>
      <c r="F480" s="13" t="s">
        <v>447</v>
      </c>
      <c r="G480" s="13" t="s">
        <v>1363</v>
      </c>
      <c r="H480" s="13" t="s">
        <v>1415</v>
      </c>
      <c r="I480" s="13" t="s">
        <v>11126</v>
      </c>
      <c r="J480" s="13" t="s">
        <v>447</v>
      </c>
      <c r="K480" s="13" t="s">
        <v>1363</v>
      </c>
      <c r="L480" s="13" t="s">
        <v>1363</v>
      </c>
      <c r="M480" s="13" t="s">
        <v>1363</v>
      </c>
      <c r="N480" s="13" t="s">
        <v>9626</v>
      </c>
      <c r="O480" s="13" t="s">
        <v>11127</v>
      </c>
      <c r="P480" s="15">
        <v>41640</v>
      </c>
      <c r="R480" s="13" t="s">
        <v>11128</v>
      </c>
      <c r="S480" s="13" t="s">
        <v>1363</v>
      </c>
      <c r="X480" s="13" t="s">
        <v>9628</v>
      </c>
      <c r="Z480" s="13" t="s">
        <v>1363</v>
      </c>
      <c r="AB480" s="13" t="s">
        <v>447</v>
      </c>
      <c r="AC480" s="21">
        <v>42328.657685185186</v>
      </c>
      <c r="AD480" s="21">
        <v>42328.657685185186</v>
      </c>
      <c r="AE480" s="13" t="s">
        <v>9634</v>
      </c>
      <c r="AF480" s="13" t="s">
        <v>9634</v>
      </c>
    </row>
    <row r="481" spans="1:32">
      <c r="A481" s="13" t="s">
        <v>11129</v>
      </c>
      <c r="B481" s="13" t="s">
        <v>1438</v>
      </c>
      <c r="C481" s="13" t="s">
        <v>1363</v>
      </c>
      <c r="D481" s="13" t="s">
        <v>1150</v>
      </c>
      <c r="E481" s="13" t="s">
        <v>1363</v>
      </c>
      <c r="F481" s="13" t="s">
        <v>447</v>
      </c>
      <c r="G481" s="13" t="s">
        <v>1363</v>
      </c>
      <c r="H481" s="13" t="s">
        <v>1415</v>
      </c>
      <c r="I481" s="13" t="s">
        <v>11130</v>
      </c>
      <c r="J481" s="13" t="s">
        <v>447</v>
      </c>
      <c r="K481" s="13" t="s">
        <v>1363</v>
      </c>
      <c r="L481" s="13" t="s">
        <v>1363</v>
      </c>
      <c r="M481" s="13" t="s">
        <v>447</v>
      </c>
      <c r="N481" s="13" t="s">
        <v>9626</v>
      </c>
      <c r="O481" s="13" t="s">
        <v>11131</v>
      </c>
      <c r="P481" s="15">
        <v>368</v>
      </c>
      <c r="R481" s="13" t="s">
        <v>11132</v>
      </c>
      <c r="S481" s="13" t="s">
        <v>1363</v>
      </c>
      <c r="X481" s="13" t="s">
        <v>11016</v>
      </c>
      <c r="Z481" s="13" t="s">
        <v>447</v>
      </c>
      <c r="AB481" s="13" t="s">
        <v>447</v>
      </c>
      <c r="AC481" s="21">
        <v>42551.574479166666</v>
      </c>
      <c r="AD481" s="21">
        <v>44470.541701388887</v>
      </c>
      <c r="AE481" s="13" t="s">
        <v>9795</v>
      </c>
      <c r="AF481" s="13" t="s">
        <v>9860</v>
      </c>
    </row>
    <row r="482" spans="1:32">
      <c r="A482" s="13" t="s">
        <v>11133</v>
      </c>
      <c r="B482" s="13" t="s">
        <v>1438</v>
      </c>
      <c r="C482" s="13" t="s">
        <v>1363</v>
      </c>
      <c r="D482" s="13" t="s">
        <v>1150</v>
      </c>
      <c r="E482" s="13" t="s">
        <v>1363</v>
      </c>
      <c r="F482" s="13" t="s">
        <v>447</v>
      </c>
      <c r="G482" s="13" t="s">
        <v>1363</v>
      </c>
      <c r="H482" s="13" t="s">
        <v>1415</v>
      </c>
      <c r="I482" s="13" t="s">
        <v>11134</v>
      </c>
      <c r="J482" s="13" t="s">
        <v>1363</v>
      </c>
      <c r="K482" s="13" t="s">
        <v>1363</v>
      </c>
      <c r="L482" s="13" t="s">
        <v>447</v>
      </c>
      <c r="M482" s="13" t="s">
        <v>447</v>
      </c>
      <c r="N482" s="13" t="s">
        <v>9626</v>
      </c>
      <c r="O482" s="13" t="s">
        <v>11135</v>
      </c>
      <c r="P482" s="15">
        <v>368</v>
      </c>
      <c r="R482" s="13" t="s">
        <v>11136</v>
      </c>
      <c r="S482" s="13" t="s">
        <v>1363</v>
      </c>
      <c r="X482" s="13" t="s">
        <v>11016</v>
      </c>
      <c r="Z482" s="13" t="s">
        <v>1363</v>
      </c>
      <c r="AB482" s="13" t="s">
        <v>447</v>
      </c>
      <c r="AC482" s="21">
        <v>42552.343229166669</v>
      </c>
      <c r="AD482" s="21">
        <v>42552.343229166669</v>
      </c>
      <c r="AE482" s="13" t="s">
        <v>9860</v>
      </c>
      <c r="AF482" s="13" t="s">
        <v>9860</v>
      </c>
    </row>
    <row r="483" spans="1:32">
      <c r="A483" s="13" t="s">
        <v>11137</v>
      </c>
      <c r="B483" s="13" t="s">
        <v>1438</v>
      </c>
      <c r="C483" s="13" t="s">
        <v>1363</v>
      </c>
      <c r="D483" s="13" t="s">
        <v>1150</v>
      </c>
      <c r="E483" s="13" t="s">
        <v>1363</v>
      </c>
      <c r="F483" s="13" t="s">
        <v>447</v>
      </c>
      <c r="G483" s="13" t="s">
        <v>1363</v>
      </c>
      <c r="H483" s="13" t="s">
        <v>1415</v>
      </c>
      <c r="I483" s="13" t="s">
        <v>11138</v>
      </c>
      <c r="J483" s="13" t="s">
        <v>1363</v>
      </c>
      <c r="K483" s="13" t="s">
        <v>1363</v>
      </c>
      <c r="L483" s="13" t="s">
        <v>1363</v>
      </c>
      <c r="M483" s="13" t="s">
        <v>1363</v>
      </c>
      <c r="N483" s="13" t="s">
        <v>9626</v>
      </c>
      <c r="O483" s="13" t="s">
        <v>11139</v>
      </c>
      <c r="P483" s="15">
        <v>732</v>
      </c>
      <c r="S483" s="13" t="s">
        <v>1363</v>
      </c>
      <c r="X483" s="13" t="s">
        <v>9628</v>
      </c>
      <c r="Z483" s="13" t="s">
        <v>1363</v>
      </c>
      <c r="AB483" s="13" t="s">
        <v>447</v>
      </c>
      <c r="AC483" s="21">
        <v>42594.945902777778</v>
      </c>
      <c r="AD483" s="21">
        <v>42594.945902777778</v>
      </c>
      <c r="AE483" s="13" t="s">
        <v>9629</v>
      </c>
      <c r="AF483" s="13" t="s">
        <v>9629</v>
      </c>
    </row>
    <row r="484" spans="1:32">
      <c r="A484" s="13" t="s">
        <v>11140</v>
      </c>
      <c r="B484" s="13" t="s">
        <v>1438</v>
      </c>
      <c r="C484" s="13" t="s">
        <v>1363</v>
      </c>
      <c r="D484" s="13" t="s">
        <v>1150</v>
      </c>
      <c r="E484" s="13" t="s">
        <v>1363</v>
      </c>
      <c r="F484" s="13" t="s">
        <v>447</v>
      </c>
      <c r="G484" s="13" t="s">
        <v>1363</v>
      </c>
      <c r="H484" s="13" t="s">
        <v>1415</v>
      </c>
      <c r="I484" s="13" t="s">
        <v>11141</v>
      </c>
      <c r="J484" s="13" t="s">
        <v>1363</v>
      </c>
      <c r="K484" s="13" t="s">
        <v>1363</v>
      </c>
      <c r="L484" s="13" t="s">
        <v>1363</v>
      </c>
      <c r="M484" s="13" t="s">
        <v>1363</v>
      </c>
      <c r="N484" s="13" t="s">
        <v>9626</v>
      </c>
      <c r="O484" s="13" t="s">
        <v>11142</v>
      </c>
      <c r="P484" s="15">
        <v>732</v>
      </c>
      <c r="S484" s="13" t="s">
        <v>1363</v>
      </c>
      <c r="X484" s="13" t="s">
        <v>9628</v>
      </c>
      <c r="Z484" s="13" t="s">
        <v>1363</v>
      </c>
      <c r="AB484" s="13" t="s">
        <v>447</v>
      </c>
      <c r="AC484" s="21">
        <v>42594.945902777778</v>
      </c>
      <c r="AD484" s="21">
        <v>43376.358888888892</v>
      </c>
      <c r="AE484" s="13" t="s">
        <v>9860</v>
      </c>
      <c r="AF484" s="13" t="s">
        <v>9629</v>
      </c>
    </row>
    <row r="485" spans="1:32">
      <c r="A485" s="13" t="s">
        <v>11143</v>
      </c>
      <c r="B485" s="13" t="s">
        <v>1150</v>
      </c>
      <c r="C485" s="13" t="s">
        <v>1363</v>
      </c>
      <c r="D485" s="13" t="s">
        <v>1150</v>
      </c>
      <c r="E485" s="13" t="s">
        <v>1363</v>
      </c>
      <c r="F485" s="13" t="s">
        <v>447</v>
      </c>
      <c r="G485" s="13" t="s">
        <v>1363</v>
      </c>
      <c r="H485" s="13" t="s">
        <v>1415</v>
      </c>
      <c r="I485" s="13" t="s">
        <v>11144</v>
      </c>
      <c r="J485" s="13" t="s">
        <v>447</v>
      </c>
      <c r="K485" s="13" t="s">
        <v>1363</v>
      </c>
      <c r="L485" s="13" t="s">
        <v>447</v>
      </c>
      <c r="M485" s="13" t="s">
        <v>447</v>
      </c>
      <c r="N485" s="13" t="s">
        <v>9626</v>
      </c>
      <c r="O485" s="13" t="s">
        <v>11145</v>
      </c>
      <c r="P485" s="15">
        <v>732</v>
      </c>
      <c r="S485" s="13" t="s">
        <v>1363</v>
      </c>
      <c r="X485" s="13" t="s">
        <v>9628</v>
      </c>
      <c r="Z485" s="13" t="s">
        <v>1363</v>
      </c>
      <c r="AB485" s="13" t="s">
        <v>447</v>
      </c>
      <c r="AC485" s="21">
        <v>42594.94804398148</v>
      </c>
      <c r="AD485" s="21">
        <v>44476.332118055558</v>
      </c>
      <c r="AE485" s="13" t="s">
        <v>9795</v>
      </c>
      <c r="AF485" s="13" t="s">
        <v>9629</v>
      </c>
    </row>
    <row r="486" spans="1:32">
      <c r="A486" s="13" t="s">
        <v>11146</v>
      </c>
      <c r="B486" s="13" t="s">
        <v>1150</v>
      </c>
      <c r="C486" s="13" t="s">
        <v>1363</v>
      </c>
      <c r="D486" s="13" t="s">
        <v>1150</v>
      </c>
      <c r="E486" s="13" t="s">
        <v>1363</v>
      </c>
      <c r="F486" s="13" t="s">
        <v>447</v>
      </c>
      <c r="G486" s="13" t="s">
        <v>1363</v>
      </c>
      <c r="H486" s="13" t="s">
        <v>1415</v>
      </c>
      <c r="I486" s="13" t="s">
        <v>11147</v>
      </c>
      <c r="J486" s="13" t="s">
        <v>447</v>
      </c>
      <c r="K486" s="13" t="s">
        <v>1363</v>
      </c>
      <c r="L486" s="13" t="s">
        <v>447</v>
      </c>
      <c r="M486" s="13" t="s">
        <v>1363</v>
      </c>
      <c r="N486" s="13" t="s">
        <v>9626</v>
      </c>
      <c r="O486" s="13" t="s">
        <v>11148</v>
      </c>
      <c r="P486" s="15">
        <v>732</v>
      </c>
      <c r="S486" s="13" t="s">
        <v>1363</v>
      </c>
      <c r="X486" s="13" t="s">
        <v>9628</v>
      </c>
      <c r="Z486" s="13" t="s">
        <v>1363</v>
      </c>
      <c r="AB486" s="13" t="s">
        <v>447</v>
      </c>
      <c r="AC486" s="21">
        <v>42594.948113425926</v>
      </c>
      <c r="AD486" s="21">
        <v>42594.948113425926</v>
      </c>
      <c r="AE486" s="13" t="s">
        <v>9629</v>
      </c>
      <c r="AF486" s="13" t="s">
        <v>9629</v>
      </c>
    </row>
    <row r="487" spans="1:32">
      <c r="A487" s="13" t="s">
        <v>11149</v>
      </c>
      <c r="B487" s="13" t="s">
        <v>1438</v>
      </c>
      <c r="C487" s="13" t="s">
        <v>1363</v>
      </c>
      <c r="D487" s="13" t="s">
        <v>1150</v>
      </c>
      <c r="E487" s="13" t="s">
        <v>1363</v>
      </c>
      <c r="F487" s="13" t="s">
        <v>447</v>
      </c>
      <c r="G487" s="13" t="s">
        <v>1363</v>
      </c>
      <c r="H487" s="13" t="s">
        <v>1415</v>
      </c>
      <c r="I487" s="13" t="s">
        <v>11150</v>
      </c>
      <c r="J487" s="13" t="s">
        <v>1363</v>
      </c>
      <c r="K487" s="13" t="s">
        <v>447</v>
      </c>
      <c r="L487" s="13" t="s">
        <v>1363</v>
      </c>
      <c r="M487" s="13" t="s">
        <v>447</v>
      </c>
      <c r="N487" s="13" t="s">
        <v>9626</v>
      </c>
      <c r="O487" s="13" t="s">
        <v>11151</v>
      </c>
      <c r="P487" s="15">
        <v>732</v>
      </c>
      <c r="S487" s="13" t="s">
        <v>1363</v>
      </c>
      <c r="X487" s="13" t="s">
        <v>10296</v>
      </c>
      <c r="Z487" s="13" t="s">
        <v>1363</v>
      </c>
      <c r="AB487" s="13" t="s">
        <v>447</v>
      </c>
      <c r="AC487" s="21">
        <v>42594.953506944446</v>
      </c>
      <c r="AD487" s="21">
        <v>44396.352152777778</v>
      </c>
      <c r="AE487" s="13" t="s">
        <v>9629</v>
      </c>
      <c r="AF487" s="13" t="s">
        <v>9629</v>
      </c>
    </row>
    <row r="488" spans="1:32">
      <c r="A488" s="13" t="s">
        <v>11152</v>
      </c>
      <c r="B488" s="13" t="s">
        <v>1438</v>
      </c>
      <c r="C488" s="13" t="s">
        <v>1363</v>
      </c>
      <c r="D488" s="13" t="s">
        <v>1150</v>
      </c>
      <c r="E488" s="13" t="s">
        <v>1363</v>
      </c>
      <c r="F488" s="13" t="s">
        <v>447</v>
      </c>
      <c r="G488" s="13" t="s">
        <v>1363</v>
      </c>
      <c r="H488" s="13" t="s">
        <v>1415</v>
      </c>
      <c r="I488" s="13" t="s">
        <v>11153</v>
      </c>
      <c r="J488" s="13" t="s">
        <v>1363</v>
      </c>
      <c r="K488" s="13" t="s">
        <v>1363</v>
      </c>
      <c r="L488" s="13" t="s">
        <v>1363</v>
      </c>
      <c r="M488" s="13" t="s">
        <v>1363</v>
      </c>
      <c r="N488" s="13" t="s">
        <v>9626</v>
      </c>
      <c r="O488" s="13" t="s">
        <v>11154</v>
      </c>
      <c r="P488" s="15">
        <v>732</v>
      </c>
      <c r="S488" s="13" t="s">
        <v>1363</v>
      </c>
      <c r="X488" s="13" t="s">
        <v>11016</v>
      </c>
      <c r="Z488" s="13" t="s">
        <v>447</v>
      </c>
      <c r="AB488" s="13" t="s">
        <v>447</v>
      </c>
      <c r="AC488" s="21">
        <v>42629.640555555554</v>
      </c>
      <c r="AD488" s="21">
        <v>42629.640555555554</v>
      </c>
      <c r="AE488" s="13" t="s">
        <v>9629</v>
      </c>
      <c r="AF488" s="13" t="s">
        <v>9629</v>
      </c>
    </row>
    <row r="489" spans="1:32">
      <c r="A489" s="13" t="s">
        <v>11155</v>
      </c>
      <c r="B489" s="13" t="s">
        <v>1438</v>
      </c>
      <c r="C489" s="13" t="s">
        <v>1363</v>
      </c>
      <c r="D489" s="13" t="s">
        <v>1150</v>
      </c>
      <c r="E489" s="13" t="s">
        <v>1363</v>
      </c>
      <c r="F489" s="13" t="s">
        <v>1363</v>
      </c>
      <c r="G489" s="13" t="s">
        <v>1363</v>
      </c>
      <c r="H489" s="13" t="s">
        <v>1415</v>
      </c>
      <c r="I489" s="13" t="s">
        <v>11156</v>
      </c>
      <c r="J489" s="13" t="s">
        <v>1363</v>
      </c>
      <c r="K489" s="13" t="s">
        <v>1363</v>
      </c>
      <c r="L489" s="13" t="s">
        <v>1363</v>
      </c>
      <c r="M489" s="13" t="s">
        <v>1363</v>
      </c>
      <c r="N489" s="13" t="s">
        <v>9626</v>
      </c>
      <c r="O489" s="13" t="s">
        <v>11157</v>
      </c>
      <c r="P489" s="15">
        <v>732</v>
      </c>
      <c r="R489" s="13" t="s">
        <v>11158</v>
      </c>
      <c r="S489" s="13" t="s">
        <v>1363</v>
      </c>
      <c r="X489" s="13" t="s">
        <v>11016</v>
      </c>
      <c r="Z489" s="13" t="s">
        <v>447</v>
      </c>
      <c r="AB489" s="13" t="s">
        <v>447</v>
      </c>
      <c r="AC489" s="21">
        <v>42643.656238425923</v>
      </c>
      <c r="AD489" s="21">
        <v>42710.472766203704</v>
      </c>
      <c r="AE489" s="13" t="s">
        <v>9634</v>
      </c>
      <c r="AF489" s="13" t="s">
        <v>9629</v>
      </c>
    </row>
    <row r="490" spans="1:32">
      <c r="A490" s="13" t="s">
        <v>11159</v>
      </c>
      <c r="B490" s="13" t="s">
        <v>1438</v>
      </c>
      <c r="C490" s="13" t="s">
        <v>1363</v>
      </c>
      <c r="D490" s="13" t="s">
        <v>1150</v>
      </c>
      <c r="E490" s="13" t="s">
        <v>1363</v>
      </c>
      <c r="F490" s="13" t="s">
        <v>1363</v>
      </c>
      <c r="G490" s="13" t="s">
        <v>1363</v>
      </c>
      <c r="H490" s="13" t="s">
        <v>1415</v>
      </c>
      <c r="I490" s="13" t="s">
        <v>11160</v>
      </c>
      <c r="J490" s="13" t="s">
        <v>1363</v>
      </c>
      <c r="K490" s="13" t="s">
        <v>1363</v>
      </c>
      <c r="L490" s="13" t="s">
        <v>1363</v>
      </c>
      <c r="M490" s="13" t="s">
        <v>1363</v>
      </c>
      <c r="N490" s="13" t="s">
        <v>9626</v>
      </c>
      <c r="O490" s="13" t="s">
        <v>11161</v>
      </c>
      <c r="P490" s="15">
        <v>732</v>
      </c>
      <c r="R490" s="13" t="s">
        <v>11160</v>
      </c>
      <c r="S490" s="13" t="s">
        <v>1363</v>
      </c>
      <c r="X490" s="13" t="s">
        <v>11016</v>
      </c>
      <c r="Z490" s="13" t="s">
        <v>1363</v>
      </c>
      <c r="AB490" s="13" t="s">
        <v>447</v>
      </c>
      <c r="AC490" s="21">
        <v>42643.656238425923</v>
      </c>
      <c r="AD490" s="21">
        <v>42643.656238425923</v>
      </c>
      <c r="AE490" s="13" t="s">
        <v>9629</v>
      </c>
      <c r="AF490" s="13" t="s">
        <v>9629</v>
      </c>
    </row>
    <row r="491" spans="1:32">
      <c r="A491" s="13" t="s">
        <v>11162</v>
      </c>
      <c r="B491" s="13" t="s">
        <v>1438</v>
      </c>
      <c r="C491" s="13" t="s">
        <v>1363</v>
      </c>
      <c r="D491" s="13" t="s">
        <v>1150</v>
      </c>
      <c r="E491" s="13" t="s">
        <v>1363</v>
      </c>
      <c r="F491" s="13" t="s">
        <v>1363</v>
      </c>
      <c r="G491" s="13" t="s">
        <v>1363</v>
      </c>
      <c r="H491" s="13" t="s">
        <v>1415</v>
      </c>
      <c r="I491" s="13" t="s">
        <v>11163</v>
      </c>
      <c r="J491" s="13" t="s">
        <v>1363</v>
      </c>
      <c r="K491" s="13" t="s">
        <v>1363</v>
      </c>
      <c r="L491" s="13" t="s">
        <v>1363</v>
      </c>
      <c r="M491" s="13" t="s">
        <v>1363</v>
      </c>
      <c r="N491" s="13" t="s">
        <v>9626</v>
      </c>
      <c r="O491" s="13" t="s">
        <v>11164</v>
      </c>
      <c r="P491" s="15">
        <v>732</v>
      </c>
      <c r="R491" s="13" t="s">
        <v>11165</v>
      </c>
      <c r="S491" s="13" t="s">
        <v>1363</v>
      </c>
      <c r="X491" s="13" t="s">
        <v>11016</v>
      </c>
      <c r="Z491" s="13" t="s">
        <v>1363</v>
      </c>
      <c r="AB491" s="13" t="s">
        <v>447</v>
      </c>
      <c r="AC491" s="21">
        <v>42643.656238425923</v>
      </c>
      <c r="AD491" s="21">
        <v>42643.656238425923</v>
      </c>
      <c r="AE491" s="13" t="s">
        <v>9629</v>
      </c>
      <c r="AF491" s="13" t="s">
        <v>9629</v>
      </c>
    </row>
    <row r="492" spans="1:32">
      <c r="A492" s="13" t="s">
        <v>11166</v>
      </c>
      <c r="B492" s="13" t="s">
        <v>1438</v>
      </c>
      <c r="C492" s="13" t="s">
        <v>1363</v>
      </c>
      <c r="D492" s="13" t="s">
        <v>1150</v>
      </c>
      <c r="E492" s="13" t="s">
        <v>1363</v>
      </c>
      <c r="F492" s="13" t="s">
        <v>447</v>
      </c>
      <c r="G492" s="13" t="s">
        <v>1363</v>
      </c>
      <c r="H492" s="13" t="s">
        <v>1415</v>
      </c>
      <c r="I492" s="13" t="s">
        <v>11167</v>
      </c>
      <c r="J492" s="13" t="s">
        <v>1363</v>
      </c>
      <c r="K492" s="13" t="s">
        <v>1363</v>
      </c>
      <c r="L492" s="13" t="s">
        <v>1363</v>
      </c>
      <c r="M492" s="13" t="s">
        <v>1363</v>
      </c>
      <c r="N492" s="13" t="s">
        <v>9626</v>
      </c>
      <c r="O492" s="13" t="s">
        <v>11168</v>
      </c>
      <c r="P492" s="15">
        <v>732</v>
      </c>
      <c r="R492" s="13" t="s">
        <v>11167</v>
      </c>
      <c r="S492" s="13" t="s">
        <v>1363</v>
      </c>
      <c r="X492" s="13" t="s">
        <v>11016</v>
      </c>
      <c r="Z492" s="13" t="s">
        <v>1363</v>
      </c>
      <c r="AB492" s="13" t="s">
        <v>447</v>
      </c>
      <c r="AC492" s="21">
        <v>42643.656238425923</v>
      </c>
      <c r="AD492" s="21">
        <v>42643.656238425923</v>
      </c>
      <c r="AE492" s="13" t="s">
        <v>9629</v>
      </c>
      <c r="AF492" s="13" t="s">
        <v>9629</v>
      </c>
    </row>
    <row r="493" spans="1:32">
      <c r="A493" s="13" t="s">
        <v>11169</v>
      </c>
      <c r="B493" s="13" t="s">
        <v>1438</v>
      </c>
      <c r="C493" s="13" t="s">
        <v>1363</v>
      </c>
      <c r="D493" s="13" t="s">
        <v>1150</v>
      </c>
      <c r="E493" s="13" t="s">
        <v>1363</v>
      </c>
      <c r="F493" s="13" t="s">
        <v>447</v>
      </c>
      <c r="G493" s="13" t="s">
        <v>1363</v>
      </c>
      <c r="H493" s="13" t="s">
        <v>1415</v>
      </c>
      <c r="I493" s="13" t="s">
        <v>11170</v>
      </c>
      <c r="J493" s="13" t="s">
        <v>1363</v>
      </c>
      <c r="K493" s="13" t="s">
        <v>1363</v>
      </c>
      <c r="L493" s="13" t="s">
        <v>1363</v>
      </c>
      <c r="M493" s="13" t="s">
        <v>447</v>
      </c>
      <c r="N493" s="13" t="s">
        <v>9626</v>
      </c>
      <c r="O493" s="13" t="s">
        <v>11171</v>
      </c>
      <c r="P493" s="15">
        <v>732</v>
      </c>
      <c r="R493" s="13" t="s">
        <v>11170</v>
      </c>
      <c r="S493" s="13" t="s">
        <v>1363</v>
      </c>
      <c r="X493" s="13" t="s">
        <v>11016</v>
      </c>
      <c r="Z493" s="13" t="s">
        <v>1363</v>
      </c>
      <c r="AB493" s="13" t="s">
        <v>447</v>
      </c>
      <c r="AC493" s="21">
        <v>42643.656238425923</v>
      </c>
      <c r="AD493" s="21">
        <v>43314.47861111111</v>
      </c>
      <c r="AE493" s="13" t="s">
        <v>9795</v>
      </c>
      <c r="AF493" s="13" t="s">
        <v>9629</v>
      </c>
    </row>
    <row r="494" spans="1:32">
      <c r="A494" s="13" t="s">
        <v>11172</v>
      </c>
      <c r="B494" s="13" t="s">
        <v>1438</v>
      </c>
      <c r="C494" s="13" t="s">
        <v>1363</v>
      </c>
      <c r="D494" s="13" t="s">
        <v>1150</v>
      </c>
      <c r="E494" s="13" t="s">
        <v>1363</v>
      </c>
      <c r="F494" s="13" t="s">
        <v>447</v>
      </c>
      <c r="G494" s="13" t="s">
        <v>1363</v>
      </c>
      <c r="H494" s="13" t="s">
        <v>1415</v>
      </c>
      <c r="I494" s="13" t="s">
        <v>11173</v>
      </c>
      <c r="J494" s="13" t="s">
        <v>1363</v>
      </c>
      <c r="K494" s="13" t="s">
        <v>1363</v>
      </c>
      <c r="L494" s="13" t="s">
        <v>447</v>
      </c>
      <c r="M494" s="13" t="s">
        <v>447</v>
      </c>
      <c r="N494" s="13" t="s">
        <v>9626</v>
      </c>
      <c r="O494" s="13" t="s">
        <v>11174</v>
      </c>
      <c r="P494" s="15">
        <v>732</v>
      </c>
      <c r="R494" s="13" t="s">
        <v>11173</v>
      </c>
      <c r="S494" s="13" t="s">
        <v>1363</v>
      </c>
      <c r="X494" s="13" t="s">
        <v>11016</v>
      </c>
      <c r="Z494" s="13" t="s">
        <v>447</v>
      </c>
      <c r="AB494" s="13" t="s">
        <v>447</v>
      </c>
      <c r="AC494" s="21">
        <v>42643.656238425923</v>
      </c>
      <c r="AD494" s="21">
        <v>43314.475428240738</v>
      </c>
      <c r="AE494" s="13" t="s">
        <v>9795</v>
      </c>
      <c r="AF494" s="13" t="s">
        <v>9629</v>
      </c>
    </row>
    <row r="495" spans="1:32">
      <c r="A495" s="13" t="s">
        <v>11175</v>
      </c>
      <c r="B495" s="13" t="s">
        <v>1438</v>
      </c>
      <c r="C495" s="13" t="s">
        <v>1363</v>
      </c>
      <c r="D495" s="13" t="s">
        <v>1150</v>
      </c>
      <c r="E495" s="13" t="s">
        <v>1363</v>
      </c>
      <c r="F495" s="13" t="s">
        <v>447</v>
      </c>
      <c r="G495" s="13" t="s">
        <v>1363</v>
      </c>
      <c r="H495" s="13" t="s">
        <v>1415</v>
      </c>
      <c r="I495" s="13" t="s">
        <v>11176</v>
      </c>
      <c r="J495" s="13" t="s">
        <v>1363</v>
      </c>
      <c r="K495" s="13" t="s">
        <v>1363</v>
      </c>
      <c r="L495" s="13" t="s">
        <v>1363</v>
      </c>
      <c r="M495" s="13" t="s">
        <v>1363</v>
      </c>
      <c r="N495" s="13" t="s">
        <v>9626</v>
      </c>
      <c r="O495" s="13" t="s">
        <v>11177</v>
      </c>
      <c r="P495" s="15">
        <v>732</v>
      </c>
      <c r="R495" s="13" t="s">
        <v>11178</v>
      </c>
      <c r="S495" s="13" t="s">
        <v>1363</v>
      </c>
      <c r="X495" s="13" t="s">
        <v>11016</v>
      </c>
      <c r="Z495" s="13" t="s">
        <v>1363</v>
      </c>
      <c r="AB495" s="13" t="s">
        <v>447</v>
      </c>
      <c r="AC495" s="21">
        <v>42643.656238425923</v>
      </c>
      <c r="AD495" s="21">
        <v>42711.489791666667</v>
      </c>
      <c r="AE495" s="13" t="s">
        <v>9634</v>
      </c>
      <c r="AF495" s="13" t="s">
        <v>9629</v>
      </c>
    </row>
    <row r="496" spans="1:32">
      <c r="A496" s="13" t="s">
        <v>11179</v>
      </c>
      <c r="B496" s="13" t="s">
        <v>1438</v>
      </c>
      <c r="C496" s="13" t="s">
        <v>1363</v>
      </c>
      <c r="D496" s="13" t="s">
        <v>1150</v>
      </c>
      <c r="E496" s="13" t="s">
        <v>1363</v>
      </c>
      <c r="F496" s="13" t="s">
        <v>447</v>
      </c>
      <c r="G496" s="13" t="s">
        <v>1363</v>
      </c>
      <c r="H496" s="13" t="s">
        <v>1415</v>
      </c>
      <c r="I496" s="13" t="s">
        <v>11180</v>
      </c>
      <c r="J496" s="13" t="s">
        <v>1363</v>
      </c>
      <c r="K496" s="13" t="s">
        <v>1363</v>
      </c>
      <c r="L496" s="13" t="s">
        <v>1363</v>
      </c>
      <c r="M496" s="13" t="s">
        <v>1363</v>
      </c>
      <c r="N496" s="13" t="s">
        <v>9626</v>
      </c>
      <c r="O496" s="13" t="s">
        <v>11181</v>
      </c>
      <c r="P496" s="15">
        <v>732</v>
      </c>
      <c r="R496" s="13" t="s">
        <v>11180</v>
      </c>
      <c r="S496" s="13" t="s">
        <v>1363</v>
      </c>
      <c r="X496" s="13" t="s">
        <v>11016</v>
      </c>
      <c r="Z496" s="13" t="s">
        <v>1363</v>
      </c>
      <c r="AB496" s="13" t="s">
        <v>447</v>
      </c>
      <c r="AC496" s="21">
        <v>42643.656238425923</v>
      </c>
      <c r="AD496" s="21">
        <v>42643.656238425923</v>
      </c>
      <c r="AE496" s="13" t="s">
        <v>9629</v>
      </c>
      <c r="AF496" s="13" t="s">
        <v>9629</v>
      </c>
    </row>
    <row r="497" spans="1:32">
      <c r="A497" s="13" t="s">
        <v>11182</v>
      </c>
      <c r="B497" s="13" t="s">
        <v>1150</v>
      </c>
      <c r="C497" s="13" t="s">
        <v>1363</v>
      </c>
      <c r="D497" s="13" t="s">
        <v>1150</v>
      </c>
      <c r="E497" s="13" t="s">
        <v>1363</v>
      </c>
      <c r="F497" s="13" t="s">
        <v>447</v>
      </c>
      <c r="G497" s="13" t="s">
        <v>447</v>
      </c>
      <c r="H497" s="13" t="s">
        <v>1150</v>
      </c>
      <c r="I497" s="13" t="s">
        <v>11183</v>
      </c>
      <c r="J497" s="13" t="s">
        <v>447</v>
      </c>
      <c r="K497" s="13" t="s">
        <v>1363</v>
      </c>
      <c r="L497" s="13" t="s">
        <v>447</v>
      </c>
      <c r="M497" s="13" t="s">
        <v>1363</v>
      </c>
      <c r="N497" s="13" t="s">
        <v>9626</v>
      </c>
      <c r="O497" s="13" t="s">
        <v>9667</v>
      </c>
      <c r="P497" s="15">
        <v>367</v>
      </c>
      <c r="R497" s="13" t="s">
        <v>11183</v>
      </c>
      <c r="S497" s="13" t="s">
        <v>447</v>
      </c>
      <c r="T497" s="13" t="s">
        <v>11184</v>
      </c>
      <c r="U497" s="13" t="s">
        <v>9734</v>
      </c>
      <c r="V497" s="13" t="s">
        <v>9735</v>
      </c>
      <c r="W497" s="13" t="s">
        <v>9736</v>
      </c>
      <c r="X497" s="13" t="s">
        <v>9658</v>
      </c>
      <c r="Z497" s="13" t="s">
        <v>1363</v>
      </c>
      <c r="AA497" s="13" t="s">
        <v>9737</v>
      </c>
      <c r="AB497" s="13" t="s">
        <v>447</v>
      </c>
      <c r="AC497" s="21">
        <v>43206.077256944445</v>
      </c>
      <c r="AD497" s="21">
        <v>43206.077256944445</v>
      </c>
      <c r="AE497" s="13" t="s">
        <v>9795</v>
      </c>
      <c r="AF497" s="13" t="s">
        <v>9795</v>
      </c>
    </row>
    <row r="498" spans="1:32">
      <c r="A498" s="13" t="s">
        <v>11185</v>
      </c>
      <c r="B498" s="13" t="s">
        <v>1150</v>
      </c>
      <c r="C498" s="13" t="s">
        <v>1363</v>
      </c>
      <c r="D498" s="13" t="s">
        <v>1150</v>
      </c>
      <c r="E498" s="13" t="s">
        <v>1363</v>
      </c>
      <c r="F498" s="13" t="s">
        <v>447</v>
      </c>
      <c r="G498" s="13" t="s">
        <v>447</v>
      </c>
      <c r="H498" s="13" t="s">
        <v>1150</v>
      </c>
      <c r="I498" s="13" t="s">
        <v>11186</v>
      </c>
      <c r="J498" s="13" t="s">
        <v>447</v>
      </c>
      <c r="K498" s="13" t="s">
        <v>1363</v>
      </c>
      <c r="L498" s="13" t="s">
        <v>447</v>
      </c>
      <c r="M498" s="13" t="s">
        <v>1363</v>
      </c>
      <c r="N498" s="13" t="s">
        <v>9626</v>
      </c>
      <c r="O498" s="13" t="s">
        <v>10171</v>
      </c>
      <c r="P498" s="15">
        <v>367</v>
      </c>
      <c r="R498" s="13" t="s">
        <v>11186</v>
      </c>
      <c r="S498" s="13" t="s">
        <v>1363</v>
      </c>
      <c r="T498" s="13" t="s">
        <v>11187</v>
      </c>
      <c r="U498" s="13" t="s">
        <v>9734</v>
      </c>
      <c r="V498" s="13" t="s">
        <v>9735</v>
      </c>
      <c r="W498" s="13" t="s">
        <v>9736</v>
      </c>
      <c r="X498" s="13" t="s">
        <v>9658</v>
      </c>
      <c r="Z498" s="13" t="s">
        <v>1363</v>
      </c>
      <c r="AA498" s="13" t="s">
        <v>9737</v>
      </c>
      <c r="AB498" s="13" t="s">
        <v>447</v>
      </c>
      <c r="AC498" s="21">
        <v>42907.368634259263</v>
      </c>
      <c r="AD498" s="21">
        <v>42907.368634259263</v>
      </c>
      <c r="AE498" s="13" t="s">
        <v>9634</v>
      </c>
      <c r="AF498" s="13" t="s">
        <v>9634</v>
      </c>
    </row>
    <row r="499" spans="1:32">
      <c r="A499" s="13" t="s">
        <v>11188</v>
      </c>
      <c r="B499" s="13" t="s">
        <v>1150</v>
      </c>
      <c r="C499" s="13" t="s">
        <v>1363</v>
      </c>
      <c r="D499" s="13" t="s">
        <v>1150</v>
      </c>
      <c r="E499" s="13" t="s">
        <v>1363</v>
      </c>
      <c r="F499" s="13" t="s">
        <v>447</v>
      </c>
      <c r="G499" s="13" t="s">
        <v>447</v>
      </c>
      <c r="H499" s="13" t="s">
        <v>1150</v>
      </c>
      <c r="I499" s="13" t="s">
        <v>11189</v>
      </c>
      <c r="J499" s="13" t="s">
        <v>447</v>
      </c>
      <c r="K499" s="13" t="s">
        <v>1363</v>
      </c>
      <c r="L499" s="13" t="s">
        <v>447</v>
      </c>
      <c r="M499" s="13" t="s">
        <v>1363</v>
      </c>
      <c r="N499" s="13" t="s">
        <v>9626</v>
      </c>
      <c r="O499" s="13" t="s">
        <v>10171</v>
      </c>
      <c r="P499" s="15">
        <v>367</v>
      </c>
      <c r="R499" s="13" t="s">
        <v>11189</v>
      </c>
      <c r="S499" s="13" t="s">
        <v>1363</v>
      </c>
      <c r="T499" s="13" t="s">
        <v>11190</v>
      </c>
      <c r="U499" s="13" t="s">
        <v>9734</v>
      </c>
      <c r="V499" s="13" t="s">
        <v>9735</v>
      </c>
      <c r="W499" s="13" t="s">
        <v>9736</v>
      </c>
      <c r="X499" s="13" t="s">
        <v>9658</v>
      </c>
      <c r="Z499" s="13" t="s">
        <v>1363</v>
      </c>
      <c r="AA499" s="13" t="s">
        <v>9737</v>
      </c>
      <c r="AB499" s="13" t="s">
        <v>447</v>
      </c>
      <c r="AC499" s="21">
        <v>42907.36383101852</v>
      </c>
      <c r="AD499" s="21">
        <v>42907.36383101852</v>
      </c>
      <c r="AE499" s="13" t="s">
        <v>9634</v>
      </c>
      <c r="AF499" s="13" t="s">
        <v>9634</v>
      </c>
    </row>
    <row r="500" spans="1:32">
      <c r="A500" s="13" t="s">
        <v>11191</v>
      </c>
      <c r="B500" s="13" t="s">
        <v>1150</v>
      </c>
      <c r="C500" s="13" t="s">
        <v>1363</v>
      </c>
      <c r="D500" s="13" t="s">
        <v>1150</v>
      </c>
      <c r="E500" s="13" t="s">
        <v>1363</v>
      </c>
      <c r="F500" s="13" t="s">
        <v>447</v>
      </c>
      <c r="G500" s="13" t="s">
        <v>447</v>
      </c>
      <c r="H500" s="13" t="s">
        <v>1150</v>
      </c>
      <c r="I500" s="13" t="s">
        <v>11192</v>
      </c>
      <c r="J500" s="13" t="s">
        <v>447</v>
      </c>
      <c r="K500" s="13" t="s">
        <v>1363</v>
      </c>
      <c r="L500" s="13" t="s">
        <v>447</v>
      </c>
      <c r="M500" s="13" t="s">
        <v>1363</v>
      </c>
      <c r="N500" s="13" t="s">
        <v>9626</v>
      </c>
      <c r="O500" s="13" t="s">
        <v>10159</v>
      </c>
      <c r="P500" s="15">
        <v>367</v>
      </c>
      <c r="R500" s="13" t="s">
        <v>11192</v>
      </c>
      <c r="S500" s="13" t="s">
        <v>1363</v>
      </c>
      <c r="T500" s="13" t="s">
        <v>11193</v>
      </c>
      <c r="U500" s="13" t="s">
        <v>9734</v>
      </c>
      <c r="V500" s="13" t="s">
        <v>9735</v>
      </c>
      <c r="W500" s="13" t="s">
        <v>9736</v>
      </c>
      <c r="X500" s="13" t="s">
        <v>9658</v>
      </c>
      <c r="Z500" s="13" t="s">
        <v>1363</v>
      </c>
      <c r="AA500" s="13" t="s">
        <v>9737</v>
      </c>
      <c r="AB500" s="13" t="s">
        <v>447</v>
      </c>
      <c r="AC500" s="21">
        <v>43206.074224537035</v>
      </c>
      <c r="AD500" s="21">
        <v>43206.074224537035</v>
      </c>
      <c r="AE500" s="13" t="s">
        <v>9795</v>
      </c>
      <c r="AF500" s="13" t="s">
        <v>9795</v>
      </c>
    </row>
    <row r="501" spans="1:32">
      <c r="A501" s="13" t="s">
        <v>11194</v>
      </c>
      <c r="B501" s="13" t="s">
        <v>1150</v>
      </c>
      <c r="C501" s="13" t="s">
        <v>1363</v>
      </c>
      <c r="D501" s="13" t="s">
        <v>1150</v>
      </c>
      <c r="E501" s="13" t="s">
        <v>1363</v>
      </c>
      <c r="F501" s="13" t="s">
        <v>447</v>
      </c>
      <c r="G501" s="13" t="s">
        <v>447</v>
      </c>
      <c r="H501" s="13" t="s">
        <v>1150</v>
      </c>
      <c r="I501" s="13" t="s">
        <v>11195</v>
      </c>
      <c r="J501" s="13" t="s">
        <v>447</v>
      </c>
      <c r="K501" s="13" t="s">
        <v>1363</v>
      </c>
      <c r="L501" s="13" t="s">
        <v>447</v>
      </c>
      <c r="M501" s="13" t="s">
        <v>1363</v>
      </c>
      <c r="N501" s="13" t="s">
        <v>9626</v>
      </c>
      <c r="O501" s="13" t="s">
        <v>10171</v>
      </c>
      <c r="P501" s="15">
        <v>367</v>
      </c>
      <c r="R501" s="13" t="s">
        <v>11195</v>
      </c>
      <c r="S501" s="13" t="s">
        <v>1363</v>
      </c>
      <c r="T501" s="13" t="s">
        <v>11196</v>
      </c>
      <c r="U501" s="13" t="s">
        <v>9734</v>
      </c>
      <c r="V501" s="13" t="s">
        <v>9735</v>
      </c>
      <c r="W501" s="13" t="s">
        <v>9736</v>
      </c>
      <c r="X501" s="13" t="s">
        <v>9658</v>
      </c>
      <c r="Z501" s="13" t="s">
        <v>1363</v>
      </c>
      <c r="AA501" s="13" t="s">
        <v>9737</v>
      </c>
      <c r="AB501" s="13" t="s">
        <v>447</v>
      </c>
      <c r="AC501" s="21">
        <v>43206.074236111112</v>
      </c>
      <c r="AD501" s="21">
        <v>43206.074236111112</v>
      </c>
      <c r="AE501" s="13" t="s">
        <v>9795</v>
      </c>
      <c r="AF501" s="13" t="s">
        <v>9795</v>
      </c>
    </row>
    <row r="502" spans="1:32">
      <c r="A502" s="13" t="s">
        <v>11197</v>
      </c>
      <c r="B502" s="13" t="s">
        <v>1150</v>
      </c>
      <c r="C502" s="13" t="s">
        <v>1363</v>
      </c>
      <c r="D502" s="13" t="s">
        <v>1150</v>
      </c>
      <c r="E502" s="13" t="s">
        <v>1363</v>
      </c>
      <c r="F502" s="13" t="s">
        <v>447</v>
      </c>
      <c r="G502" s="13" t="s">
        <v>447</v>
      </c>
      <c r="H502" s="13" t="s">
        <v>1150</v>
      </c>
      <c r="I502" s="13" t="s">
        <v>11198</v>
      </c>
      <c r="J502" s="13" t="s">
        <v>447</v>
      </c>
      <c r="K502" s="13" t="s">
        <v>1363</v>
      </c>
      <c r="L502" s="13" t="s">
        <v>447</v>
      </c>
      <c r="M502" s="13" t="s">
        <v>1363</v>
      </c>
      <c r="N502" s="13" t="s">
        <v>9626</v>
      </c>
      <c r="O502" s="13" t="s">
        <v>10159</v>
      </c>
      <c r="P502" s="15">
        <v>367</v>
      </c>
      <c r="R502" s="13" t="s">
        <v>11198</v>
      </c>
      <c r="S502" s="13" t="s">
        <v>1363</v>
      </c>
      <c r="T502" s="13" t="s">
        <v>11199</v>
      </c>
      <c r="U502" s="13" t="s">
        <v>9734</v>
      </c>
      <c r="V502" s="13" t="s">
        <v>9735</v>
      </c>
      <c r="W502" s="13" t="s">
        <v>9736</v>
      </c>
      <c r="X502" s="13" t="s">
        <v>9658</v>
      </c>
      <c r="Z502" s="13" t="s">
        <v>1363</v>
      </c>
      <c r="AA502" s="13" t="s">
        <v>9737</v>
      </c>
      <c r="AB502" s="13" t="s">
        <v>447</v>
      </c>
      <c r="AC502" s="21">
        <v>42907.368090277778</v>
      </c>
      <c r="AD502" s="21">
        <v>42907.368090277778</v>
      </c>
      <c r="AE502" s="13" t="s">
        <v>9634</v>
      </c>
      <c r="AF502" s="13" t="s">
        <v>9634</v>
      </c>
    </row>
    <row r="503" spans="1:32">
      <c r="A503" s="13" t="s">
        <v>11200</v>
      </c>
      <c r="B503" s="13" t="s">
        <v>1150</v>
      </c>
      <c r="C503" s="13" t="s">
        <v>1363</v>
      </c>
      <c r="D503" s="13" t="s">
        <v>1150</v>
      </c>
      <c r="E503" s="13" t="s">
        <v>1363</v>
      </c>
      <c r="F503" s="13" t="s">
        <v>447</v>
      </c>
      <c r="G503" s="13" t="s">
        <v>447</v>
      </c>
      <c r="H503" s="13" t="s">
        <v>1150</v>
      </c>
      <c r="I503" s="13" t="s">
        <v>11201</v>
      </c>
      <c r="J503" s="13" t="s">
        <v>447</v>
      </c>
      <c r="K503" s="13" t="s">
        <v>1363</v>
      </c>
      <c r="L503" s="13" t="s">
        <v>447</v>
      </c>
      <c r="M503" s="13" t="s">
        <v>1363</v>
      </c>
      <c r="N503" s="13" t="s">
        <v>9626</v>
      </c>
      <c r="O503" s="13" t="s">
        <v>10159</v>
      </c>
      <c r="P503" s="15">
        <v>367</v>
      </c>
      <c r="R503" s="13" t="s">
        <v>11201</v>
      </c>
      <c r="S503" s="13" t="s">
        <v>1363</v>
      </c>
      <c r="T503" s="13" t="s">
        <v>11202</v>
      </c>
      <c r="U503" s="13" t="s">
        <v>9734</v>
      </c>
      <c r="V503" s="13" t="s">
        <v>9735</v>
      </c>
      <c r="W503" s="13" t="s">
        <v>9736</v>
      </c>
      <c r="X503" s="13" t="s">
        <v>9658</v>
      </c>
      <c r="Z503" s="13" t="s">
        <v>1363</v>
      </c>
      <c r="AA503" s="13" t="s">
        <v>9737</v>
      </c>
      <c r="AB503" s="13" t="s">
        <v>447</v>
      </c>
      <c r="AC503" s="21">
        <v>42907.368645833332</v>
      </c>
      <c r="AD503" s="21">
        <v>42907.368645833332</v>
      </c>
      <c r="AE503" s="13" t="s">
        <v>9634</v>
      </c>
      <c r="AF503" s="13" t="s">
        <v>9634</v>
      </c>
    </row>
    <row r="504" spans="1:32">
      <c r="A504" s="13" t="s">
        <v>11203</v>
      </c>
      <c r="B504" s="13" t="s">
        <v>1150</v>
      </c>
      <c r="C504" s="13" t="s">
        <v>1363</v>
      </c>
      <c r="D504" s="13" t="s">
        <v>1150</v>
      </c>
      <c r="E504" s="13" t="s">
        <v>1363</v>
      </c>
      <c r="F504" s="13" t="s">
        <v>447</v>
      </c>
      <c r="G504" s="13" t="s">
        <v>447</v>
      </c>
      <c r="H504" s="13" t="s">
        <v>1150</v>
      </c>
      <c r="I504" s="13" t="s">
        <v>11204</v>
      </c>
      <c r="J504" s="13" t="s">
        <v>447</v>
      </c>
      <c r="K504" s="13" t="s">
        <v>1363</v>
      </c>
      <c r="L504" s="13" t="s">
        <v>447</v>
      </c>
      <c r="M504" s="13" t="s">
        <v>1363</v>
      </c>
      <c r="N504" s="13" t="s">
        <v>9626</v>
      </c>
      <c r="O504" s="13" t="s">
        <v>10159</v>
      </c>
      <c r="P504" s="15">
        <v>367</v>
      </c>
      <c r="R504" s="13" t="s">
        <v>11204</v>
      </c>
      <c r="S504" s="13" t="s">
        <v>1363</v>
      </c>
      <c r="T504" s="13" t="s">
        <v>11205</v>
      </c>
      <c r="U504" s="13" t="s">
        <v>9734</v>
      </c>
      <c r="V504" s="13" t="s">
        <v>9735</v>
      </c>
      <c r="W504" s="13" t="s">
        <v>9736</v>
      </c>
      <c r="X504" s="13" t="s">
        <v>9658</v>
      </c>
      <c r="Z504" s="13" t="s">
        <v>1363</v>
      </c>
      <c r="AA504" s="13" t="s">
        <v>9737</v>
      </c>
      <c r="AB504" s="13" t="s">
        <v>447</v>
      </c>
      <c r="AC504" s="21">
        <v>42907.368645833332</v>
      </c>
      <c r="AD504" s="21">
        <v>42907.368645833332</v>
      </c>
      <c r="AE504" s="13" t="s">
        <v>9634</v>
      </c>
      <c r="AF504" s="13" t="s">
        <v>9634</v>
      </c>
    </row>
    <row r="505" spans="1:32">
      <c r="A505" s="13" t="s">
        <v>11206</v>
      </c>
      <c r="B505" s="13" t="s">
        <v>1150</v>
      </c>
      <c r="C505" s="13" t="s">
        <v>1363</v>
      </c>
      <c r="D505" s="13" t="s">
        <v>1150</v>
      </c>
      <c r="E505" s="13" t="s">
        <v>1363</v>
      </c>
      <c r="F505" s="13" t="s">
        <v>447</v>
      </c>
      <c r="G505" s="13" t="s">
        <v>447</v>
      </c>
      <c r="H505" s="13" t="s">
        <v>1150</v>
      </c>
      <c r="I505" s="13" t="s">
        <v>11207</v>
      </c>
      <c r="J505" s="13" t="s">
        <v>447</v>
      </c>
      <c r="K505" s="13" t="s">
        <v>1363</v>
      </c>
      <c r="L505" s="13" t="s">
        <v>447</v>
      </c>
      <c r="M505" s="13" t="s">
        <v>1363</v>
      </c>
      <c r="N505" s="13" t="s">
        <v>9626</v>
      </c>
      <c r="O505" s="13" t="s">
        <v>10171</v>
      </c>
      <c r="P505" s="15">
        <v>367</v>
      </c>
      <c r="R505" s="13" t="s">
        <v>11207</v>
      </c>
      <c r="S505" s="13" t="s">
        <v>1363</v>
      </c>
      <c r="T505" s="13" t="s">
        <v>11208</v>
      </c>
      <c r="U505" s="13" t="s">
        <v>9734</v>
      </c>
      <c r="V505" s="13" t="s">
        <v>9735</v>
      </c>
      <c r="W505" s="13" t="s">
        <v>9736</v>
      </c>
      <c r="X505" s="13" t="s">
        <v>9658</v>
      </c>
      <c r="Z505" s="13" t="s">
        <v>1363</v>
      </c>
      <c r="AA505" s="13" t="s">
        <v>9737</v>
      </c>
      <c r="AB505" s="13" t="s">
        <v>447</v>
      </c>
      <c r="AC505" s="21">
        <v>42907.368645833332</v>
      </c>
      <c r="AD505" s="21">
        <v>42907.368645833332</v>
      </c>
      <c r="AE505" s="13" t="s">
        <v>9634</v>
      </c>
      <c r="AF505" s="13" t="s">
        <v>9634</v>
      </c>
    </row>
    <row r="506" spans="1:32">
      <c r="A506" s="13" t="s">
        <v>11209</v>
      </c>
      <c r="B506" s="13" t="s">
        <v>1150</v>
      </c>
      <c r="C506" s="13" t="s">
        <v>1363</v>
      </c>
      <c r="D506" s="13" t="s">
        <v>1150</v>
      </c>
      <c r="E506" s="13" t="s">
        <v>1363</v>
      </c>
      <c r="F506" s="13" t="s">
        <v>447</v>
      </c>
      <c r="G506" s="13" t="s">
        <v>447</v>
      </c>
      <c r="H506" s="13" t="s">
        <v>1150</v>
      </c>
      <c r="I506" s="13" t="s">
        <v>11210</v>
      </c>
      <c r="J506" s="13" t="s">
        <v>447</v>
      </c>
      <c r="K506" s="13" t="s">
        <v>1363</v>
      </c>
      <c r="L506" s="13" t="s">
        <v>447</v>
      </c>
      <c r="M506" s="13" t="s">
        <v>1363</v>
      </c>
      <c r="N506" s="13" t="s">
        <v>9626</v>
      </c>
      <c r="O506" s="13" t="s">
        <v>9667</v>
      </c>
      <c r="P506" s="15">
        <v>367</v>
      </c>
      <c r="R506" s="13" t="s">
        <v>11210</v>
      </c>
      <c r="S506" s="13" t="s">
        <v>447</v>
      </c>
      <c r="T506" s="13" t="s">
        <v>11211</v>
      </c>
      <c r="U506" s="13" t="s">
        <v>9734</v>
      </c>
      <c r="V506" s="13" t="s">
        <v>9735</v>
      </c>
      <c r="W506" s="13" t="s">
        <v>9736</v>
      </c>
      <c r="X506" s="13" t="s">
        <v>9658</v>
      </c>
      <c r="Z506" s="13" t="s">
        <v>1363</v>
      </c>
      <c r="AA506" s="13" t="s">
        <v>9737</v>
      </c>
      <c r="AB506" s="13" t="s">
        <v>447</v>
      </c>
      <c r="AC506" s="21">
        <v>42907.368657407409</v>
      </c>
      <c r="AD506" s="21">
        <v>42907.368657407409</v>
      </c>
      <c r="AE506" s="13" t="s">
        <v>9634</v>
      </c>
      <c r="AF506" s="13" t="s">
        <v>9634</v>
      </c>
    </row>
    <row r="507" spans="1:32">
      <c r="A507" s="13" t="s">
        <v>11212</v>
      </c>
      <c r="B507" s="13" t="s">
        <v>1150</v>
      </c>
      <c r="C507" s="13" t="s">
        <v>1363</v>
      </c>
      <c r="D507" s="13" t="s">
        <v>1150</v>
      </c>
      <c r="E507" s="13" t="s">
        <v>1363</v>
      </c>
      <c r="F507" s="13" t="s">
        <v>447</v>
      </c>
      <c r="G507" s="13" t="s">
        <v>447</v>
      </c>
      <c r="H507" s="13" t="s">
        <v>1150</v>
      </c>
      <c r="I507" s="13" t="s">
        <v>11213</v>
      </c>
      <c r="J507" s="13" t="s">
        <v>447</v>
      </c>
      <c r="K507" s="13" t="s">
        <v>1363</v>
      </c>
      <c r="L507" s="13" t="s">
        <v>447</v>
      </c>
      <c r="M507" s="13" t="s">
        <v>1363</v>
      </c>
      <c r="N507" s="13" t="s">
        <v>9626</v>
      </c>
      <c r="O507" s="13" t="s">
        <v>10171</v>
      </c>
      <c r="P507" s="15">
        <v>367</v>
      </c>
      <c r="R507" s="13" t="s">
        <v>11213</v>
      </c>
      <c r="S507" s="13" t="s">
        <v>1363</v>
      </c>
      <c r="T507" s="13" t="s">
        <v>11214</v>
      </c>
      <c r="U507" s="13" t="s">
        <v>9734</v>
      </c>
      <c r="V507" s="13" t="s">
        <v>9735</v>
      </c>
      <c r="W507" s="13" t="s">
        <v>9736</v>
      </c>
      <c r="X507" s="13" t="s">
        <v>9658</v>
      </c>
      <c r="Z507" s="13" t="s">
        <v>1363</v>
      </c>
      <c r="AA507" s="13" t="s">
        <v>9737</v>
      </c>
      <c r="AB507" s="13" t="s">
        <v>447</v>
      </c>
      <c r="AC507" s="21">
        <v>43220.704525462963</v>
      </c>
      <c r="AD507" s="21">
        <v>43220.704525462963</v>
      </c>
      <c r="AE507" s="13" t="s">
        <v>9795</v>
      </c>
      <c r="AF507" s="13" t="s">
        <v>9795</v>
      </c>
    </row>
    <row r="508" spans="1:32">
      <c r="A508" s="13" t="s">
        <v>11215</v>
      </c>
      <c r="B508" s="13" t="s">
        <v>1150</v>
      </c>
      <c r="C508" s="13" t="s">
        <v>1363</v>
      </c>
      <c r="D508" s="13" t="s">
        <v>1150</v>
      </c>
      <c r="E508" s="13" t="s">
        <v>1363</v>
      </c>
      <c r="F508" s="13" t="s">
        <v>447</v>
      </c>
      <c r="G508" s="13" t="s">
        <v>447</v>
      </c>
      <c r="H508" s="13" t="s">
        <v>1150</v>
      </c>
      <c r="I508" s="13" t="s">
        <v>11216</v>
      </c>
      <c r="J508" s="13" t="s">
        <v>447</v>
      </c>
      <c r="K508" s="13" t="s">
        <v>1363</v>
      </c>
      <c r="L508" s="13" t="s">
        <v>447</v>
      </c>
      <c r="M508" s="13" t="s">
        <v>1363</v>
      </c>
      <c r="N508" s="13" t="s">
        <v>9626</v>
      </c>
      <c r="O508" s="13" t="s">
        <v>9667</v>
      </c>
      <c r="P508" s="15">
        <v>367</v>
      </c>
      <c r="R508" s="13" t="s">
        <v>11216</v>
      </c>
      <c r="S508" s="13" t="s">
        <v>447</v>
      </c>
      <c r="T508" s="13" t="s">
        <v>11217</v>
      </c>
      <c r="U508" s="13" t="s">
        <v>9734</v>
      </c>
      <c r="V508" s="13" t="s">
        <v>9735</v>
      </c>
      <c r="W508" s="13" t="s">
        <v>9736</v>
      </c>
      <c r="X508" s="13" t="s">
        <v>9658</v>
      </c>
      <c r="Z508" s="13" t="s">
        <v>1363</v>
      </c>
      <c r="AA508" s="13" t="s">
        <v>9737</v>
      </c>
      <c r="AB508" s="13" t="s">
        <v>447</v>
      </c>
      <c r="AC508" s="21">
        <v>42907.369085648148</v>
      </c>
      <c r="AD508" s="21">
        <v>42907.369085648148</v>
      </c>
      <c r="AE508" s="13" t="s">
        <v>9634</v>
      </c>
      <c r="AF508" s="13" t="s">
        <v>9634</v>
      </c>
    </row>
    <row r="509" spans="1:32">
      <c r="A509" s="13" t="s">
        <v>11218</v>
      </c>
      <c r="B509" s="13" t="s">
        <v>1150</v>
      </c>
      <c r="C509" s="13" t="s">
        <v>1363</v>
      </c>
      <c r="D509" s="13" t="s">
        <v>1150</v>
      </c>
      <c r="E509" s="13" t="s">
        <v>1363</v>
      </c>
      <c r="F509" s="13" t="s">
        <v>447</v>
      </c>
      <c r="G509" s="13" t="s">
        <v>447</v>
      </c>
      <c r="H509" s="13" t="s">
        <v>1150</v>
      </c>
      <c r="I509" s="13" t="s">
        <v>11219</v>
      </c>
      <c r="J509" s="13" t="s">
        <v>447</v>
      </c>
      <c r="K509" s="13" t="s">
        <v>1363</v>
      </c>
      <c r="L509" s="13" t="s">
        <v>447</v>
      </c>
      <c r="M509" s="13" t="s">
        <v>1363</v>
      </c>
      <c r="N509" s="13" t="s">
        <v>9626</v>
      </c>
      <c r="O509" s="13" t="s">
        <v>9667</v>
      </c>
      <c r="P509" s="15">
        <v>367</v>
      </c>
      <c r="R509" s="13" t="s">
        <v>11219</v>
      </c>
      <c r="S509" s="13" t="s">
        <v>447</v>
      </c>
      <c r="T509" s="13" t="s">
        <v>11220</v>
      </c>
      <c r="U509" s="13" t="s">
        <v>9734</v>
      </c>
      <c r="V509" s="13" t="s">
        <v>9735</v>
      </c>
      <c r="W509" s="13" t="s">
        <v>9736</v>
      </c>
      <c r="X509" s="13" t="s">
        <v>9658</v>
      </c>
      <c r="Z509" s="13" t="s">
        <v>1363</v>
      </c>
      <c r="AA509" s="13" t="s">
        <v>9737</v>
      </c>
      <c r="AB509" s="13" t="s">
        <v>447</v>
      </c>
      <c r="AC509" s="21">
        <v>42907.426944444444</v>
      </c>
      <c r="AD509" s="21">
        <v>42907.426944444444</v>
      </c>
      <c r="AE509" s="13" t="s">
        <v>9634</v>
      </c>
      <c r="AF509" s="13" t="s">
        <v>9634</v>
      </c>
    </row>
    <row r="510" spans="1:32">
      <c r="A510" s="13" t="s">
        <v>11221</v>
      </c>
      <c r="B510" s="13" t="s">
        <v>1150</v>
      </c>
      <c r="C510" s="13" t="s">
        <v>1363</v>
      </c>
      <c r="D510" s="13" t="s">
        <v>1150</v>
      </c>
      <c r="E510" s="13" t="s">
        <v>1363</v>
      </c>
      <c r="F510" s="13" t="s">
        <v>447</v>
      </c>
      <c r="G510" s="13" t="s">
        <v>447</v>
      </c>
      <c r="H510" s="13" t="s">
        <v>1150</v>
      </c>
      <c r="I510" s="13" t="s">
        <v>11222</v>
      </c>
      <c r="J510" s="13" t="s">
        <v>447</v>
      </c>
      <c r="K510" s="13" t="s">
        <v>1363</v>
      </c>
      <c r="L510" s="13" t="s">
        <v>447</v>
      </c>
      <c r="M510" s="13" t="s">
        <v>1363</v>
      </c>
      <c r="N510" s="13" t="s">
        <v>9626</v>
      </c>
      <c r="O510" s="13" t="s">
        <v>10159</v>
      </c>
      <c r="P510" s="15">
        <v>367</v>
      </c>
      <c r="R510" s="13" t="s">
        <v>11222</v>
      </c>
      <c r="S510" s="13" t="s">
        <v>1363</v>
      </c>
      <c r="T510" s="13" t="s">
        <v>11223</v>
      </c>
      <c r="U510" s="13" t="s">
        <v>9734</v>
      </c>
      <c r="V510" s="13" t="s">
        <v>9735</v>
      </c>
      <c r="W510" s="13" t="s">
        <v>9736</v>
      </c>
      <c r="X510" s="13" t="s">
        <v>9658</v>
      </c>
      <c r="Z510" s="13" t="s">
        <v>1363</v>
      </c>
      <c r="AA510" s="13" t="s">
        <v>9737</v>
      </c>
      <c r="AB510" s="13" t="s">
        <v>447</v>
      </c>
      <c r="AC510" s="21">
        <v>43220.704733796294</v>
      </c>
      <c r="AD510" s="21">
        <v>43220.704733796294</v>
      </c>
      <c r="AE510" s="13" t="s">
        <v>9795</v>
      </c>
      <c r="AF510" s="13" t="s">
        <v>9795</v>
      </c>
    </row>
    <row r="511" spans="1:32">
      <c r="A511" s="13" t="s">
        <v>11224</v>
      </c>
      <c r="B511" s="13" t="s">
        <v>1150</v>
      </c>
      <c r="C511" s="13" t="s">
        <v>1363</v>
      </c>
      <c r="D511" s="13" t="s">
        <v>1150</v>
      </c>
      <c r="E511" s="13" t="s">
        <v>1363</v>
      </c>
      <c r="F511" s="13" t="s">
        <v>447</v>
      </c>
      <c r="G511" s="13" t="s">
        <v>447</v>
      </c>
      <c r="H511" s="13" t="s">
        <v>1150</v>
      </c>
      <c r="I511" s="13" t="s">
        <v>11225</v>
      </c>
      <c r="J511" s="13" t="s">
        <v>447</v>
      </c>
      <c r="K511" s="13" t="s">
        <v>1363</v>
      </c>
      <c r="L511" s="13" t="s">
        <v>447</v>
      </c>
      <c r="M511" s="13" t="s">
        <v>1363</v>
      </c>
      <c r="N511" s="13" t="s">
        <v>9626</v>
      </c>
      <c r="O511" s="13" t="s">
        <v>9667</v>
      </c>
      <c r="P511" s="15">
        <v>367</v>
      </c>
      <c r="R511" s="13" t="s">
        <v>11225</v>
      </c>
      <c r="S511" s="13" t="s">
        <v>447</v>
      </c>
      <c r="T511" s="13" t="s">
        <v>11226</v>
      </c>
      <c r="U511" s="13" t="s">
        <v>9734</v>
      </c>
      <c r="V511" s="13" t="s">
        <v>9735</v>
      </c>
      <c r="W511" s="13" t="s">
        <v>9736</v>
      </c>
      <c r="X511" s="13" t="s">
        <v>9658</v>
      </c>
      <c r="Z511" s="13" t="s">
        <v>1363</v>
      </c>
      <c r="AA511" s="13" t="s">
        <v>9737</v>
      </c>
      <c r="AB511" s="13" t="s">
        <v>447</v>
      </c>
      <c r="AC511" s="21">
        <v>43273.371388888889</v>
      </c>
      <c r="AD511" s="21">
        <v>43273.371388888889</v>
      </c>
      <c r="AE511" s="13" t="s">
        <v>11121</v>
      </c>
      <c r="AF511" s="13" t="s">
        <v>11121</v>
      </c>
    </row>
    <row r="512" spans="1:32">
      <c r="A512" s="13" t="s">
        <v>11227</v>
      </c>
      <c r="B512" s="13" t="s">
        <v>1150</v>
      </c>
      <c r="C512" s="13" t="s">
        <v>1363</v>
      </c>
      <c r="D512" s="13" t="s">
        <v>1150</v>
      </c>
      <c r="E512" s="13" t="s">
        <v>1363</v>
      </c>
      <c r="F512" s="13" t="s">
        <v>447</v>
      </c>
      <c r="G512" s="13" t="s">
        <v>447</v>
      </c>
      <c r="H512" s="13" t="s">
        <v>1150</v>
      </c>
      <c r="I512" s="13" t="s">
        <v>11228</v>
      </c>
      <c r="J512" s="13" t="s">
        <v>447</v>
      </c>
      <c r="K512" s="13" t="s">
        <v>1363</v>
      </c>
      <c r="L512" s="13" t="s">
        <v>447</v>
      </c>
      <c r="M512" s="13" t="s">
        <v>1363</v>
      </c>
      <c r="N512" s="13" t="s">
        <v>9626</v>
      </c>
      <c r="O512" s="13" t="s">
        <v>9667</v>
      </c>
      <c r="P512" s="15">
        <v>367</v>
      </c>
      <c r="R512" s="13" t="s">
        <v>11228</v>
      </c>
      <c r="S512" s="13" t="s">
        <v>447</v>
      </c>
      <c r="T512" s="13" t="s">
        <v>11229</v>
      </c>
      <c r="U512" s="13" t="s">
        <v>9734</v>
      </c>
      <c r="V512" s="13" t="s">
        <v>9735</v>
      </c>
      <c r="W512" s="13" t="s">
        <v>9736</v>
      </c>
      <c r="X512" s="13" t="s">
        <v>9658</v>
      </c>
      <c r="Z512" s="13" t="s">
        <v>1363</v>
      </c>
      <c r="AA512" s="13" t="s">
        <v>9737</v>
      </c>
      <c r="AB512" s="13" t="s">
        <v>447</v>
      </c>
      <c r="AC512" s="21">
        <v>43644.096562500003</v>
      </c>
      <c r="AD512" s="21">
        <v>43644.096562500003</v>
      </c>
      <c r="AE512" s="13" t="s">
        <v>9795</v>
      </c>
      <c r="AF512" s="13" t="s">
        <v>9795</v>
      </c>
    </row>
    <row r="513" spans="1:32">
      <c r="A513" s="13" t="s">
        <v>11230</v>
      </c>
      <c r="B513" s="13" t="s">
        <v>1150</v>
      </c>
      <c r="C513" s="13" t="s">
        <v>1363</v>
      </c>
      <c r="D513" s="13" t="s">
        <v>1150</v>
      </c>
      <c r="E513" s="13" t="s">
        <v>1363</v>
      </c>
      <c r="F513" s="13" t="s">
        <v>447</v>
      </c>
      <c r="G513" s="13" t="s">
        <v>447</v>
      </c>
      <c r="H513" s="13" t="s">
        <v>1150</v>
      </c>
      <c r="I513" s="13" t="s">
        <v>11231</v>
      </c>
      <c r="J513" s="13" t="s">
        <v>447</v>
      </c>
      <c r="K513" s="13" t="s">
        <v>1363</v>
      </c>
      <c r="L513" s="13" t="s">
        <v>447</v>
      </c>
      <c r="M513" s="13" t="s">
        <v>1363</v>
      </c>
      <c r="N513" s="13" t="s">
        <v>9626</v>
      </c>
      <c r="O513" s="13" t="s">
        <v>10171</v>
      </c>
      <c r="P513" s="15">
        <v>367</v>
      </c>
      <c r="R513" s="13" t="s">
        <v>11231</v>
      </c>
      <c r="S513" s="13" t="s">
        <v>1363</v>
      </c>
      <c r="T513" s="13" t="s">
        <v>11232</v>
      </c>
      <c r="U513" s="13" t="s">
        <v>9734</v>
      </c>
      <c r="V513" s="13" t="s">
        <v>9735</v>
      </c>
      <c r="W513" s="13" t="s">
        <v>9736</v>
      </c>
      <c r="X513" s="13" t="s">
        <v>9658</v>
      </c>
      <c r="Z513" s="13" t="s">
        <v>1363</v>
      </c>
      <c r="AA513" s="13" t="s">
        <v>9737</v>
      </c>
      <c r="AB513" s="13" t="s">
        <v>447</v>
      </c>
      <c r="AC513" s="21">
        <v>43644.097453703704</v>
      </c>
      <c r="AD513" s="21">
        <v>43644.097453703704</v>
      </c>
      <c r="AE513" s="13" t="s">
        <v>9795</v>
      </c>
      <c r="AF513" s="13" t="s">
        <v>9795</v>
      </c>
    </row>
    <row r="514" spans="1:32">
      <c r="A514" s="13" t="s">
        <v>11233</v>
      </c>
      <c r="B514" s="13" t="s">
        <v>1150</v>
      </c>
      <c r="C514" s="13" t="s">
        <v>1363</v>
      </c>
      <c r="D514" s="13" t="s">
        <v>1150</v>
      </c>
      <c r="E514" s="13" t="s">
        <v>447</v>
      </c>
      <c r="F514" s="13" t="s">
        <v>1363</v>
      </c>
      <c r="G514" s="13" t="s">
        <v>1363</v>
      </c>
      <c r="H514" s="13" t="s">
        <v>1415</v>
      </c>
      <c r="I514" s="13" t="s">
        <v>11234</v>
      </c>
      <c r="J514" s="13" t="s">
        <v>447</v>
      </c>
      <c r="K514" s="13" t="s">
        <v>1363</v>
      </c>
      <c r="L514" s="13" t="s">
        <v>1363</v>
      </c>
      <c r="M514" s="13" t="s">
        <v>1363</v>
      </c>
      <c r="N514" s="13" t="s">
        <v>9626</v>
      </c>
      <c r="O514" s="13" t="s">
        <v>11235</v>
      </c>
      <c r="P514" s="15">
        <v>42736</v>
      </c>
      <c r="R514" s="13" t="s">
        <v>11234</v>
      </c>
      <c r="S514" s="13" t="s">
        <v>1363</v>
      </c>
      <c r="X514" s="13" t="s">
        <v>10258</v>
      </c>
      <c r="Z514" s="13" t="s">
        <v>1363</v>
      </c>
      <c r="AB514" s="13" t="s">
        <v>447</v>
      </c>
      <c r="AC514" s="21">
        <v>43536.395451388889</v>
      </c>
      <c r="AD514" s="21">
        <v>43536.395451388889</v>
      </c>
      <c r="AE514" s="13" t="s">
        <v>9634</v>
      </c>
      <c r="AF514" s="13" t="s">
        <v>9634</v>
      </c>
    </row>
    <row r="515" spans="1:32">
      <c r="A515" s="13" t="s">
        <v>11236</v>
      </c>
      <c r="B515" s="13" t="s">
        <v>1150</v>
      </c>
      <c r="C515" s="13" t="s">
        <v>1363</v>
      </c>
      <c r="D515" s="13" t="s">
        <v>1150</v>
      </c>
      <c r="E515" s="13" t="s">
        <v>1363</v>
      </c>
      <c r="F515" s="13" t="s">
        <v>1363</v>
      </c>
      <c r="G515" s="13" t="s">
        <v>1363</v>
      </c>
      <c r="H515" s="13" t="s">
        <v>1415</v>
      </c>
      <c r="I515" s="13" t="s">
        <v>11237</v>
      </c>
      <c r="J515" s="13" t="s">
        <v>447</v>
      </c>
      <c r="K515" s="13" t="s">
        <v>1363</v>
      </c>
      <c r="L515" s="13" t="s">
        <v>1363</v>
      </c>
      <c r="M515" s="13" t="s">
        <v>1363</v>
      </c>
      <c r="N515" s="13" t="s">
        <v>9626</v>
      </c>
      <c r="O515" s="13" t="s">
        <v>11238</v>
      </c>
      <c r="P515" s="15">
        <v>42736</v>
      </c>
      <c r="R515" s="13" t="s">
        <v>11237</v>
      </c>
      <c r="S515" s="13" t="s">
        <v>1363</v>
      </c>
      <c r="X515" s="13" t="s">
        <v>10258</v>
      </c>
      <c r="Z515" s="13" t="s">
        <v>1363</v>
      </c>
      <c r="AB515" s="13" t="s">
        <v>447</v>
      </c>
      <c r="AC515" s="21">
        <v>43536.493564814817</v>
      </c>
      <c r="AD515" s="21">
        <v>43536.493564814817</v>
      </c>
      <c r="AE515" s="13" t="s">
        <v>9634</v>
      </c>
      <c r="AF515" s="13" t="s">
        <v>9634</v>
      </c>
    </row>
    <row r="516" spans="1:32">
      <c r="A516" s="13" t="s">
        <v>11239</v>
      </c>
      <c r="B516" s="13" t="s">
        <v>1150</v>
      </c>
      <c r="C516" s="13" t="s">
        <v>1363</v>
      </c>
      <c r="D516" s="13" t="s">
        <v>1150</v>
      </c>
      <c r="E516" s="13" t="s">
        <v>1363</v>
      </c>
      <c r="F516" s="13" t="s">
        <v>1363</v>
      </c>
      <c r="G516" s="13" t="s">
        <v>1363</v>
      </c>
      <c r="H516" s="13" t="s">
        <v>1415</v>
      </c>
      <c r="I516" s="13" t="s">
        <v>11240</v>
      </c>
      <c r="J516" s="13" t="s">
        <v>447</v>
      </c>
      <c r="K516" s="13" t="s">
        <v>1363</v>
      </c>
      <c r="L516" s="13" t="s">
        <v>1363</v>
      </c>
      <c r="M516" s="13" t="s">
        <v>1363</v>
      </c>
      <c r="N516" s="13" t="s">
        <v>9626</v>
      </c>
      <c r="O516" s="13" t="s">
        <v>11241</v>
      </c>
      <c r="P516" s="15">
        <v>42736</v>
      </c>
      <c r="R516" s="13" t="s">
        <v>11242</v>
      </c>
      <c r="S516" s="13" t="s">
        <v>1363</v>
      </c>
      <c r="X516" s="13" t="s">
        <v>10258</v>
      </c>
      <c r="Z516" s="13" t="s">
        <v>1363</v>
      </c>
      <c r="AB516" s="13" t="s">
        <v>447</v>
      </c>
      <c r="AC516" s="21">
        <v>43536.520115740743</v>
      </c>
      <c r="AD516" s="21">
        <v>43536.520115740743</v>
      </c>
      <c r="AE516" s="13" t="s">
        <v>9634</v>
      </c>
      <c r="AF516" s="13" t="s">
        <v>9634</v>
      </c>
    </row>
    <row r="517" spans="1:32">
      <c r="A517" s="13" t="s">
        <v>11243</v>
      </c>
      <c r="B517" s="13" t="s">
        <v>1438</v>
      </c>
      <c r="C517" s="13" t="s">
        <v>1363</v>
      </c>
      <c r="D517" s="13" t="s">
        <v>1150</v>
      </c>
      <c r="E517" s="13" t="s">
        <v>1363</v>
      </c>
      <c r="F517" s="13" t="s">
        <v>1363</v>
      </c>
      <c r="G517" s="13" t="s">
        <v>1363</v>
      </c>
      <c r="H517" s="13" t="s">
        <v>1415</v>
      </c>
      <c r="I517" s="13" t="s">
        <v>11244</v>
      </c>
      <c r="J517" s="13" t="s">
        <v>447</v>
      </c>
      <c r="K517" s="13" t="s">
        <v>1363</v>
      </c>
      <c r="L517" s="13" t="s">
        <v>1363</v>
      </c>
      <c r="M517" s="13" t="s">
        <v>1363</v>
      </c>
      <c r="N517" s="13" t="s">
        <v>9626</v>
      </c>
      <c r="O517" s="13" t="s">
        <v>11245</v>
      </c>
      <c r="P517" s="15">
        <v>42736</v>
      </c>
      <c r="R517" s="13" t="s">
        <v>11244</v>
      </c>
      <c r="S517" s="13" t="s">
        <v>1363</v>
      </c>
      <c r="X517" s="13" t="s">
        <v>10258</v>
      </c>
      <c r="Z517" s="13" t="s">
        <v>1363</v>
      </c>
      <c r="AB517" s="13" t="s">
        <v>447</v>
      </c>
      <c r="AC517" s="21">
        <v>43536.565300925926</v>
      </c>
      <c r="AD517" s="21">
        <v>43536.565300925926</v>
      </c>
      <c r="AE517" s="13" t="s">
        <v>9634</v>
      </c>
      <c r="AF517" s="13" t="s">
        <v>9634</v>
      </c>
    </row>
    <row r="518" spans="1:32">
      <c r="A518" s="13" t="s">
        <v>11246</v>
      </c>
      <c r="B518" s="13" t="s">
        <v>1150</v>
      </c>
      <c r="C518" s="13" t="s">
        <v>1363</v>
      </c>
      <c r="D518" s="13" t="s">
        <v>1150</v>
      </c>
      <c r="E518" s="13" t="s">
        <v>1363</v>
      </c>
      <c r="F518" s="13" t="s">
        <v>1363</v>
      </c>
      <c r="G518" s="13" t="s">
        <v>1363</v>
      </c>
      <c r="H518" s="13" t="s">
        <v>1415</v>
      </c>
      <c r="I518" s="13" t="s">
        <v>11247</v>
      </c>
      <c r="J518" s="13" t="s">
        <v>447</v>
      </c>
      <c r="K518" s="13" t="s">
        <v>1363</v>
      </c>
      <c r="L518" s="13" t="s">
        <v>1363</v>
      </c>
      <c r="M518" s="13" t="s">
        <v>1363</v>
      </c>
      <c r="N518" s="13" t="s">
        <v>9626</v>
      </c>
      <c r="O518" s="13" t="s">
        <v>11248</v>
      </c>
      <c r="P518" s="15">
        <v>42736</v>
      </c>
      <c r="R518" s="13" t="s">
        <v>11249</v>
      </c>
      <c r="S518" s="13" t="s">
        <v>1363</v>
      </c>
      <c r="X518" s="13" t="s">
        <v>10258</v>
      </c>
      <c r="Z518" s="13" t="s">
        <v>1363</v>
      </c>
      <c r="AB518" s="13" t="s">
        <v>447</v>
      </c>
      <c r="AC518" s="21">
        <v>43536.58929398148</v>
      </c>
      <c r="AD518" s="21">
        <v>43536.58929398148</v>
      </c>
      <c r="AE518" s="13" t="s">
        <v>9634</v>
      </c>
      <c r="AF518" s="13" t="s">
        <v>9634</v>
      </c>
    </row>
    <row r="519" spans="1:32">
      <c r="A519" s="13" t="s">
        <v>11250</v>
      </c>
      <c r="B519" s="13" t="s">
        <v>1150</v>
      </c>
      <c r="C519" s="13" t="s">
        <v>447</v>
      </c>
      <c r="D519" s="13" t="s">
        <v>1150</v>
      </c>
      <c r="E519" s="13" t="s">
        <v>1363</v>
      </c>
      <c r="F519" s="13" t="s">
        <v>447</v>
      </c>
      <c r="G519" s="13" t="s">
        <v>447</v>
      </c>
      <c r="H519" s="13" t="s">
        <v>1415</v>
      </c>
      <c r="I519" s="13" t="s">
        <v>10411</v>
      </c>
      <c r="J519" s="13" t="s">
        <v>447</v>
      </c>
      <c r="K519" s="13" t="s">
        <v>1363</v>
      </c>
      <c r="L519" s="13" t="s">
        <v>447</v>
      </c>
      <c r="M519" s="13" t="s">
        <v>1363</v>
      </c>
      <c r="N519" s="13" t="s">
        <v>9626</v>
      </c>
      <c r="O519" s="13" t="s">
        <v>11251</v>
      </c>
      <c r="P519" s="15">
        <v>732</v>
      </c>
      <c r="R519" s="13" t="s">
        <v>10411</v>
      </c>
      <c r="S519" s="13" t="s">
        <v>1363</v>
      </c>
      <c r="X519" s="13" t="s">
        <v>10296</v>
      </c>
      <c r="Z519" s="13" t="s">
        <v>1363</v>
      </c>
      <c r="AB519" s="13" t="s">
        <v>447</v>
      </c>
      <c r="AC519" s="21">
        <v>43586.327638888892</v>
      </c>
      <c r="AD519" s="21">
        <v>44680.360474537039</v>
      </c>
      <c r="AE519" s="13" t="s">
        <v>9795</v>
      </c>
      <c r="AF519" s="13" t="s">
        <v>9860</v>
      </c>
    </row>
    <row r="520" spans="1:32">
      <c r="A520" s="13" t="s">
        <v>11252</v>
      </c>
      <c r="B520" s="13" t="s">
        <v>1438</v>
      </c>
      <c r="C520" s="13" t="s">
        <v>447</v>
      </c>
      <c r="D520" s="13" t="s">
        <v>1150</v>
      </c>
      <c r="E520" s="13" t="s">
        <v>1363</v>
      </c>
      <c r="F520" s="13" t="s">
        <v>447</v>
      </c>
      <c r="G520" s="13" t="s">
        <v>447</v>
      </c>
      <c r="H520" s="13" t="s">
        <v>1415</v>
      </c>
      <c r="I520" s="13" t="s">
        <v>11253</v>
      </c>
      <c r="J520" s="13" t="s">
        <v>1363</v>
      </c>
      <c r="K520" s="13" t="s">
        <v>447</v>
      </c>
      <c r="L520" s="13" t="s">
        <v>447</v>
      </c>
      <c r="M520" s="13" t="s">
        <v>1363</v>
      </c>
      <c r="N520" s="13" t="s">
        <v>9626</v>
      </c>
      <c r="O520" s="13" t="s">
        <v>11254</v>
      </c>
      <c r="P520" s="15">
        <v>732</v>
      </c>
      <c r="R520" s="13" t="s">
        <v>11253</v>
      </c>
      <c r="S520" s="13" t="s">
        <v>1363</v>
      </c>
      <c r="X520" s="13" t="s">
        <v>10296</v>
      </c>
      <c r="Z520" s="13" t="s">
        <v>1363</v>
      </c>
      <c r="AB520" s="13" t="s">
        <v>447</v>
      </c>
      <c r="AC520" s="21">
        <v>43586.395520833335</v>
      </c>
      <c r="AD520" s="21">
        <v>44383.466423611113</v>
      </c>
      <c r="AE520" s="13" t="s">
        <v>9629</v>
      </c>
      <c r="AF520" s="13" t="s">
        <v>9860</v>
      </c>
    </row>
    <row r="521" spans="1:32">
      <c r="A521" s="13" t="s">
        <v>11255</v>
      </c>
      <c r="B521" s="13" t="s">
        <v>1438</v>
      </c>
      <c r="C521" s="13" t="s">
        <v>1363</v>
      </c>
      <c r="D521" s="13" t="s">
        <v>1150</v>
      </c>
      <c r="E521" s="13" t="s">
        <v>1363</v>
      </c>
      <c r="F521" s="13" t="s">
        <v>447</v>
      </c>
      <c r="G521" s="13" t="s">
        <v>447</v>
      </c>
      <c r="H521" s="13" t="s">
        <v>1415</v>
      </c>
      <c r="I521" s="13" t="s">
        <v>11256</v>
      </c>
      <c r="J521" s="13" t="s">
        <v>1363</v>
      </c>
      <c r="K521" s="13" t="s">
        <v>447</v>
      </c>
      <c r="L521" s="13" t="s">
        <v>447</v>
      </c>
      <c r="M521" s="13" t="s">
        <v>1363</v>
      </c>
      <c r="N521" s="13" t="s">
        <v>9626</v>
      </c>
      <c r="O521" s="13" t="s">
        <v>11257</v>
      </c>
      <c r="P521" s="15">
        <v>732</v>
      </c>
      <c r="R521" s="13" t="s">
        <v>11256</v>
      </c>
      <c r="S521" s="13" t="s">
        <v>1363</v>
      </c>
      <c r="X521" s="13" t="s">
        <v>10296</v>
      </c>
      <c r="Z521" s="13" t="s">
        <v>1363</v>
      </c>
      <c r="AB521" s="13" t="s">
        <v>447</v>
      </c>
      <c r="AC521" s="21">
        <v>43586.422372685185</v>
      </c>
      <c r="AD521" s="21">
        <v>44383.466620370367</v>
      </c>
      <c r="AE521" s="13" t="s">
        <v>9629</v>
      </c>
      <c r="AF521" s="13" t="s">
        <v>9860</v>
      </c>
    </row>
    <row r="522" spans="1:32">
      <c r="A522" s="13" t="s">
        <v>11258</v>
      </c>
      <c r="B522" s="13" t="s">
        <v>1150</v>
      </c>
      <c r="C522" s="13" t="s">
        <v>1363</v>
      </c>
      <c r="D522" s="13" t="s">
        <v>1150</v>
      </c>
      <c r="E522" s="13" t="s">
        <v>1363</v>
      </c>
      <c r="F522" s="13" t="s">
        <v>447</v>
      </c>
      <c r="G522" s="13" t="s">
        <v>447</v>
      </c>
      <c r="H522" s="13" t="s">
        <v>1150</v>
      </c>
      <c r="I522" s="13" t="s">
        <v>11259</v>
      </c>
      <c r="J522" s="13" t="s">
        <v>447</v>
      </c>
      <c r="K522" s="13" t="s">
        <v>1363</v>
      </c>
      <c r="L522" s="13" t="s">
        <v>447</v>
      </c>
      <c r="M522" s="13" t="s">
        <v>1363</v>
      </c>
      <c r="N522" s="13" t="s">
        <v>9626</v>
      </c>
      <c r="O522" s="13" t="s">
        <v>10159</v>
      </c>
      <c r="P522" s="15">
        <v>367</v>
      </c>
      <c r="R522" s="13" t="s">
        <v>11259</v>
      </c>
      <c r="S522" s="13" t="s">
        <v>1363</v>
      </c>
      <c r="T522" s="13" t="s">
        <v>11260</v>
      </c>
      <c r="U522" s="13" t="s">
        <v>9734</v>
      </c>
      <c r="V522" s="13" t="s">
        <v>9735</v>
      </c>
      <c r="W522" s="13" t="s">
        <v>9736</v>
      </c>
      <c r="X522" s="13" t="s">
        <v>9658</v>
      </c>
      <c r="Z522" s="13" t="s">
        <v>1363</v>
      </c>
      <c r="AA522" s="13" t="s">
        <v>9737</v>
      </c>
      <c r="AB522" s="13" t="s">
        <v>447</v>
      </c>
      <c r="AC522" s="21">
        <v>43644.09746527778</v>
      </c>
      <c r="AD522" s="21">
        <v>43644.09746527778</v>
      </c>
      <c r="AE522" s="13" t="s">
        <v>9795</v>
      </c>
      <c r="AF522" s="13" t="s">
        <v>9795</v>
      </c>
    </row>
    <row r="523" spans="1:32">
      <c r="A523" s="13" t="s">
        <v>11261</v>
      </c>
      <c r="B523" s="13" t="s">
        <v>1150</v>
      </c>
      <c r="C523" s="13" t="s">
        <v>1363</v>
      </c>
      <c r="D523" s="13" t="s">
        <v>1150</v>
      </c>
      <c r="E523" s="13" t="s">
        <v>1363</v>
      </c>
      <c r="F523" s="13" t="s">
        <v>447</v>
      </c>
      <c r="G523" s="13" t="s">
        <v>447</v>
      </c>
      <c r="H523" s="13" t="s">
        <v>1367</v>
      </c>
      <c r="I523" s="13" t="s">
        <v>11262</v>
      </c>
      <c r="J523" s="13" t="s">
        <v>447</v>
      </c>
      <c r="K523" s="13" t="s">
        <v>1363</v>
      </c>
      <c r="L523" s="13" t="s">
        <v>447</v>
      </c>
      <c r="M523" s="13" t="s">
        <v>1363</v>
      </c>
      <c r="N523" s="13" t="s">
        <v>9626</v>
      </c>
      <c r="O523" s="13" t="s">
        <v>11263</v>
      </c>
      <c r="P523" s="15">
        <v>732</v>
      </c>
      <c r="R523" s="13" t="s">
        <v>11264</v>
      </c>
      <c r="S523" s="13" t="s">
        <v>1363</v>
      </c>
      <c r="X523" s="13" t="s">
        <v>10293</v>
      </c>
      <c r="Z523" s="13" t="s">
        <v>1363</v>
      </c>
      <c r="AB523" s="13" t="s">
        <v>447</v>
      </c>
      <c r="AC523" s="21">
        <v>43902.404016203705</v>
      </c>
      <c r="AD523" s="21">
        <v>44048.398194444446</v>
      </c>
      <c r="AE523" s="13" t="s">
        <v>9860</v>
      </c>
      <c r="AF523" s="13" t="s">
        <v>9860</v>
      </c>
    </row>
    <row r="524" spans="1:32">
      <c r="A524" s="13" t="s">
        <v>11265</v>
      </c>
      <c r="B524" s="13" t="s">
        <v>1150</v>
      </c>
      <c r="C524" s="13" t="s">
        <v>1363</v>
      </c>
      <c r="D524" s="13" t="s">
        <v>1150</v>
      </c>
      <c r="E524" s="13" t="s">
        <v>1363</v>
      </c>
      <c r="F524" s="13" t="s">
        <v>447</v>
      </c>
      <c r="G524" s="13" t="s">
        <v>447</v>
      </c>
      <c r="H524" s="13" t="s">
        <v>1367</v>
      </c>
      <c r="I524" s="13" t="s">
        <v>11266</v>
      </c>
      <c r="J524" s="13" t="s">
        <v>447</v>
      </c>
      <c r="K524" s="13" t="s">
        <v>1363</v>
      </c>
      <c r="L524" s="13" t="s">
        <v>447</v>
      </c>
      <c r="M524" s="13" t="s">
        <v>1363</v>
      </c>
      <c r="N524" s="13" t="s">
        <v>9626</v>
      </c>
      <c r="O524" s="13" t="s">
        <v>11267</v>
      </c>
      <c r="P524" s="15">
        <v>732</v>
      </c>
      <c r="R524" s="13" t="s">
        <v>11268</v>
      </c>
      <c r="S524" s="13" t="s">
        <v>1363</v>
      </c>
      <c r="X524" s="13" t="s">
        <v>10293</v>
      </c>
      <c r="Z524" s="13" t="s">
        <v>1363</v>
      </c>
      <c r="AB524" s="13" t="s">
        <v>447</v>
      </c>
      <c r="AC524" s="21">
        <v>43903.318287037036</v>
      </c>
      <c r="AD524" s="21">
        <v>44048.399143518516</v>
      </c>
      <c r="AE524" s="13" t="s">
        <v>9860</v>
      </c>
      <c r="AF524" s="13" t="s">
        <v>9860</v>
      </c>
    </row>
    <row r="525" spans="1:32">
      <c r="A525" s="13" t="s">
        <v>11269</v>
      </c>
      <c r="B525" s="13" t="s">
        <v>1150</v>
      </c>
      <c r="C525" s="13" t="s">
        <v>1363</v>
      </c>
      <c r="D525" s="13" t="s">
        <v>1150</v>
      </c>
      <c r="E525" s="13" t="s">
        <v>1363</v>
      </c>
      <c r="F525" s="13" t="s">
        <v>447</v>
      </c>
      <c r="G525" s="13" t="s">
        <v>447</v>
      </c>
      <c r="H525" s="13" t="s">
        <v>1367</v>
      </c>
      <c r="I525" s="13" t="s">
        <v>11270</v>
      </c>
      <c r="J525" s="13" t="s">
        <v>447</v>
      </c>
      <c r="K525" s="13" t="s">
        <v>1363</v>
      </c>
      <c r="L525" s="13" t="s">
        <v>447</v>
      </c>
      <c r="M525" s="13" t="s">
        <v>1363</v>
      </c>
      <c r="N525" s="13" t="s">
        <v>9626</v>
      </c>
      <c r="O525" s="13" t="s">
        <v>11271</v>
      </c>
      <c r="P525" s="15">
        <v>732</v>
      </c>
      <c r="R525" s="13" t="s">
        <v>11272</v>
      </c>
      <c r="S525" s="13" t="s">
        <v>1363</v>
      </c>
      <c r="X525" s="13" t="s">
        <v>9658</v>
      </c>
      <c r="Z525" s="13" t="s">
        <v>1363</v>
      </c>
      <c r="AB525" s="13" t="s">
        <v>447</v>
      </c>
      <c r="AC525" s="21">
        <v>43906.430717592593</v>
      </c>
      <c r="AD525" s="21">
        <v>43906.430717592593</v>
      </c>
      <c r="AE525" s="13" t="s">
        <v>9860</v>
      </c>
      <c r="AF525" s="13" t="s">
        <v>9860</v>
      </c>
    </row>
    <row r="526" spans="1:32">
      <c r="A526" s="13" t="s">
        <v>11273</v>
      </c>
      <c r="B526" s="13" t="s">
        <v>1150</v>
      </c>
      <c r="C526" s="13" t="s">
        <v>1363</v>
      </c>
      <c r="D526" s="13" t="s">
        <v>1150</v>
      </c>
      <c r="E526" s="13" t="s">
        <v>1363</v>
      </c>
      <c r="F526" s="13" t="s">
        <v>447</v>
      </c>
      <c r="G526" s="13" t="s">
        <v>447</v>
      </c>
      <c r="H526" s="13" t="s">
        <v>1367</v>
      </c>
      <c r="I526" s="13" t="s">
        <v>11274</v>
      </c>
      <c r="J526" s="13" t="s">
        <v>447</v>
      </c>
      <c r="K526" s="13" t="s">
        <v>1363</v>
      </c>
      <c r="L526" s="13" t="s">
        <v>447</v>
      </c>
      <c r="M526" s="13" t="s">
        <v>1363</v>
      </c>
      <c r="N526" s="13" t="s">
        <v>9626</v>
      </c>
      <c r="O526" s="13" t="s">
        <v>11275</v>
      </c>
      <c r="P526" s="15">
        <v>732</v>
      </c>
      <c r="R526" s="13" t="s">
        <v>11276</v>
      </c>
      <c r="S526" s="13" t="s">
        <v>1363</v>
      </c>
      <c r="X526" s="13" t="s">
        <v>10293</v>
      </c>
      <c r="Z526" s="13" t="s">
        <v>1363</v>
      </c>
      <c r="AB526" s="13" t="s">
        <v>447</v>
      </c>
      <c r="AC526" s="21">
        <v>43913.432326388887</v>
      </c>
      <c r="AD526" s="21">
        <v>44048.398564814815</v>
      </c>
      <c r="AE526" s="13" t="s">
        <v>9860</v>
      </c>
      <c r="AF526" s="13" t="s">
        <v>9860</v>
      </c>
    </row>
    <row r="527" spans="1:32">
      <c r="A527" s="13" t="s">
        <v>11277</v>
      </c>
      <c r="B527" s="13" t="s">
        <v>1150</v>
      </c>
      <c r="C527" s="13" t="s">
        <v>1363</v>
      </c>
      <c r="D527" s="13" t="s">
        <v>1150</v>
      </c>
      <c r="E527" s="13" t="s">
        <v>1363</v>
      </c>
      <c r="F527" s="13" t="s">
        <v>447</v>
      </c>
      <c r="G527" s="13" t="s">
        <v>447</v>
      </c>
      <c r="H527" s="13" t="s">
        <v>1367</v>
      </c>
      <c r="I527" s="13" t="s">
        <v>11278</v>
      </c>
      <c r="J527" s="13" t="s">
        <v>447</v>
      </c>
      <c r="K527" s="13" t="s">
        <v>1363</v>
      </c>
      <c r="L527" s="13" t="s">
        <v>447</v>
      </c>
      <c r="M527" s="13" t="s">
        <v>1363</v>
      </c>
      <c r="N527" s="13" t="s">
        <v>9626</v>
      </c>
      <c r="O527" s="13" t="s">
        <v>11279</v>
      </c>
      <c r="P527" s="15">
        <v>732</v>
      </c>
      <c r="S527" s="13" t="s">
        <v>1363</v>
      </c>
      <c r="X527" s="13" t="s">
        <v>10293</v>
      </c>
      <c r="Z527" s="13" t="s">
        <v>1363</v>
      </c>
      <c r="AB527" s="13" t="s">
        <v>447</v>
      </c>
      <c r="AC527" s="21">
        <v>43949.315717592595</v>
      </c>
      <c r="AD527" s="21">
        <v>43957.461898148147</v>
      </c>
      <c r="AE527" s="13" t="s">
        <v>9860</v>
      </c>
      <c r="AF527" s="13" t="s">
        <v>9860</v>
      </c>
    </row>
    <row r="528" spans="1:32">
      <c r="A528" s="13" t="s">
        <v>11280</v>
      </c>
      <c r="B528" s="13" t="s">
        <v>1150</v>
      </c>
      <c r="C528" s="13" t="s">
        <v>1363</v>
      </c>
      <c r="D528" s="13" t="s">
        <v>1150</v>
      </c>
      <c r="E528" s="13" t="s">
        <v>1363</v>
      </c>
      <c r="F528" s="13" t="s">
        <v>447</v>
      </c>
      <c r="G528" s="13" t="s">
        <v>447</v>
      </c>
      <c r="H528" s="13" t="s">
        <v>1150</v>
      </c>
      <c r="I528" s="13" t="s">
        <v>11281</v>
      </c>
      <c r="J528" s="13" t="s">
        <v>447</v>
      </c>
      <c r="K528" s="13" t="s">
        <v>1363</v>
      </c>
      <c r="L528" s="13" t="s">
        <v>447</v>
      </c>
      <c r="M528" s="13" t="s">
        <v>1363</v>
      </c>
      <c r="N528" s="13" t="s">
        <v>9626</v>
      </c>
      <c r="O528" s="13" t="s">
        <v>9667</v>
      </c>
      <c r="P528" s="15">
        <v>367</v>
      </c>
      <c r="R528" s="13" t="s">
        <v>11281</v>
      </c>
      <c r="S528" s="13" t="s">
        <v>447</v>
      </c>
      <c r="T528" s="13" t="s">
        <v>11282</v>
      </c>
      <c r="U528" s="13" t="s">
        <v>9734</v>
      </c>
      <c r="V528" s="13" t="s">
        <v>9735</v>
      </c>
      <c r="W528" s="13" t="s">
        <v>9736</v>
      </c>
      <c r="X528" s="13" t="s">
        <v>9658</v>
      </c>
      <c r="Z528" s="13" t="s">
        <v>1363</v>
      </c>
      <c r="AA528" s="13" t="s">
        <v>9737</v>
      </c>
      <c r="AB528" s="13" t="s">
        <v>447</v>
      </c>
      <c r="AC528" s="21">
        <v>44062.529224537036</v>
      </c>
      <c r="AD528" s="21">
        <v>44062.529224537036</v>
      </c>
      <c r="AE528" s="13" t="s">
        <v>9795</v>
      </c>
      <c r="AF528" s="13" t="s">
        <v>9795</v>
      </c>
    </row>
    <row r="529" spans="1:32">
      <c r="A529" s="13" t="s">
        <v>11283</v>
      </c>
      <c r="B529" s="13" t="s">
        <v>1150</v>
      </c>
      <c r="C529" s="13" t="s">
        <v>1363</v>
      </c>
      <c r="D529" s="13" t="s">
        <v>1150</v>
      </c>
      <c r="E529" s="13" t="s">
        <v>1363</v>
      </c>
      <c r="F529" s="13" t="s">
        <v>447</v>
      </c>
      <c r="G529" s="13" t="s">
        <v>447</v>
      </c>
      <c r="H529" s="13" t="s">
        <v>1150</v>
      </c>
      <c r="I529" s="13" t="s">
        <v>11284</v>
      </c>
      <c r="J529" s="13" t="s">
        <v>447</v>
      </c>
      <c r="K529" s="13" t="s">
        <v>1363</v>
      </c>
      <c r="L529" s="13" t="s">
        <v>447</v>
      </c>
      <c r="M529" s="13" t="s">
        <v>1363</v>
      </c>
      <c r="N529" s="13" t="s">
        <v>9626</v>
      </c>
      <c r="O529" s="13" t="s">
        <v>10171</v>
      </c>
      <c r="P529" s="15">
        <v>367</v>
      </c>
      <c r="R529" s="13" t="s">
        <v>11284</v>
      </c>
      <c r="S529" s="13" t="s">
        <v>1363</v>
      </c>
      <c r="T529" s="13" t="s">
        <v>11285</v>
      </c>
      <c r="U529" s="13" t="s">
        <v>9734</v>
      </c>
      <c r="V529" s="13" t="s">
        <v>9735</v>
      </c>
      <c r="W529" s="13" t="s">
        <v>9736</v>
      </c>
      <c r="X529" s="13" t="s">
        <v>9658</v>
      </c>
      <c r="Z529" s="13" t="s">
        <v>1363</v>
      </c>
      <c r="AA529" s="13" t="s">
        <v>9737</v>
      </c>
      <c r="AB529" s="13" t="s">
        <v>447</v>
      </c>
      <c r="AC529" s="21">
        <v>44062.530451388891</v>
      </c>
      <c r="AD529" s="21">
        <v>44062.530451388891</v>
      </c>
      <c r="AE529" s="13" t="s">
        <v>9795</v>
      </c>
      <c r="AF529" s="13" t="s">
        <v>9795</v>
      </c>
    </row>
    <row r="530" spans="1:32">
      <c r="A530" s="13" t="s">
        <v>11286</v>
      </c>
      <c r="B530" s="13" t="s">
        <v>1150</v>
      </c>
      <c r="C530" s="13" t="s">
        <v>1363</v>
      </c>
      <c r="D530" s="13" t="s">
        <v>1150</v>
      </c>
      <c r="E530" s="13" t="s">
        <v>1363</v>
      </c>
      <c r="F530" s="13" t="s">
        <v>447</v>
      </c>
      <c r="G530" s="13" t="s">
        <v>447</v>
      </c>
      <c r="H530" s="13" t="s">
        <v>1150</v>
      </c>
      <c r="I530" s="13" t="s">
        <v>11287</v>
      </c>
      <c r="J530" s="13" t="s">
        <v>447</v>
      </c>
      <c r="K530" s="13" t="s">
        <v>1363</v>
      </c>
      <c r="L530" s="13" t="s">
        <v>447</v>
      </c>
      <c r="M530" s="13" t="s">
        <v>1363</v>
      </c>
      <c r="N530" s="13" t="s">
        <v>9626</v>
      </c>
      <c r="O530" s="13" t="s">
        <v>10159</v>
      </c>
      <c r="P530" s="15">
        <v>367</v>
      </c>
      <c r="R530" s="13" t="s">
        <v>11287</v>
      </c>
      <c r="S530" s="13" t="s">
        <v>1363</v>
      </c>
      <c r="T530" s="13" t="s">
        <v>11288</v>
      </c>
      <c r="U530" s="13" t="s">
        <v>9734</v>
      </c>
      <c r="V530" s="13" t="s">
        <v>9735</v>
      </c>
      <c r="W530" s="13" t="s">
        <v>9736</v>
      </c>
      <c r="X530" s="13" t="s">
        <v>9658</v>
      </c>
      <c r="Z530" s="13" t="s">
        <v>1363</v>
      </c>
      <c r="AA530" s="13" t="s">
        <v>9737</v>
      </c>
      <c r="AB530" s="13" t="s">
        <v>447</v>
      </c>
      <c r="AC530" s="21">
        <v>44167.312696759262</v>
      </c>
      <c r="AD530" s="21">
        <v>44167.312696759262</v>
      </c>
      <c r="AE530" s="13" t="s">
        <v>9795</v>
      </c>
      <c r="AF530" s="13" t="s">
        <v>9795</v>
      </c>
    </row>
    <row r="531" spans="1:32">
      <c r="A531" s="13" t="s">
        <v>11289</v>
      </c>
      <c r="B531" s="13" t="s">
        <v>1150</v>
      </c>
      <c r="C531" s="13" t="s">
        <v>1363</v>
      </c>
      <c r="D531" s="13" t="s">
        <v>1150</v>
      </c>
      <c r="E531" s="13" t="s">
        <v>1363</v>
      </c>
      <c r="F531" s="13" t="s">
        <v>447</v>
      </c>
      <c r="G531" s="13" t="s">
        <v>447</v>
      </c>
      <c r="H531" s="13" t="s">
        <v>1150</v>
      </c>
      <c r="I531" s="13" t="s">
        <v>11290</v>
      </c>
      <c r="J531" s="13" t="s">
        <v>447</v>
      </c>
      <c r="K531" s="13" t="s">
        <v>1363</v>
      </c>
      <c r="L531" s="13" t="s">
        <v>447</v>
      </c>
      <c r="M531" s="13" t="s">
        <v>1363</v>
      </c>
      <c r="N531" s="13" t="s">
        <v>9626</v>
      </c>
      <c r="O531" s="13" t="s">
        <v>10171</v>
      </c>
      <c r="P531" s="15">
        <v>367</v>
      </c>
      <c r="R531" s="13" t="s">
        <v>11290</v>
      </c>
      <c r="S531" s="13" t="s">
        <v>1363</v>
      </c>
      <c r="T531" s="13" t="s">
        <v>11291</v>
      </c>
      <c r="U531" s="13" t="s">
        <v>9734</v>
      </c>
      <c r="V531" s="13" t="s">
        <v>9735</v>
      </c>
      <c r="W531" s="13" t="s">
        <v>9736</v>
      </c>
      <c r="X531" s="13" t="s">
        <v>9658</v>
      </c>
      <c r="Z531" s="13" t="s">
        <v>1363</v>
      </c>
      <c r="AA531" s="13" t="s">
        <v>9737</v>
      </c>
      <c r="AB531" s="13" t="s">
        <v>447</v>
      </c>
      <c r="AC531" s="21">
        <v>44470.552557870367</v>
      </c>
      <c r="AD531" s="21">
        <v>44470.552557870367</v>
      </c>
      <c r="AE531" s="13" t="s">
        <v>9795</v>
      </c>
      <c r="AF531" s="13" t="s">
        <v>9795</v>
      </c>
    </row>
    <row r="532" spans="1:32">
      <c r="A532" s="13" t="s">
        <v>11292</v>
      </c>
      <c r="B532" s="13" t="s">
        <v>1150</v>
      </c>
      <c r="C532" s="13" t="s">
        <v>1363</v>
      </c>
      <c r="D532" s="13" t="s">
        <v>1150</v>
      </c>
      <c r="E532" s="13" t="s">
        <v>1363</v>
      </c>
      <c r="F532" s="13" t="s">
        <v>447</v>
      </c>
      <c r="G532" s="13" t="s">
        <v>447</v>
      </c>
      <c r="H532" s="13" t="s">
        <v>1150</v>
      </c>
      <c r="I532" s="13" t="s">
        <v>11293</v>
      </c>
      <c r="J532" s="13" t="s">
        <v>447</v>
      </c>
      <c r="K532" s="13" t="s">
        <v>1363</v>
      </c>
      <c r="L532" s="13" t="s">
        <v>447</v>
      </c>
      <c r="M532" s="13" t="s">
        <v>1363</v>
      </c>
      <c r="N532" s="13" t="s">
        <v>9626</v>
      </c>
      <c r="O532" s="13" t="s">
        <v>10159</v>
      </c>
      <c r="P532" s="15">
        <v>367</v>
      </c>
      <c r="R532" s="13" t="s">
        <v>11293</v>
      </c>
      <c r="S532" s="13" t="s">
        <v>1363</v>
      </c>
      <c r="T532" s="13" t="s">
        <v>11294</v>
      </c>
      <c r="U532" s="13" t="s">
        <v>9734</v>
      </c>
      <c r="V532" s="13" t="s">
        <v>9735</v>
      </c>
      <c r="W532" s="13" t="s">
        <v>9736</v>
      </c>
      <c r="X532" s="13" t="s">
        <v>9658</v>
      </c>
      <c r="Z532" s="13" t="s">
        <v>1363</v>
      </c>
      <c r="AA532" s="13" t="s">
        <v>9737</v>
      </c>
      <c r="AB532" s="13" t="s">
        <v>447</v>
      </c>
      <c r="AC532" s="21">
        <v>44470.557928240742</v>
      </c>
      <c r="AD532" s="21">
        <v>44470.557928240742</v>
      </c>
      <c r="AE532" s="13" t="s">
        <v>9795</v>
      </c>
      <c r="AF532" s="13" t="s">
        <v>9795</v>
      </c>
    </row>
    <row r="533" spans="1:32">
      <c r="A533" s="13" t="s">
        <v>11295</v>
      </c>
      <c r="B533" s="13" t="s">
        <v>1150</v>
      </c>
      <c r="C533" s="13" t="s">
        <v>1363</v>
      </c>
      <c r="D533" s="13" t="s">
        <v>1150</v>
      </c>
      <c r="E533" s="13" t="s">
        <v>1363</v>
      </c>
      <c r="F533" s="13" t="s">
        <v>447</v>
      </c>
      <c r="G533" s="13" t="s">
        <v>447</v>
      </c>
      <c r="H533" s="13" t="s">
        <v>1150</v>
      </c>
      <c r="I533" s="13" t="s">
        <v>11296</v>
      </c>
      <c r="J533" s="13" t="s">
        <v>447</v>
      </c>
      <c r="K533" s="13" t="s">
        <v>1363</v>
      </c>
      <c r="L533" s="13" t="s">
        <v>447</v>
      </c>
      <c r="M533" s="13" t="s">
        <v>1363</v>
      </c>
      <c r="N533" s="13" t="s">
        <v>9626</v>
      </c>
      <c r="O533" s="13" t="s">
        <v>9667</v>
      </c>
      <c r="P533" s="15">
        <v>367</v>
      </c>
      <c r="R533" s="13" t="s">
        <v>11296</v>
      </c>
      <c r="S533" s="13" t="s">
        <v>447</v>
      </c>
      <c r="T533" s="13" t="s">
        <v>11297</v>
      </c>
      <c r="U533" s="13" t="s">
        <v>9734</v>
      </c>
      <c r="V533" s="13" t="s">
        <v>9735</v>
      </c>
      <c r="W533" s="13" t="s">
        <v>9736</v>
      </c>
      <c r="X533" s="13" t="s">
        <v>9658</v>
      </c>
      <c r="Z533" s="13" t="s">
        <v>1363</v>
      </c>
      <c r="AA533" s="13" t="s">
        <v>9737</v>
      </c>
      <c r="AB533" s="13" t="s">
        <v>447</v>
      </c>
      <c r="AC533" s="21">
        <v>44582.393773148149</v>
      </c>
      <c r="AD533" s="21">
        <v>44582.393773148149</v>
      </c>
      <c r="AE533" s="13" t="s">
        <v>9795</v>
      </c>
      <c r="AF533" s="13" t="s">
        <v>9795</v>
      </c>
    </row>
    <row r="534" spans="1:32">
      <c r="A534" s="13" t="s">
        <v>11298</v>
      </c>
      <c r="B534" s="13" t="s">
        <v>1438</v>
      </c>
      <c r="C534" s="13" t="s">
        <v>1363</v>
      </c>
      <c r="D534" s="13" t="s">
        <v>1150</v>
      </c>
      <c r="E534" s="13" t="s">
        <v>1363</v>
      </c>
      <c r="F534" s="13" t="s">
        <v>447</v>
      </c>
      <c r="G534" s="13" t="s">
        <v>1363</v>
      </c>
      <c r="H534" s="13" t="s">
        <v>1415</v>
      </c>
      <c r="I534" s="13" t="s">
        <v>11299</v>
      </c>
      <c r="J534" s="13" t="s">
        <v>1363</v>
      </c>
      <c r="K534" s="13" t="s">
        <v>447</v>
      </c>
      <c r="L534" s="13" t="s">
        <v>447</v>
      </c>
      <c r="M534" s="13" t="s">
        <v>447</v>
      </c>
      <c r="N534" s="13" t="s">
        <v>9626</v>
      </c>
      <c r="O534" s="13" t="s">
        <v>11300</v>
      </c>
      <c r="P534" s="15">
        <v>732</v>
      </c>
      <c r="R534" s="13" t="s">
        <v>11299</v>
      </c>
      <c r="S534" s="13" t="s">
        <v>1363</v>
      </c>
      <c r="X534" s="13" t="s">
        <v>11016</v>
      </c>
      <c r="Z534" s="13" t="s">
        <v>1363</v>
      </c>
      <c r="AB534" s="13" t="s">
        <v>447</v>
      </c>
      <c r="AC534" s="21">
        <v>44712.471145833333</v>
      </c>
      <c r="AD534" s="21">
        <v>44754.644386574073</v>
      </c>
      <c r="AE534" s="13" t="s">
        <v>9795</v>
      </c>
      <c r="AF534" s="13" t="s">
        <v>9860</v>
      </c>
    </row>
    <row r="535" spans="1:32">
      <c r="A535" s="13" t="s">
        <v>11301</v>
      </c>
      <c r="B535" s="13" t="s">
        <v>1150</v>
      </c>
      <c r="C535" s="13" t="s">
        <v>1363</v>
      </c>
      <c r="D535" s="13" t="s">
        <v>1150</v>
      </c>
      <c r="E535" s="13" t="s">
        <v>1363</v>
      </c>
      <c r="F535" s="13" t="s">
        <v>447</v>
      </c>
      <c r="G535" s="13" t="s">
        <v>447</v>
      </c>
      <c r="H535" s="13" t="s">
        <v>1150</v>
      </c>
      <c r="I535" s="13" t="s">
        <v>11302</v>
      </c>
      <c r="J535" s="13" t="s">
        <v>447</v>
      </c>
      <c r="K535" s="13" t="s">
        <v>1363</v>
      </c>
      <c r="L535" s="13" t="s">
        <v>447</v>
      </c>
      <c r="M535" s="13" t="s">
        <v>1363</v>
      </c>
      <c r="N535" s="13" t="s">
        <v>9626</v>
      </c>
      <c r="O535" s="13" t="s">
        <v>9667</v>
      </c>
      <c r="P535" s="15">
        <v>367</v>
      </c>
      <c r="R535" s="13" t="s">
        <v>11302</v>
      </c>
      <c r="S535" s="13" t="s">
        <v>447</v>
      </c>
      <c r="T535" s="13" t="s">
        <v>11303</v>
      </c>
      <c r="U535" s="13" t="s">
        <v>9734</v>
      </c>
      <c r="V535" s="13" t="s">
        <v>9735</v>
      </c>
      <c r="W535" s="13" t="s">
        <v>9736</v>
      </c>
      <c r="X535" s="13" t="s">
        <v>9658</v>
      </c>
      <c r="Z535" s="13" t="s">
        <v>1363</v>
      </c>
      <c r="AA535" s="13" t="s">
        <v>9737</v>
      </c>
      <c r="AB535" s="13" t="s">
        <v>447</v>
      </c>
      <c r="AC535" s="21">
        <v>45176.556585648148</v>
      </c>
      <c r="AD535" s="21">
        <v>45176.556585648148</v>
      </c>
      <c r="AE535" s="13" t="s">
        <v>9795</v>
      </c>
      <c r="AF535" s="13" t="s">
        <v>9795</v>
      </c>
    </row>
    <row r="536" spans="1:32">
      <c r="A536" s="13" t="s">
        <v>11304</v>
      </c>
      <c r="B536" s="13" t="s">
        <v>1150</v>
      </c>
      <c r="C536" s="13" t="s">
        <v>1363</v>
      </c>
      <c r="D536" s="13" t="s">
        <v>1150</v>
      </c>
      <c r="E536" s="13" t="s">
        <v>1363</v>
      </c>
      <c r="F536" s="13" t="s">
        <v>447</v>
      </c>
      <c r="G536" s="13" t="s">
        <v>447</v>
      </c>
      <c r="H536" s="13" t="s">
        <v>1150</v>
      </c>
      <c r="I536" s="13" t="s">
        <v>11305</v>
      </c>
      <c r="J536" s="13" t="s">
        <v>447</v>
      </c>
      <c r="K536" s="13" t="s">
        <v>1363</v>
      </c>
      <c r="L536" s="13" t="s">
        <v>447</v>
      </c>
      <c r="M536" s="13" t="s">
        <v>1363</v>
      </c>
      <c r="N536" s="13" t="s">
        <v>9626</v>
      </c>
      <c r="O536" s="13" t="s">
        <v>10159</v>
      </c>
      <c r="P536" s="15">
        <v>367</v>
      </c>
      <c r="R536" s="13" t="s">
        <v>11305</v>
      </c>
      <c r="S536" s="13" t="s">
        <v>1363</v>
      </c>
      <c r="T536" s="13" t="s">
        <v>11306</v>
      </c>
      <c r="U536" s="13" t="s">
        <v>9734</v>
      </c>
      <c r="V536" s="13" t="s">
        <v>9735</v>
      </c>
      <c r="W536" s="13" t="s">
        <v>9736</v>
      </c>
      <c r="X536" s="13" t="s">
        <v>9658</v>
      </c>
      <c r="Z536" s="13" t="s">
        <v>1363</v>
      </c>
      <c r="AA536" s="13" t="s">
        <v>9737</v>
      </c>
      <c r="AB536" s="13" t="s">
        <v>447</v>
      </c>
      <c r="AC536" s="21">
        <v>44747.556539351855</v>
      </c>
      <c r="AD536" s="21">
        <v>44747.556539351855</v>
      </c>
      <c r="AE536" s="13" t="s">
        <v>9795</v>
      </c>
      <c r="AF536" s="13" t="s">
        <v>9795</v>
      </c>
    </row>
    <row r="537" spans="1:32">
      <c r="A537" s="13" t="s">
        <v>11307</v>
      </c>
      <c r="B537" s="13" t="s">
        <v>1150</v>
      </c>
      <c r="C537" s="13" t="s">
        <v>1363</v>
      </c>
      <c r="D537" s="13" t="s">
        <v>1150</v>
      </c>
      <c r="E537" s="13" t="s">
        <v>447</v>
      </c>
      <c r="F537" s="13" t="s">
        <v>447</v>
      </c>
      <c r="G537" s="13" t="s">
        <v>447</v>
      </c>
      <c r="H537" s="13" t="s">
        <v>1415</v>
      </c>
      <c r="I537" s="13" t="s">
        <v>11308</v>
      </c>
      <c r="J537" s="13" t="s">
        <v>447</v>
      </c>
      <c r="K537" s="13" t="s">
        <v>1363</v>
      </c>
      <c r="L537" s="13" t="s">
        <v>447</v>
      </c>
      <c r="M537" s="13" t="s">
        <v>1363</v>
      </c>
      <c r="N537" s="13" t="s">
        <v>9626</v>
      </c>
      <c r="O537" s="13" t="s">
        <v>11309</v>
      </c>
      <c r="P537" s="15">
        <v>44713</v>
      </c>
      <c r="R537" s="13" t="s">
        <v>11310</v>
      </c>
      <c r="S537" s="13" t="s">
        <v>1363</v>
      </c>
      <c r="X537" s="13" t="s">
        <v>9675</v>
      </c>
      <c r="Z537" s="13" t="s">
        <v>1363</v>
      </c>
      <c r="AB537" s="13" t="s">
        <v>447</v>
      </c>
      <c r="AC537" s="21">
        <v>45155.38853009259</v>
      </c>
      <c r="AD537" s="21">
        <v>45155.389050925929</v>
      </c>
      <c r="AE537" s="13" t="s">
        <v>11121</v>
      </c>
      <c r="AF537" s="13" t="s">
        <v>11121</v>
      </c>
    </row>
    <row r="538" spans="1:32">
      <c r="A538" s="13" t="s">
        <v>11311</v>
      </c>
      <c r="B538" s="13" t="s">
        <v>1150</v>
      </c>
      <c r="C538" s="13" t="s">
        <v>1363</v>
      </c>
      <c r="D538" s="13" t="s">
        <v>1150</v>
      </c>
      <c r="E538" s="13" t="s">
        <v>1363</v>
      </c>
      <c r="F538" s="13" t="s">
        <v>447</v>
      </c>
      <c r="G538" s="13" t="s">
        <v>1363</v>
      </c>
      <c r="H538" s="13" t="s">
        <v>1415</v>
      </c>
      <c r="I538" s="13" t="s">
        <v>11312</v>
      </c>
      <c r="J538" s="13" t="s">
        <v>447</v>
      </c>
      <c r="K538" s="13" t="s">
        <v>1363</v>
      </c>
      <c r="L538" s="13" t="s">
        <v>447</v>
      </c>
      <c r="M538" s="13" t="s">
        <v>447</v>
      </c>
      <c r="N538" s="13" t="s">
        <v>9626</v>
      </c>
      <c r="O538" s="13" t="s">
        <v>11313</v>
      </c>
      <c r="P538" s="15">
        <v>732</v>
      </c>
      <c r="R538" s="13" t="s">
        <v>11314</v>
      </c>
      <c r="S538" s="13" t="s">
        <v>1363</v>
      </c>
      <c r="X538" s="13" t="s">
        <v>11315</v>
      </c>
      <c r="Z538" s="13" t="s">
        <v>1363</v>
      </c>
      <c r="AB538" s="13" t="s">
        <v>447</v>
      </c>
      <c r="AC538" s="21">
        <v>45223.647581018522</v>
      </c>
      <c r="AD538" s="21">
        <v>45229.64135416667</v>
      </c>
      <c r="AE538" s="13" t="s">
        <v>9795</v>
      </c>
      <c r="AF538" s="13" t="s">
        <v>9795</v>
      </c>
    </row>
    <row r="539" spans="1:32">
      <c r="A539" s="13" t="s">
        <v>11316</v>
      </c>
      <c r="B539" s="13" t="s">
        <v>1150</v>
      </c>
      <c r="C539" s="13" t="s">
        <v>1363</v>
      </c>
      <c r="D539" s="13" t="s">
        <v>1150</v>
      </c>
      <c r="E539" s="13" t="s">
        <v>1363</v>
      </c>
      <c r="F539" s="13" t="s">
        <v>447</v>
      </c>
      <c r="G539" s="13" t="s">
        <v>447</v>
      </c>
      <c r="H539" s="13" t="s">
        <v>1150</v>
      </c>
      <c r="I539" s="13" t="s">
        <v>11317</v>
      </c>
      <c r="J539" s="13" t="s">
        <v>447</v>
      </c>
      <c r="K539" s="13" t="s">
        <v>1363</v>
      </c>
      <c r="L539" s="13" t="s">
        <v>447</v>
      </c>
      <c r="M539" s="13" t="s">
        <v>1363</v>
      </c>
      <c r="N539" s="13" t="s">
        <v>9626</v>
      </c>
      <c r="O539" s="13" t="s">
        <v>10159</v>
      </c>
      <c r="P539" s="15">
        <v>367</v>
      </c>
      <c r="R539" s="13" t="s">
        <v>11317</v>
      </c>
      <c r="S539" s="13" t="s">
        <v>1363</v>
      </c>
      <c r="T539" s="13" t="s">
        <v>11318</v>
      </c>
      <c r="U539" s="13" t="s">
        <v>9734</v>
      </c>
      <c r="V539" s="13" t="s">
        <v>9735</v>
      </c>
      <c r="W539" s="13" t="s">
        <v>9736</v>
      </c>
      <c r="X539" s="13" t="s">
        <v>9658</v>
      </c>
      <c r="Z539" s="13" t="s">
        <v>1363</v>
      </c>
      <c r="AA539" s="13" t="s">
        <v>9737</v>
      </c>
      <c r="AB539" s="13" t="s">
        <v>447</v>
      </c>
      <c r="AC539" s="21">
        <v>45421.906886574077</v>
      </c>
      <c r="AD539" s="21">
        <v>45421.906886574077</v>
      </c>
      <c r="AE539" s="13" t="s">
        <v>9795</v>
      </c>
      <c r="AF539" s="13" t="s">
        <v>9795</v>
      </c>
    </row>
    <row r="540" spans="1:32">
      <c r="A540" s="13" t="s">
        <v>11319</v>
      </c>
      <c r="B540" s="13" t="s">
        <v>1150</v>
      </c>
      <c r="C540" s="13" t="s">
        <v>1363</v>
      </c>
      <c r="D540" s="13" t="s">
        <v>1150</v>
      </c>
      <c r="E540" s="13" t="s">
        <v>1363</v>
      </c>
      <c r="F540" s="13" t="s">
        <v>447</v>
      </c>
      <c r="G540" s="13" t="s">
        <v>1363</v>
      </c>
      <c r="H540" s="13" t="s">
        <v>1415</v>
      </c>
      <c r="I540" s="13" t="s">
        <v>11320</v>
      </c>
      <c r="J540" s="13" t="s">
        <v>447</v>
      </c>
      <c r="K540" s="13" t="s">
        <v>1363</v>
      </c>
      <c r="L540" s="13" t="s">
        <v>447</v>
      </c>
      <c r="M540" s="13" t="s">
        <v>447</v>
      </c>
      <c r="N540" s="13" t="s">
        <v>9626</v>
      </c>
      <c r="O540" s="13" t="s">
        <v>11321</v>
      </c>
      <c r="P540" s="15">
        <v>368</v>
      </c>
      <c r="R540" s="13" t="s">
        <v>11320</v>
      </c>
      <c r="S540" s="13" t="s">
        <v>1363</v>
      </c>
      <c r="X540" s="13" t="s">
        <v>9628</v>
      </c>
      <c r="Z540" s="13" t="s">
        <v>1363</v>
      </c>
      <c r="AB540" s="13" t="s">
        <v>447</v>
      </c>
      <c r="AC540" s="21">
        <v>45405.630787037036</v>
      </c>
      <c r="AD540" s="21">
        <v>45405.630787037036</v>
      </c>
      <c r="AE540" s="13" t="s">
        <v>11121</v>
      </c>
      <c r="AF540" s="13" t="s">
        <v>11121</v>
      </c>
    </row>
    <row r="541" spans="1:32">
      <c r="A541" s="13" t="s">
        <v>11322</v>
      </c>
      <c r="B541" s="13" t="s">
        <v>1150</v>
      </c>
      <c r="C541" s="13" t="s">
        <v>1363</v>
      </c>
      <c r="D541" s="13" t="s">
        <v>1150</v>
      </c>
      <c r="E541" s="13" t="s">
        <v>1363</v>
      </c>
      <c r="F541" s="13" t="s">
        <v>1363</v>
      </c>
      <c r="G541" s="13" t="s">
        <v>1363</v>
      </c>
      <c r="H541" s="13" t="s">
        <v>1237</v>
      </c>
      <c r="I541" s="13" t="s">
        <v>11323</v>
      </c>
      <c r="J541" s="13" t="s">
        <v>1363</v>
      </c>
      <c r="K541" s="13" t="s">
        <v>1363</v>
      </c>
      <c r="L541" s="13" t="s">
        <v>1363</v>
      </c>
      <c r="M541" s="13" t="s">
        <v>1363</v>
      </c>
      <c r="N541" s="13" t="s">
        <v>9626</v>
      </c>
      <c r="P541" s="15">
        <v>367</v>
      </c>
      <c r="R541" s="13" t="s">
        <v>11324</v>
      </c>
      <c r="S541" s="13" t="s">
        <v>1363</v>
      </c>
      <c r="T541" s="13" t="s">
        <v>11325</v>
      </c>
      <c r="U541" s="13" t="s">
        <v>9724</v>
      </c>
      <c r="V541" s="13" t="s">
        <v>9725</v>
      </c>
      <c r="W541" s="13" t="s">
        <v>9726</v>
      </c>
      <c r="X541" s="13" t="s">
        <v>9713</v>
      </c>
      <c r="Z541" s="13" t="s">
        <v>1363</v>
      </c>
      <c r="AA541" s="13" t="s">
        <v>9728</v>
      </c>
      <c r="AB541" s="13" t="s">
        <v>447</v>
      </c>
      <c r="AC541" s="21">
        <v>44347.566979166666</v>
      </c>
      <c r="AD541" s="21">
        <v>44347.566979166666</v>
      </c>
      <c r="AE541" s="13" t="s">
        <v>9629</v>
      </c>
      <c r="AF541" s="13" t="s">
        <v>9629</v>
      </c>
    </row>
    <row r="542" spans="1:32">
      <c r="A542" s="13" t="s">
        <v>11326</v>
      </c>
      <c r="B542" s="13" t="s">
        <v>1150</v>
      </c>
      <c r="C542" s="13" t="s">
        <v>1363</v>
      </c>
      <c r="D542" s="13" t="s">
        <v>1150</v>
      </c>
      <c r="E542" s="13" t="s">
        <v>1363</v>
      </c>
      <c r="F542" s="13" t="s">
        <v>1363</v>
      </c>
      <c r="G542" s="13" t="s">
        <v>1363</v>
      </c>
      <c r="H542" s="13" t="s">
        <v>1237</v>
      </c>
      <c r="I542" s="13" t="s">
        <v>11327</v>
      </c>
      <c r="J542" s="13" t="s">
        <v>1363</v>
      </c>
      <c r="K542" s="13" t="s">
        <v>1363</v>
      </c>
      <c r="L542" s="13" t="s">
        <v>1363</v>
      </c>
      <c r="M542" s="13" t="s">
        <v>1363</v>
      </c>
      <c r="N542" s="13" t="s">
        <v>9626</v>
      </c>
      <c r="P542" s="15">
        <v>367</v>
      </c>
      <c r="R542" s="13" t="s">
        <v>11328</v>
      </c>
      <c r="S542" s="13" t="s">
        <v>1363</v>
      </c>
      <c r="T542" s="13" t="s">
        <v>11329</v>
      </c>
      <c r="U542" s="13" t="s">
        <v>9724</v>
      </c>
      <c r="V542" s="13" t="s">
        <v>9725</v>
      </c>
      <c r="W542" s="13" t="s">
        <v>9726</v>
      </c>
      <c r="X542" s="13" t="s">
        <v>9713</v>
      </c>
      <c r="Z542" s="13" t="s">
        <v>1363</v>
      </c>
      <c r="AA542" s="13" t="s">
        <v>9728</v>
      </c>
      <c r="AB542" s="13" t="s">
        <v>447</v>
      </c>
      <c r="AC542" s="21">
        <v>44347.568553240744</v>
      </c>
      <c r="AD542" s="21">
        <v>44347.568553240744</v>
      </c>
      <c r="AE542" s="13" t="s">
        <v>9629</v>
      </c>
      <c r="AF542" s="13" t="s">
        <v>9629</v>
      </c>
    </row>
    <row r="543" spans="1:32">
      <c r="A543" s="13" t="s">
        <v>11330</v>
      </c>
      <c r="B543" s="13" t="s">
        <v>1438</v>
      </c>
      <c r="C543" s="13" t="s">
        <v>1363</v>
      </c>
      <c r="D543" s="13" t="s">
        <v>1150</v>
      </c>
      <c r="E543" s="13" t="s">
        <v>1363</v>
      </c>
      <c r="F543" s="13" t="s">
        <v>447</v>
      </c>
      <c r="G543" s="13" t="s">
        <v>1363</v>
      </c>
      <c r="H543" s="13" t="s">
        <v>1415</v>
      </c>
      <c r="I543" s="13" t="s">
        <v>11331</v>
      </c>
      <c r="J543" s="13" t="s">
        <v>447</v>
      </c>
      <c r="K543" s="13" t="s">
        <v>447</v>
      </c>
      <c r="L543" s="13" t="s">
        <v>1363</v>
      </c>
      <c r="M543" s="13" t="s">
        <v>447</v>
      </c>
      <c r="N543" s="13" t="s">
        <v>9626</v>
      </c>
      <c r="O543" s="13" t="s">
        <v>11332</v>
      </c>
      <c r="P543" s="15">
        <v>368</v>
      </c>
      <c r="R543" s="13" t="s">
        <v>11331</v>
      </c>
      <c r="S543" s="13" t="s">
        <v>1363</v>
      </c>
      <c r="X543" s="13" t="s">
        <v>9628</v>
      </c>
      <c r="Z543" s="13" t="s">
        <v>447</v>
      </c>
      <c r="AB543" s="13" t="s">
        <v>447</v>
      </c>
      <c r="AC543" s="21">
        <v>44617.671261574076</v>
      </c>
      <c r="AD543" s="21">
        <v>44617.671261574076</v>
      </c>
      <c r="AE543" s="13" t="s">
        <v>9795</v>
      </c>
      <c r="AF543" s="13" t="s">
        <v>9795</v>
      </c>
    </row>
    <row r="544" spans="1:32">
      <c r="A544" s="13" t="s">
        <v>11333</v>
      </c>
      <c r="B544" s="13" t="s">
        <v>1438</v>
      </c>
      <c r="C544" s="13" t="s">
        <v>1363</v>
      </c>
      <c r="D544" s="13" t="s">
        <v>1150</v>
      </c>
      <c r="E544" s="13" t="s">
        <v>1363</v>
      </c>
      <c r="F544" s="13" t="s">
        <v>447</v>
      </c>
      <c r="G544" s="13" t="s">
        <v>1363</v>
      </c>
      <c r="H544" s="13" t="s">
        <v>1415</v>
      </c>
      <c r="I544" s="13" t="s">
        <v>11334</v>
      </c>
      <c r="J544" s="13" t="s">
        <v>1363</v>
      </c>
      <c r="K544" s="13" t="s">
        <v>447</v>
      </c>
      <c r="L544" s="13" t="s">
        <v>1363</v>
      </c>
      <c r="M544" s="13" t="s">
        <v>447</v>
      </c>
      <c r="N544" s="13" t="s">
        <v>9626</v>
      </c>
      <c r="O544" s="13" t="s">
        <v>11335</v>
      </c>
      <c r="P544" s="15">
        <v>368</v>
      </c>
      <c r="R544" s="13" t="s">
        <v>11334</v>
      </c>
      <c r="S544" s="13" t="s">
        <v>1363</v>
      </c>
      <c r="X544" s="13" t="s">
        <v>9628</v>
      </c>
      <c r="Z544" s="13" t="s">
        <v>1363</v>
      </c>
      <c r="AB544" s="13" t="s">
        <v>447</v>
      </c>
      <c r="AC544" s="21">
        <v>44617.721192129633</v>
      </c>
      <c r="AD544" s="21">
        <v>44672.532326388886</v>
      </c>
      <c r="AE544" s="13" t="s">
        <v>9795</v>
      </c>
      <c r="AF544" s="13" t="s">
        <v>9795</v>
      </c>
    </row>
    <row r="545" spans="1:32">
      <c r="A545" s="13" t="s">
        <v>11336</v>
      </c>
      <c r="B545" s="13" t="s">
        <v>1150</v>
      </c>
      <c r="C545" s="13" t="s">
        <v>1363</v>
      </c>
      <c r="D545" s="13" t="s">
        <v>1150</v>
      </c>
      <c r="E545" s="13" t="s">
        <v>1363</v>
      </c>
      <c r="F545" s="13" t="s">
        <v>447</v>
      </c>
      <c r="G545" s="13" t="s">
        <v>447</v>
      </c>
      <c r="H545" s="13" t="s">
        <v>1150</v>
      </c>
      <c r="I545" s="13" t="s">
        <v>11337</v>
      </c>
      <c r="J545" s="13" t="s">
        <v>447</v>
      </c>
      <c r="K545" s="13" t="s">
        <v>1363</v>
      </c>
      <c r="L545" s="13" t="s">
        <v>447</v>
      </c>
      <c r="M545" s="13" t="s">
        <v>1363</v>
      </c>
      <c r="N545" s="13" t="s">
        <v>9626</v>
      </c>
      <c r="O545" s="13" t="s">
        <v>9667</v>
      </c>
      <c r="P545" s="15">
        <v>367</v>
      </c>
      <c r="R545" s="13" t="s">
        <v>11337</v>
      </c>
      <c r="S545" s="13" t="s">
        <v>447</v>
      </c>
      <c r="T545" s="13" t="s">
        <v>11338</v>
      </c>
      <c r="U545" s="13" t="s">
        <v>9734</v>
      </c>
      <c r="V545" s="13" t="s">
        <v>9735</v>
      </c>
      <c r="W545" s="13" t="s">
        <v>9736</v>
      </c>
      <c r="X545" s="13" t="s">
        <v>9658</v>
      </c>
      <c r="Z545" s="13" t="s">
        <v>1363</v>
      </c>
      <c r="AA545" s="13" t="s">
        <v>9737</v>
      </c>
      <c r="AB545" s="13" t="s">
        <v>447</v>
      </c>
      <c r="AC545" s="21">
        <v>44747.562152777777</v>
      </c>
      <c r="AD545" s="21">
        <v>44747.562152777777</v>
      </c>
      <c r="AE545" s="13" t="s">
        <v>9795</v>
      </c>
      <c r="AF545" s="13" t="s">
        <v>9795</v>
      </c>
    </row>
    <row r="546" spans="1:32">
      <c r="A546" s="13" t="s">
        <v>11339</v>
      </c>
      <c r="B546" s="13" t="s">
        <v>1150</v>
      </c>
      <c r="C546" s="13" t="s">
        <v>1363</v>
      </c>
      <c r="D546" s="13" t="s">
        <v>1150</v>
      </c>
      <c r="E546" s="13" t="s">
        <v>1363</v>
      </c>
      <c r="F546" s="13" t="s">
        <v>447</v>
      </c>
      <c r="G546" s="13" t="s">
        <v>447</v>
      </c>
      <c r="H546" s="13" t="s">
        <v>1150</v>
      </c>
      <c r="I546" s="13" t="s">
        <v>11340</v>
      </c>
      <c r="J546" s="13" t="s">
        <v>447</v>
      </c>
      <c r="K546" s="13" t="s">
        <v>1363</v>
      </c>
      <c r="L546" s="13" t="s">
        <v>447</v>
      </c>
      <c r="M546" s="13" t="s">
        <v>1363</v>
      </c>
      <c r="N546" s="13" t="s">
        <v>9626</v>
      </c>
      <c r="O546" s="13" t="s">
        <v>10159</v>
      </c>
      <c r="P546" s="15">
        <v>367</v>
      </c>
      <c r="R546" s="13" t="s">
        <v>11340</v>
      </c>
      <c r="S546" s="13" t="s">
        <v>1363</v>
      </c>
      <c r="T546" s="13" t="s">
        <v>11341</v>
      </c>
      <c r="U546" s="13" t="s">
        <v>9734</v>
      </c>
      <c r="V546" s="13" t="s">
        <v>9735</v>
      </c>
      <c r="W546" s="13" t="s">
        <v>9736</v>
      </c>
      <c r="X546" s="13" t="s">
        <v>9658</v>
      </c>
      <c r="Z546" s="13" t="s">
        <v>1363</v>
      </c>
      <c r="AA546" s="13" t="s">
        <v>9737</v>
      </c>
      <c r="AB546" s="13" t="s">
        <v>447</v>
      </c>
      <c r="AC546" s="21">
        <v>45077.376458333332</v>
      </c>
      <c r="AD546" s="21">
        <v>45077.376458333332</v>
      </c>
      <c r="AE546" s="13" t="s">
        <v>11121</v>
      </c>
      <c r="AF546" s="13" t="s">
        <v>11121</v>
      </c>
    </row>
    <row r="547" spans="1:32">
      <c r="A547" s="13" t="s">
        <v>11342</v>
      </c>
      <c r="B547" s="13" t="s">
        <v>1150</v>
      </c>
      <c r="C547" s="13" t="s">
        <v>1363</v>
      </c>
      <c r="D547" s="13" t="s">
        <v>1150</v>
      </c>
      <c r="E547" s="13" t="s">
        <v>1363</v>
      </c>
      <c r="F547" s="13" t="s">
        <v>447</v>
      </c>
      <c r="G547" s="13" t="s">
        <v>447</v>
      </c>
      <c r="H547" s="13" t="s">
        <v>1150</v>
      </c>
      <c r="I547" s="13" t="s">
        <v>11343</v>
      </c>
      <c r="J547" s="13" t="s">
        <v>447</v>
      </c>
      <c r="K547" s="13" t="s">
        <v>1363</v>
      </c>
      <c r="L547" s="13" t="s">
        <v>447</v>
      </c>
      <c r="M547" s="13" t="s">
        <v>1363</v>
      </c>
      <c r="N547" s="13" t="s">
        <v>9626</v>
      </c>
      <c r="O547" s="13" t="s">
        <v>10171</v>
      </c>
      <c r="P547" s="15">
        <v>367</v>
      </c>
      <c r="R547" s="13" t="s">
        <v>11343</v>
      </c>
      <c r="S547" s="13" t="s">
        <v>1363</v>
      </c>
      <c r="T547" s="13" t="s">
        <v>11344</v>
      </c>
      <c r="U547" s="13" t="s">
        <v>9734</v>
      </c>
      <c r="V547" s="13" t="s">
        <v>9735</v>
      </c>
      <c r="W547" s="13" t="s">
        <v>9736</v>
      </c>
      <c r="X547" s="13" t="s">
        <v>9658</v>
      </c>
      <c r="Z547" s="13" t="s">
        <v>1363</v>
      </c>
      <c r="AA547" s="13" t="s">
        <v>9737</v>
      </c>
      <c r="AB547" s="13" t="s">
        <v>447</v>
      </c>
      <c r="AC547" s="21">
        <v>44747.555972222224</v>
      </c>
      <c r="AD547" s="21">
        <v>44747.555972222224</v>
      </c>
      <c r="AE547" s="13" t="s">
        <v>9795</v>
      </c>
      <c r="AF547" s="13" t="s">
        <v>9795</v>
      </c>
    </row>
    <row r="548" spans="1:32">
      <c r="A548" s="13" t="s">
        <v>11345</v>
      </c>
      <c r="B548" s="13" t="s">
        <v>1150</v>
      </c>
      <c r="C548" s="13" t="s">
        <v>1363</v>
      </c>
      <c r="D548" s="13" t="s">
        <v>1150</v>
      </c>
      <c r="E548" s="13" t="s">
        <v>1363</v>
      </c>
      <c r="F548" s="13" t="s">
        <v>447</v>
      </c>
      <c r="G548" s="13" t="s">
        <v>447</v>
      </c>
      <c r="H548" s="13" t="s">
        <v>1150</v>
      </c>
      <c r="I548" s="13" t="s">
        <v>11346</v>
      </c>
      <c r="J548" s="13" t="s">
        <v>447</v>
      </c>
      <c r="K548" s="13" t="s">
        <v>1363</v>
      </c>
      <c r="L548" s="13" t="s">
        <v>447</v>
      </c>
      <c r="M548" s="13" t="s">
        <v>1363</v>
      </c>
      <c r="N548" s="13" t="s">
        <v>9626</v>
      </c>
      <c r="O548" s="13" t="s">
        <v>10171</v>
      </c>
      <c r="P548" s="15">
        <v>367</v>
      </c>
      <c r="R548" s="13" t="s">
        <v>11346</v>
      </c>
      <c r="S548" s="13" t="s">
        <v>1363</v>
      </c>
      <c r="T548" s="13" t="s">
        <v>11347</v>
      </c>
      <c r="U548" s="13" t="s">
        <v>9734</v>
      </c>
      <c r="V548" s="13" t="s">
        <v>9735</v>
      </c>
      <c r="W548" s="13" t="s">
        <v>9736</v>
      </c>
      <c r="X548" s="13" t="s">
        <v>9658</v>
      </c>
      <c r="Z548" s="13" t="s">
        <v>1363</v>
      </c>
      <c r="AA548" s="13" t="s">
        <v>9737</v>
      </c>
      <c r="AB548" s="13" t="s">
        <v>447</v>
      </c>
      <c r="AC548" s="21">
        <v>45077.376469907409</v>
      </c>
      <c r="AD548" s="21">
        <v>45077.376469907409</v>
      </c>
      <c r="AE548" s="13" t="s">
        <v>11121</v>
      </c>
      <c r="AF548" s="13" t="s">
        <v>11121</v>
      </c>
    </row>
    <row r="549" spans="1:32">
      <c r="A549" s="13" t="s">
        <v>11348</v>
      </c>
      <c r="B549" s="13" t="s">
        <v>1150</v>
      </c>
      <c r="C549" s="13" t="s">
        <v>447</v>
      </c>
      <c r="D549" s="13" t="s">
        <v>1150</v>
      </c>
      <c r="E549" s="13" t="s">
        <v>1363</v>
      </c>
      <c r="F549" s="13" t="s">
        <v>447</v>
      </c>
      <c r="G549" s="13" t="s">
        <v>447</v>
      </c>
      <c r="H549" s="13" t="s">
        <v>1150</v>
      </c>
      <c r="I549" s="13" t="s">
        <v>11349</v>
      </c>
      <c r="J549" s="13" t="s">
        <v>447</v>
      </c>
      <c r="K549" s="13" t="s">
        <v>1363</v>
      </c>
      <c r="L549" s="13" t="s">
        <v>447</v>
      </c>
      <c r="M549" s="13" t="s">
        <v>1363</v>
      </c>
      <c r="N549" s="13" t="s">
        <v>9626</v>
      </c>
      <c r="O549" s="13" t="s">
        <v>11350</v>
      </c>
      <c r="P549" s="15">
        <v>44562</v>
      </c>
      <c r="R549" s="13" t="s">
        <v>11351</v>
      </c>
      <c r="S549" s="13" t="s">
        <v>1363</v>
      </c>
      <c r="X549" s="13" t="s">
        <v>9658</v>
      </c>
      <c r="Z549" s="13" t="s">
        <v>1363</v>
      </c>
      <c r="AB549" s="13" t="s">
        <v>447</v>
      </c>
      <c r="AC549" s="21">
        <v>45176.602337962962</v>
      </c>
      <c r="AD549" s="21">
        <v>45176.602337962962</v>
      </c>
      <c r="AE549" s="13" t="s">
        <v>11121</v>
      </c>
      <c r="AF549" s="13" t="s">
        <v>11121</v>
      </c>
    </row>
    <row r="550" spans="1:32">
      <c r="A550" s="13" t="s">
        <v>11352</v>
      </c>
      <c r="B550" s="13" t="s">
        <v>1150</v>
      </c>
      <c r="C550" s="13" t="s">
        <v>1363</v>
      </c>
      <c r="D550" s="13" t="s">
        <v>1150</v>
      </c>
      <c r="E550" s="13" t="s">
        <v>1363</v>
      </c>
      <c r="F550" s="13" t="s">
        <v>447</v>
      </c>
      <c r="G550" s="13" t="s">
        <v>447</v>
      </c>
      <c r="H550" s="13" t="s">
        <v>1150</v>
      </c>
      <c r="I550" s="13" t="s">
        <v>11353</v>
      </c>
      <c r="J550" s="13" t="s">
        <v>447</v>
      </c>
      <c r="K550" s="13" t="s">
        <v>1363</v>
      </c>
      <c r="L550" s="13" t="s">
        <v>447</v>
      </c>
      <c r="M550" s="13" t="s">
        <v>1363</v>
      </c>
      <c r="N550" s="13" t="s">
        <v>9626</v>
      </c>
      <c r="O550" s="13" t="s">
        <v>10171</v>
      </c>
      <c r="P550" s="15">
        <v>367</v>
      </c>
      <c r="R550" s="13" t="s">
        <v>11353</v>
      </c>
      <c r="S550" s="13" t="s">
        <v>1363</v>
      </c>
      <c r="T550" s="13" t="s">
        <v>11354</v>
      </c>
      <c r="U550" s="13" t="s">
        <v>9734</v>
      </c>
      <c r="V550" s="13" t="s">
        <v>9735</v>
      </c>
      <c r="W550" s="13" t="s">
        <v>9736</v>
      </c>
      <c r="X550" s="13" t="s">
        <v>9658</v>
      </c>
      <c r="Z550" s="13" t="s">
        <v>1363</v>
      </c>
      <c r="AA550" s="13" t="s">
        <v>9737</v>
      </c>
      <c r="AB550" s="13" t="s">
        <v>447</v>
      </c>
      <c r="AC550" s="21">
        <v>45421.869560185187</v>
      </c>
      <c r="AD550" s="21">
        <v>45421.869560185187</v>
      </c>
      <c r="AE550" s="13" t="s">
        <v>9795</v>
      </c>
      <c r="AF550" s="13" t="s">
        <v>9795</v>
      </c>
    </row>
    <row r="551" spans="1:32">
      <c r="A551" s="13" t="s">
        <v>11355</v>
      </c>
      <c r="B551" s="13" t="s">
        <v>1150</v>
      </c>
      <c r="C551" s="13" t="s">
        <v>1363</v>
      </c>
      <c r="D551" s="13" t="s">
        <v>1150</v>
      </c>
      <c r="E551" s="13" t="s">
        <v>1363</v>
      </c>
      <c r="F551" s="13" t="s">
        <v>447</v>
      </c>
      <c r="G551" s="13" t="s">
        <v>447</v>
      </c>
      <c r="H551" s="13" t="s">
        <v>1150</v>
      </c>
      <c r="I551" s="13" t="s">
        <v>11356</v>
      </c>
      <c r="J551" s="13" t="s">
        <v>447</v>
      </c>
      <c r="K551" s="13" t="s">
        <v>1363</v>
      </c>
      <c r="L551" s="13" t="s">
        <v>447</v>
      </c>
      <c r="M551" s="13" t="s">
        <v>1363</v>
      </c>
      <c r="N551" s="13" t="s">
        <v>9626</v>
      </c>
      <c r="O551" s="13" t="s">
        <v>9667</v>
      </c>
      <c r="P551" s="15">
        <v>367</v>
      </c>
      <c r="R551" s="13" t="s">
        <v>11356</v>
      </c>
      <c r="S551" s="13" t="s">
        <v>447</v>
      </c>
      <c r="T551" s="13" t="s">
        <v>11357</v>
      </c>
      <c r="U551" s="13" t="s">
        <v>9734</v>
      </c>
      <c r="V551" s="13" t="s">
        <v>9735</v>
      </c>
      <c r="W551" s="13" t="s">
        <v>9736</v>
      </c>
      <c r="X551" s="13" t="s">
        <v>9658</v>
      </c>
      <c r="Z551" s="13" t="s">
        <v>1363</v>
      </c>
      <c r="AA551" s="13" t="s">
        <v>9737</v>
      </c>
      <c r="AB551" s="13" t="s">
        <v>447</v>
      </c>
      <c r="AC551" s="21">
        <v>45421.892314814817</v>
      </c>
      <c r="AD551" s="21">
        <v>45421.892314814817</v>
      </c>
      <c r="AE551" s="13" t="s">
        <v>9795</v>
      </c>
      <c r="AF551" s="13" t="s">
        <v>9795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CC50E-13E6-480C-A1FF-801333CB5AF9}">
  <dimension ref="A1:F5"/>
  <sheetViews>
    <sheetView workbookViewId="0">
      <selection activeCell="C21" sqref="C21"/>
    </sheetView>
  </sheetViews>
  <sheetFormatPr defaultRowHeight="14.45"/>
  <cols>
    <col min="1" max="2" width="18.42578125" customWidth="1"/>
    <col min="3" max="3" width="70.28515625" bestFit="1" customWidth="1"/>
    <col min="4" max="6" width="20" customWidth="1"/>
  </cols>
  <sheetData>
    <row r="1" spans="1:6">
      <c r="A1" t="s">
        <v>1112</v>
      </c>
      <c r="B1" t="s">
        <v>1113</v>
      </c>
      <c r="C1" t="s">
        <v>100</v>
      </c>
      <c r="D1" t="s">
        <v>1114</v>
      </c>
      <c r="E1" t="s">
        <v>1115</v>
      </c>
      <c r="F1" t="s">
        <v>1116</v>
      </c>
    </row>
    <row r="2" spans="1:6">
      <c r="A2" t="s">
        <v>2535</v>
      </c>
      <c r="B2" t="s">
        <v>1146</v>
      </c>
      <c r="C2" t="s">
        <v>2536</v>
      </c>
    </row>
    <row r="3" spans="1:6">
      <c r="A3" t="s">
        <v>2535</v>
      </c>
      <c r="B3" t="s">
        <v>1154</v>
      </c>
      <c r="C3" t="s">
        <v>2539</v>
      </c>
    </row>
    <row r="4" spans="1:6">
      <c r="A4" t="s">
        <v>2535</v>
      </c>
      <c r="B4" t="s">
        <v>1373</v>
      </c>
      <c r="C4" t="s">
        <v>2538</v>
      </c>
    </row>
    <row r="5" spans="1:6">
      <c r="A5" t="s">
        <v>2535</v>
      </c>
      <c r="B5" t="s">
        <v>1369</v>
      </c>
      <c r="C5" t="s">
        <v>2537</v>
      </c>
    </row>
  </sheetData>
  <pageMargins left="0.7" right="0.7" top="0.75" bottom="0.75" header="0.3" footer="0.3"/>
  <headerFooter>
    <oddFooter>&amp;C_x000D_&amp;1#&amp;"Calibri"&amp;10&amp;K000000 OFFICIAL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AA39C-C7AC-42AD-B6FA-CE16CC9A1923}">
  <dimension ref="A1:B23"/>
  <sheetViews>
    <sheetView workbookViewId="0">
      <selection activeCell="A4" sqref="A4"/>
    </sheetView>
  </sheetViews>
  <sheetFormatPr defaultRowHeight="14.45"/>
  <cols>
    <col min="1" max="1" width="41.28515625" bestFit="1" customWidth="1"/>
    <col min="2" max="2" width="20.28515625" bestFit="1" customWidth="1"/>
  </cols>
  <sheetData>
    <row r="1" spans="1:2">
      <c r="A1" s="22" t="s">
        <v>1</v>
      </c>
      <c r="B1" t="s">
        <v>25</v>
      </c>
    </row>
    <row r="3" spans="1:2">
      <c r="A3" s="22" t="s">
        <v>11358</v>
      </c>
      <c r="B3" t="s">
        <v>11359</v>
      </c>
    </row>
    <row r="4" spans="1:2">
      <c r="A4" s="23" t="s">
        <v>26</v>
      </c>
      <c r="B4">
        <v>1</v>
      </c>
    </row>
    <row r="5" spans="1:2">
      <c r="A5" s="23" t="s">
        <v>1002</v>
      </c>
      <c r="B5">
        <v>6</v>
      </c>
    </row>
    <row r="6" spans="1:2">
      <c r="A6" s="23" t="s">
        <v>265</v>
      </c>
      <c r="B6">
        <v>8</v>
      </c>
    </row>
    <row r="7" spans="1:2">
      <c r="A7" s="23" t="s">
        <v>302</v>
      </c>
      <c r="B7">
        <v>26</v>
      </c>
    </row>
    <row r="8" spans="1:2">
      <c r="A8" s="23" t="s">
        <v>988</v>
      </c>
      <c r="B8">
        <v>9</v>
      </c>
    </row>
    <row r="9" spans="1:2">
      <c r="A9" s="23" t="s">
        <v>285</v>
      </c>
      <c r="B9">
        <v>4</v>
      </c>
    </row>
    <row r="10" spans="1:2">
      <c r="A10" s="23" t="s">
        <v>33</v>
      </c>
      <c r="B10">
        <v>67</v>
      </c>
    </row>
    <row r="11" spans="1:2">
      <c r="A11" s="23" t="s">
        <v>1021</v>
      </c>
      <c r="B11">
        <v>3</v>
      </c>
    </row>
    <row r="12" spans="1:2">
      <c r="A12" s="23" t="s">
        <v>894</v>
      </c>
      <c r="B12">
        <v>17</v>
      </c>
    </row>
    <row r="13" spans="1:2">
      <c r="A13" s="23" t="s">
        <v>1026</v>
      </c>
      <c r="B13">
        <v>28</v>
      </c>
    </row>
    <row r="14" spans="1:2">
      <c r="A14" s="23" t="s">
        <v>850</v>
      </c>
      <c r="B14">
        <v>14</v>
      </c>
    </row>
    <row r="15" spans="1:2">
      <c r="A15" s="23" t="s">
        <v>923</v>
      </c>
      <c r="B15">
        <v>42</v>
      </c>
    </row>
    <row r="16" spans="1:2">
      <c r="A16" s="23" t="s">
        <v>684</v>
      </c>
      <c r="B16">
        <v>23</v>
      </c>
    </row>
    <row r="17" spans="1:2">
      <c r="A17" s="23" t="s">
        <v>492</v>
      </c>
      <c r="B17">
        <v>35</v>
      </c>
    </row>
    <row r="18" spans="1:2">
      <c r="A18" s="23" t="s">
        <v>591</v>
      </c>
      <c r="B18">
        <v>19</v>
      </c>
    </row>
    <row r="19" spans="1:2">
      <c r="A19" s="23" t="s">
        <v>411</v>
      </c>
      <c r="B19">
        <v>24</v>
      </c>
    </row>
    <row r="20" spans="1:2">
      <c r="A20" s="23" t="s">
        <v>819</v>
      </c>
      <c r="B20">
        <v>14</v>
      </c>
    </row>
    <row r="21" spans="1:2">
      <c r="A21" s="23" t="s">
        <v>673</v>
      </c>
      <c r="B21">
        <v>4</v>
      </c>
    </row>
    <row r="22" spans="1:2">
      <c r="A22" s="23" t="s">
        <v>794</v>
      </c>
      <c r="B22">
        <v>8</v>
      </c>
    </row>
    <row r="23" spans="1:2">
      <c r="A23" s="23" t="s">
        <v>11360</v>
      </c>
      <c r="B23">
        <v>352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D3A76-EFC4-48EF-9140-8613D25806AA}">
  <dimension ref="A1:B216"/>
  <sheetViews>
    <sheetView workbookViewId="0">
      <selection activeCell="B10" sqref="B10"/>
    </sheetView>
  </sheetViews>
  <sheetFormatPr defaultRowHeight="14.45"/>
  <cols>
    <col min="1" max="1" width="27.5703125" bestFit="1" customWidth="1"/>
    <col min="2" max="2" width="21.42578125" customWidth="1"/>
  </cols>
  <sheetData>
    <row r="1" spans="1:2">
      <c r="A1" t="s">
        <v>11361</v>
      </c>
      <c r="B1" t="s">
        <v>11362</v>
      </c>
    </row>
    <row r="2" spans="1:2">
      <c r="A2" t="s">
        <v>33</v>
      </c>
      <c r="B2" t="s">
        <v>34</v>
      </c>
    </row>
    <row r="3" spans="1:2">
      <c r="A3" t="s">
        <v>33</v>
      </c>
      <c r="B3" t="s">
        <v>46</v>
      </c>
    </row>
    <row r="4" spans="1:2">
      <c r="A4" t="s">
        <v>33</v>
      </c>
      <c r="B4" t="s">
        <v>11363</v>
      </c>
    </row>
    <row r="5" spans="1:2">
      <c r="A5" t="s">
        <v>33</v>
      </c>
      <c r="B5" t="s">
        <v>11364</v>
      </c>
    </row>
    <row r="6" spans="1:2">
      <c r="A6" t="s">
        <v>33</v>
      </c>
      <c r="B6" t="s">
        <v>11365</v>
      </c>
    </row>
    <row r="7" spans="1:2">
      <c r="A7" t="s">
        <v>33</v>
      </c>
      <c r="B7" t="s">
        <v>11366</v>
      </c>
    </row>
    <row r="8" spans="1:2">
      <c r="A8" t="s">
        <v>33</v>
      </c>
      <c r="B8" t="s">
        <v>11367</v>
      </c>
    </row>
    <row r="9" spans="1:2">
      <c r="A9" t="s">
        <v>33</v>
      </c>
      <c r="B9" t="s">
        <v>44</v>
      </c>
    </row>
    <row r="10" spans="1:2">
      <c r="A10" t="s">
        <v>33</v>
      </c>
      <c r="B10" t="s">
        <v>11368</v>
      </c>
    </row>
    <row r="11" spans="1:2">
      <c r="A11" t="s">
        <v>33</v>
      </c>
      <c r="B11" t="s">
        <v>78</v>
      </c>
    </row>
    <row r="12" spans="1:2">
      <c r="A12" t="s">
        <v>33</v>
      </c>
      <c r="B12" t="s">
        <v>84</v>
      </c>
    </row>
    <row r="13" spans="1:2">
      <c r="A13" t="s">
        <v>33</v>
      </c>
      <c r="B13" t="s">
        <v>92</v>
      </c>
    </row>
    <row r="14" spans="1:2">
      <c r="A14" t="s">
        <v>33</v>
      </c>
      <c r="B14" t="s">
        <v>95</v>
      </c>
    </row>
    <row r="15" spans="1:2">
      <c r="A15" t="s">
        <v>33</v>
      </c>
      <c r="B15" t="s">
        <v>11369</v>
      </c>
    </row>
    <row r="16" spans="1:2">
      <c r="A16" t="s">
        <v>33</v>
      </c>
      <c r="B16" t="s">
        <v>112</v>
      </c>
    </row>
    <row r="17" spans="1:2">
      <c r="A17" t="s">
        <v>33</v>
      </c>
      <c r="B17" t="s">
        <v>11370</v>
      </c>
    </row>
    <row r="18" spans="1:2">
      <c r="A18" t="s">
        <v>33</v>
      </c>
      <c r="B18" t="s">
        <v>117</v>
      </c>
    </row>
    <row r="19" spans="1:2">
      <c r="A19" t="s">
        <v>33</v>
      </c>
      <c r="B19" t="s">
        <v>11371</v>
      </c>
    </row>
    <row r="20" spans="1:2">
      <c r="A20" t="s">
        <v>33</v>
      </c>
      <c r="B20" t="s">
        <v>11372</v>
      </c>
    </row>
    <row r="21" spans="1:2">
      <c r="A21" t="s">
        <v>33</v>
      </c>
      <c r="B21" t="s">
        <v>11373</v>
      </c>
    </row>
    <row r="22" spans="1:2">
      <c r="A22" t="s">
        <v>33</v>
      </c>
      <c r="B22" t="s">
        <v>11374</v>
      </c>
    </row>
    <row r="23" spans="1:2">
      <c r="A23" t="s">
        <v>33</v>
      </c>
      <c r="B23" t="s">
        <v>11375</v>
      </c>
    </row>
    <row r="24" spans="1:2">
      <c r="A24" t="s">
        <v>33</v>
      </c>
      <c r="B24" t="s">
        <v>11376</v>
      </c>
    </row>
    <row r="25" spans="1:2">
      <c r="A25" t="s">
        <v>33</v>
      </c>
      <c r="B25" t="s">
        <v>11377</v>
      </c>
    </row>
    <row r="26" spans="1:2">
      <c r="A26" t="s">
        <v>33</v>
      </c>
      <c r="B26" t="s">
        <v>11378</v>
      </c>
    </row>
    <row r="27" spans="1:2">
      <c r="A27" t="s">
        <v>33</v>
      </c>
      <c r="B27" t="s">
        <v>11379</v>
      </c>
    </row>
    <row r="28" spans="1:2">
      <c r="A28" t="s">
        <v>33</v>
      </c>
      <c r="B28" t="s">
        <v>220</v>
      </c>
    </row>
    <row r="29" spans="1:2">
      <c r="A29" t="s">
        <v>33</v>
      </c>
      <c r="B29" t="s">
        <v>222</v>
      </c>
    </row>
    <row r="30" spans="1:2">
      <c r="A30" t="s">
        <v>33</v>
      </c>
      <c r="B30" t="s">
        <v>228</v>
      </c>
    </row>
    <row r="31" spans="1:2">
      <c r="A31" t="s">
        <v>33</v>
      </c>
      <c r="B31" t="s">
        <v>230</v>
      </c>
    </row>
    <row r="32" spans="1:2">
      <c r="A32" t="s">
        <v>33</v>
      </c>
      <c r="B32" t="s">
        <v>11380</v>
      </c>
    </row>
    <row r="33" spans="1:2">
      <c r="A33" t="s">
        <v>33</v>
      </c>
      <c r="B33" t="s">
        <v>11381</v>
      </c>
    </row>
    <row r="34" spans="1:2">
      <c r="A34" t="s">
        <v>33</v>
      </c>
      <c r="B34" t="s">
        <v>11382</v>
      </c>
    </row>
    <row r="35" spans="1:2">
      <c r="A35" t="s">
        <v>33</v>
      </c>
      <c r="B35" t="s">
        <v>11383</v>
      </c>
    </row>
    <row r="36" spans="1:2">
      <c r="A36" t="s">
        <v>33</v>
      </c>
      <c r="B36" t="s">
        <v>11384</v>
      </c>
    </row>
    <row r="37" spans="1:2">
      <c r="A37" t="s">
        <v>33</v>
      </c>
      <c r="B37" t="s">
        <v>11385</v>
      </c>
    </row>
    <row r="38" spans="1:2">
      <c r="A38" t="s">
        <v>33</v>
      </c>
      <c r="B38" t="s">
        <v>172</v>
      </c>
    </row>
    <row r="39" spans="1:2">
      <c r="A39" t="s">
        <v>33</v>
      </c>
      <c r="B39" t="s">
        <v>175</v>
      </c>
    </row>
    <row r="40" spans="1:2">
      <c r="A40" t="s">
        <v>33</v>
      </c>
      <c r="B40" t="s">
        <v>178</v>
      </c>
    </row>
    <row r="41" spans="1:2">
      <c r="A41" t="s">
        <v>33</v>
      </c>
      <c r="B41" t="s">
        <v>189</v>
      </c>
    </row>
    <row r="42" spans="1:2">
      <c r="A42" t="s">
        <v>33</v>
      </c>
      <c r="B42" t="s">
        <v>11386</v>
      </c>
    </row>
    <row r="43" spans="1:2">
      <c r="A43" t="s">
        <v>302</v>
      </c>
      <c r="B43" t="s">
        <v>121</v>
      </c>
    </row>
    <row r="44" spans="1:2">
      <c r="A44" t="s">
        <v>302</v>
      </c>
      <c r="B44" t="s">
        <v>11387</v>
      </c>
    </row>
    <row r="45" spans="1:2">
      <c r="A45" t="s">
        <v>302</v>
      </c>
      <c r="B45" t="s">
        <v>11388</v>
      </c>
    </row>
    <row r="46" spans="1:2">
      <c r="A46" t="s">
        <v>302</v>
      </c>
      <c r="B46" t="s">
        <v>11389</v>
      </c>
    </row>
    <row r="47" spans="1:2">
      <c r="A47" t="s">
        <v>302</v>
      </c>
      <c r="B47" t="s">
        <v>11390</v>
      </c>
    </row>
    <row r="48" spans="1:2">
      <c r="A48" t="s">
        <v>302</v>
      </c>
      <c r="B48" t="s">
        <v>11391</v>
      </c>
    </row>
    <row r="49" spans="1:2">
      <c r="A49" t="s">
        <v>302</v>
      </c>
      <c r="B49" t="s">
        <v>11392</v>
      </c>
    </row>
    <row r="50" spans="1:2">
      <c r="A50" t="s">
        <v>302</v>
      </c>
      <c r="B50" t="s">
        <v>11393</v>
      </c>
    </row>
    <row r="51" spans="1:2">
      <c r="A51" t="s">
        <v>302</v>
      </c>
      <c r="B51" t="s">
        <v>11394</v>
      </c>
    </row>
    <row r="52" spans="1:2">
      <c r="A52" t="s">
        <v>302</v>
      </c>
      <c r="B52" t="s">
        <v>11395</v>
      </c>
    </row>
    <row r="53" spans="1:2">
      <c r="A53" t="s">
        <v>302</v>
      </c>
      <c r="B53" t="s">
        <v>11396</v>
      </c>
    </row>
    <row r="54" spans="1:2">
      <c r="A54" t="s">
        <v>302</v>
      </c>
      <c r="B54" t="s">
        <v>11397</v>
      </c>
    </row>
    <row r="55" spans="1:2">
      <c r="A55" t="s">
        <v>302</v>
      </c>
      <c r="B55" t="s">
        <v>391</v>
      </c>
    </row>
    <row r="56" spans="1:2">
      <c r="A56" t="s">
        <v>302</v>
      </c>
      <c r="B56" t="s">
        <v>11398</v>
      </c>
    </row>
    <row r="57" spans="1:2">
      <c r="A57" t="s">
        <v>302</v>
      </c>
      <c r="B57" t="s">
        <v>398</v>
      </c>
    </row>
    <row r="58" spans="1:2">
      <c r="A58" t="s">
        <v>302</v>
      </c>
      <c r="B58" t="s">
        <v>11399</v>
      </c>
    </row>
    <row r="59" spans="1:2">
      <c r="A59" t="s">
        <v>302</v>
      </c>
      <c r="B59" t="s">
        <v>11400</v>
      </c>
    </row>
    <row r="60" spans="1:2">
      <c r="A60" t="s">
        <v>302</v>
      </c>
      <c r="B60" t="s">
        <v>11401</v>
      </c>
    </row>
    <row r="61" spans="1:2">
      <c r="A61" t="s">
        <v>11402</v>
      </c>
      <c r="B61" t="s">
        <v>686</v>
      </c>
    </row>
    <row r="62" spans="1:2">
      <c r="A62" t="s">
        <v>11402</v>
      </c>
      <c r="B62" t="s">
        <v>11403</v>
      </c>
    </row>
    <row r="63" spans="1:2">
      <c r="A63" t="s">
        <v>11402</v>
      </c>
      <c r="B63" t="s">
        <v>689</v>
      </c>
    </row>
    <row r="64" spans="1:2">
      <c r="A64" t="s">
        <v>11402</v>
      </c>
      <c r="B64" t="s">
        <v>424</v>
      </c>
    </row>
    <row r="65" spans="1:2">
      <c r="A65" t="s">
        <v>11402</v>
      </c>
      <c r="B65" t="s">
        <v>11404</v>
      </c>
    </row>
    <row r="66" spans="1:2">
      <c r="A66" t="s">
        <v>11402</v>
      </c>
      <c r="B66" t="s">
        <v>432</v>
      </c>
    </row>
    <row r="67" spans="1:2">
      <c r="A67" t="s">
        <v>11402</v>
      </c>
      <c r="B67" t="s">
        <v>11405</v>
      </c>
    </row>
    <row r="68" spans="1:2">
      <c r="A68" t="s">
        <v>11402</v>
      </c>
      <c r="B68" t="s">
        <v>439</v>
      </c>
    </row>
    <row r="69" spans="1:2">
      <c r="A69" t="s">
        <v>11402</v>
      </c>
      <c r="B69" t="s">
        <v>11406</v>
      </c>
    </row>
    <row r="70" spans="1:2">
      <c r="A70" t="s">
        <v>11402</v>
      </c>
      <c r="B70" t="s">
        <v>11407</v>
      </c>
    </row>
    <row r="71" spans="1:2">
      <c r="A71" t="s">
        <v>11402</v>
      </c>
      <c r="B71" t="s">
        <v>489</v>
      </c>
    </row>
    <row r="72" spans="1:2">
      <c r="A72" t="s">
        <v>11402</v>
      </c>
      <c r="B72" t="s">
        <v>11408</v>
      </c>
    </row>
    <row r="73" spans="1:2">
      <c r="A73" t="s">
        <v>11402</v>
      </c>
      <c r="B73" t="s">
        <v>11409</v>
      </c>
    </row>
    <row r="74" spans="1:2">
      <c r="A74" t="s">
        <v>11402</v>
      </c>
      <c r="B74" t="s">
        <v>463</v>
      </c>
    </row>
    <row r="75" spans="1:2">
      <c r="A75" t="s">
        <v>11402</v>
      </c>
      <c r="B75" t="s">
        <v>466</v>
      </c>
    </row>
    <row r="76" spans="1:2">
      <c r="A76" t="s">
        <v>11402</v>
      </c>
      <c r="B76" t="s">
        <v>469</v>
      </c>
    </row>
    <row r="77" spans="1:2">
      <c r="A77" t="s">
        <v>11402</v>
      </c>
      <c r="B77" t="s">
        <v>472</v>
      </c>
    </row>
    <row r="78" spans="1:2">
      <c r="A78" t="s">
        <v>11402</v>
      </c>
      <c r="B78" t="s">
        <v>475</v>
      </c>
    </row>
    <row r="79" spans="1:2">
      <c r="A79" t="s">
        <v>11402</v>
      </c>
      <c r="B79" t="s">
        <v>478</v>
      </c>
    </row>
    <row r="80" spans="1:2">
      <c r="A80" t="s">
        <v>497</v>
      </c>
      <c r="B80" t="s">
        <v>11410</v>
      </c>
    </row>
    <row r="81" spans="1:2">
      <c r="A81" t="s">
        <v>497</v>
      </c>
      <c r="B81" t="s">
        <v>11411</v>
      </c>
    </row>
    <row r="82" spans="1:2">
      <c r="A82" t="s">
        <v>497</v>
      </c>
      <c r="B82" t="s">
        <v>11410</v>
      </c>
    </row>
    <row r="83" spans="1:2">
      <c r="A83" t="s">
        <v>497</v>
      </c>
      <c r="B83" t="s">
        <v>11411</v>
      </c>
    </row>
    <row r="84" spans="1:2">
      <c r="A84" t="s">
        <v>497</v>
      </c>
      <c r="B84" t="s">
        <v>11412</v>
      </c>
    </row>
    <row r="85" spans="1:2">
      <c r="A85" t="s">
        <v>497</v>
      </c>
      <c r="B85" t="s">
        <v>11413</v>
      </c>
    </row>
    <row r="86" spans="1:2">
      <c r="A86" t="s">
        <v>497</v>
      </c>
      <c r="B86" t="s">
        <v>11414</v>
      </c>
    </row>
    <row r="87" spans="1:2">
      <c r="A87" t="s">
        <v>497</v>
      </c>
      <c r="B87" t="s">
        <v>11415</v>
      </c>
    </row>
    <row r="88" spans="1:2">
      <c r="A88" t="s">
        <v>497</v>
      </c>
      <c r="B88" t="s">
        <v>523</v>
      </c>
    </row>
    <row r="89" spans="1:2">
      <c r="A89" t="s">
        <v>497</v>
      </c>
      <c r="B89" t="s">
        <v>11416</v>
      </c>
    </row>
    <row r="90" spans="1:2">
      <c r="A90" t="s">
        <v>497</v>
      </c>
      <c r="B90" t="s">
        <v>243</v>
      </c>
    </row>
    <row r="91" spans="1:2">
      <c r="A91" t="s">
        <v>497</v>
      </c>
      <c r="B91" t="s">
        <v>11417</v>
      </c>
    </row>
    <row r="92" spans="1:2">
      <c r="A92" t="s">
        <v>497</v>
      </c>
      <c r="B92" t="s">
        <v>11418</v>
      </c>
    </row>
    <row r="93" spans="1:2">
      <c r="A93" t="s">
        <v>497</v>
      </c>
      <c r="B93" t="s">
        <v>11419</v>
      </c>
    </row>
    <row r="94" spans="1:2">
      <c r="A94" t="s">
        <v>497</v>
      </c>
      <c r="B94" t="s">
        <v>549</v>
      </c>
    </row>
    <row r="95" spans="1:2">
      <c r="A95" t="s">
        <v>497</v>
      </c>
      <c r="B95" t="s">
        <v>435</v>
      </c>
    </row>
    <row r="96" spans="1:2">
      <c r="A96" t="s">
        <v>497</v>
      </c>
      <c r="B96" t="s">
        <v>554</v>
      </c>
    </row>
    <row r="97" spans="1:2">
      <c r="A97" t="s">
        <v>497</v>
      </c>
      <c r="B97" t="s">
        <v>557</v>
      </c>
    </row>
    <row r="98" spans="1:2">
      <c r="A98" t="s">
        <v>497</v>
      </c>
      <c r="B98" t="s">
        <v>11053</v>
      </c>
    </row>
    <row r="99" spans="1:2">
      <c r="A99" t="s">
        <v>497</v>
      </c>
      <c r="B99" t="s">
        <v>11420</v>
      </c>
    </row>
    <row r="100" spans="1:2">
      <c r="A100" t="s">
        <v>497</v>
      </c>
      <c r="B100" t="s">
        <v>11421</v>
      </c>
    </row>
    <row r="101" spans="1:2">
      <c r="A101" t="s">
        <v>497</v>
      </c>
      <c r="B101" t="s">
        <v>11422</v>
      </c>
    </row>
    <row r="102" spans="1:2">
      <c r="A102" t="s">
        <v>497</v>
      </c>
      <c r="B102" t="s">
        <v>435</v>
      </c>
    </row>
    <row r="103" spans="1:2">
      <c r="A103" t="s">
        <v>497</v>
      </c>
      <c r="B103" t="s">
        <v>11423</v>
      </c>
    </row>
    <row r="104" spans="1:2">
      <c r="A104" t="s">
        <v>497</v>
      </c>
      <c r="B104" t="s">
        <v>581</v>
      </c>
    </row>
    <row r="105" spans="1:2">
      <c r="A105" t="s">
        <v>497</v>
      </c>
      <c r="B105" t="s">
        <v>583</v>
      </c>
    </row>
    <row r="106" spans="1:2">
      <c r="A106" t="s">
        <v>497</v>
      </c>
      <c r="B106" t="s">
        <v>11424</v>
      </c>
    </row>
    <row r="107" spans="1:2">
      <c r="A107" t="s">
        <v>497</v>
      </c>
      <c r="B107" t="s">
        <v>11425</v>
      </c>
    </row>
    <row r="108" spans="1:2">
      <c r="A108" t="s">
        <v>497</v>
      </c>
      <c r="B108" t="s">
        <v>593</v>
      </c>
    </row>
    <row r="109" spans="1:2">
      <c r="A109" t="s">
        <v>497</v>
      </c>
      <c r="B109" t="s">
        <v>595</v>
      </c>
    </row>
    <row r="110" spans="1:2">
      <c r="A110" t="s">
        <v>497</v>
      </c>
      <c r="B110" t="s">
        <v>598</v>
      </c>
    </row>
    <row r="111" spans="1:2">
      <c r="A111" t="s">
        <v>497</v>
      </c>
      <c r="B111" t="s">
        <v>601</v>
      </c>
    </row>
    <row r="112" spans="1:2">
      <c r="A112" t="s">
        <v>497</v>
      </c>
      <c r="B112" t="s">
        <v>605</v>
      </c>
    </row>
    <row r="113" spans="1:2">
      <c r="A113" t="s">
        <v>497</v>
      </c>
      <c r="B113" t="s">
        <v>11426</v>
      </c>
    </row>
    <row r="114" spans="1:2">
      <c r="A114" t="s">
        <v>497</v>
      </c>
      <c r="B114" t="s">
        <v>614</v>
      </c>
    </row>
    <row r="115" spans="1:2">
      <c r="A115" t="s">
        <v>497</v>
      </c>
      <c r="B115" t="s">
        <v>475</v>
      </c>
    </row>
    <row r="116" spans="1:2">
      <c r="A116" t="s">
        <v>497</v>
      </c>
      <c r="B116" t="s">
        <v>627</v>
      </c>
    </row>
    <row r="117" spans="1:2">
      <c r="A117" t="s">
        <v>497</v>
      </c>
      <c r="B117" t="s">
        <v>633</v>
      </c>
    </row>
    <row r="118" spans="1:2">
      <c r="A118" t="s">
        <v>497</v>
      </c>
      <c r="B118" t="s">
        <v>11427</v>
      </c>
    </row>
    <row r="119" spans="1:2">
      <c r="A119" t="s">
        <v>497</v>
      </c>
      <c r="B119" t="s">
        <v>640</v>
      </c>
    </row>
    <row r="120" spans="1:2">
      <c r="A120" t="s">
        <v>497</v>
      </c>
      <c r="B120" t="s">
        <v>11428</v>
      </c>
    </row>
    <row r="121" spans="1:2">
      <c r="A121" t="s">
        <v>497</v>
      </c>
      <c r="B121" t="s">
        <v>653</v>
      </c>
    </row>
    <row r="122" spans="1:2">
      <c r="A122" t="s">
        <v>497</v>
      </c>
      <c r="B122" t="s">
        <v>656</v>
      </c>
    </row>
    <row r="123" spans="1:2">
      <c r="A123" t="s">
        <v>497</v>
      </c>
      <c r="B123" t="s">
        <v>659</v>
      </c>
    </row>
    <row r="124" spans="1:2">
      <c r="A124" t="s">
        <v>497</v>
      </c>
      <c r="B124" t="s">
        <v>666</v>
      </c>
    </row>
    <row r="125" spans="1:2">
      <c r="A125" t="s">
        <v>497</v>
      </c>
      <c r="B125" t="s">
        <v>11429</v>
      </c>
    </row>
    <row r="126" spans="1:2">
      <c r="A126" t="s">
        <v>497</v>
      </c>
      <c r="B126" t="s">
        <v>435</v>
      </c>
    </row>
    <row r="127" spans="1:2">
      <c r="A127" t="s">
        <v>11430</v>
      </c>
      <c r="B127" t="s">
        <v>11431</v>
      </c>
    </row>
    <row r="128" spans="1:2">
      <c r="A128" t="s">
        <v>11430</v>
      </c>
      <c r="B128" t="s">
        <v>11432</v>
      </c>
    </row>
    <row r="129" spans="1:2">
      <c r="A129" t="s">
        <v>11430</v>
      </c>
      <c r="B129" t="s">
        <v>11433</v>
      </c>
    </row>
    <row r="130" spans="1:2">
      <c r="A130" t="s">
        <v>11430</v>
      </c>
      <c r="B130" t="s">
        <v>682</v>
      </c>
    </row>
    <row r="131" spans="1:2">
      <c r="A131" t="s">
        <v>11434</v>
      </c>
      <c r="B131" t="s">
        <v>686</v>
      </c>
    </row>
    <row r="132" spans="1:2">
      <c r="A132" t="s">
        <v>11434</v>
      </c>
      <c r="B132" t="s">
        <v>689</v>
      </c>
    </row>
    <row r="133" spans="1:2">
      <c r="A133" t="s">
        <v>11434</v>
      </c>
      <c r="B133" t="s">
        <v>243</v>
      </c>
    </row>
    <row r="134" spans="1:2">
      <c r="A134" t="s">
        <v>11434</v>
      </c>
      <c r="B134" t="s">
        <v>11435</v>
      </c>
    </row>
    <row r="135" spans="1:2">
      <c r="A135" t="s">
        <v>11434</v>
      </c>
      <c r="B135" t="s">
        <v>11436</v>
      </c>
    </row>
    <row r="136" spans="1:2">
      <c r="A136" t="s">
        <v>11434</v>
      </c>
      <c r="B136" t="s">
        <v>256</v>
      </c>
    </row>
    <row r="137" spans="1:2">
      <c r="A137" t="s">
        <v>11434</v>
      </c>
      <c r="B137" t="s">
        <v>243</v>
      </c>
    </row>
    <row r="138" spans="1:2">
      <c r="A138" t="s">
        <v>11434</v>
      </c>
      <c r="B138" t="s">
        <v>256</v>
      </c>
    </row>
    <row r="139" spans="1:2">
      <c r="A139" t="s">
        <v>11434</v>
      </c>
      <c r="B139" t="s">
        <v>243</v>
      </c>
    </row>
    <row r="140" spans="1:2">
      <c r="A140" t="s">
        <v>11434</v>
      </c>
      <c r="B140" t="s">
        <v>11437</v>
      </c>
    </row>
    <row r="141" spans="1:2">
      <c r="A141" t="s">
        <v>11434</v>
      </c>
      <c r="B141" t="s">
        <v>11438</v>
      </c>
    </row>
    <row r="142" spans="1:2">
      <c r="A142" t="s">
        <v>11434</v>
      </c>
      <c r="B142" t="s">
        <v>11439</v>
      </c>
    </row>
    <row r="143" spans="1:2">
      <c r="A143" t="s">
        <v>11434</v>
      </c>
      <c r="B143" t="s">
        <v>11440</v>
      </c>
    </row>
    <row r="144" spans="1:2">
      <c r="A144" t="s">
        <v>11434</v>
      </c>
      <c r="B144" t="s">
        <v>11441</v>
      </c>
    </row>
    <row r="145" spans="1:2">
      <c r="A145" t="s">
        <v>11434</v>
      </c>
      <c r="B145" t="s">
        <v>11442</v>
      </c>
    </row>
    <row r="146" spans="1:2">
      <c r="A146" t="s">
        <v>11434</v>
      </c>
      <c r="B146" t="s">
        <v>795</v>
      </c>
    </row>
    <row r="147" spans="1:2">
      <c r="A147" t="s">
        <v>11434</v>
      </c>
      <c r="B147" t="s">
        <v>11443</v>
      </c>
    </row>
    <row r="148" spans="1:2">
      <c r="A148" t="s">
        <v>11434</v>
      </c>
      <c r="B148" t="s">
        <v>11444</v>
      </c>
    </row>
    <row r="149" spans="1:2">
      <c r="A149" t="s">
        <v>11434</v>
      </c>
      <c r="B149" t="s">
        <v>11445</v>
      </c>
    </row>
    <row r="150" spans="1:2">
      <c r="A150" t="s">
        <v>11434</v>
      </c>
      <c r="B150" t="s">
        <v>807</v>
      </c>
    </row>
    <row r="151" spans="1:2">
      <c r="A151" t="s">
        <v>11434</v>
      </c>
      <c r="B151" t="s">
        <v>11446</v>
      </c>
    </row>
    <row r="152" spans="1:2">
      <c r="A152" t="s">
        <v>11434</v>
      </c>
      <c r="B152" t="s">
        <v>435</v>
      </c>
    </row>
    <row r="153" spans="1:2">
      <c r="A153" t="s">
        <v>850</v>
      </c>
      <c r="B153" t="s">
        <v>11447</v>
      </c>
    </row>
    <row r="154" spans="1:2">
      <c r="A154" t="s">
        <v>850</v>
      </c>
      <c r="B154" t="s">
        <v>854</v>
      </c>
    </row>
    <row r="155" spans="1:2">
      <c r="A155" t="s">
        <v>850</v>
      </c>
      <c r="B155" t="s">
        <v>859</v>
      </c>
    </row>
    <row r="156" spans="1:2">
      <c r="A156" t="s">
        <v>850</v>
      </c>
      <c r="B156" t="s">
        <v>862</v>
      </c>
    </row>
    <row r="157" spans="1:2">
      <c r="A157" t="s">
        <v>850</v>
      </c>
      <c r="B157" t="s">
        <v>865</v>
      </c>
    </row>
    <row r="158" spans="1:2">
      <c r="A158" t="s">
        <v>850</v>
      </c>
      <c r="B158" t="s">
        <v>868</v>
      </c>
    </row>
    <row r="159" spans="1:2">
      <c r="A159" t="s">
        <v>850</v>
      </c>
      <c r="B159" t="s">
        <v>870</v>
      </c>
    </row>
    <row r="160" spans="1:2">
      <c r="A160" t="s">
        <v>850</v>
      </c>
      <c r="B160" t="s">
        <v>872</v>
      </c>
    </row>
    <row r="161" spans="1:2">
      <c r="A161" t="s">
        <v>850</v>
      </c>
      <c r="B161" t="s">
        <v>874</v>
      </c>
    </row>
    <row r="162" spans="1:2">
      <c r="A162" t="s">
        <v>850</v>
      </c>
      <c r="B162" t="s">
        <v>11448</v>
      </c>
    </row>
    <row r="163" spans="1:2">
      <c r="A163" t="s">
        <v>850</v>
      </c>
      <c r="B163" t="s">
        <v>884</v>
      </c>
    </row>
    <row r="164" spans="1:2">
      <c r="A164" t="s">
        <v>850</v>
      </c>
      <c r="B164" t="s">
        <v>887</v>
      </c>
    </row>
    <row r="165" spans="1:2">
      <c r="A165" t="s">
        <v>850</v>
      </c>
      <c r="B165" t="s">
        <v>892</v>
      </c>
    </row>
    <row r="166" spans="1:2">
      <c r="A166" t="s">
        <v>923</v>
      </c>
      <c r="B166" t="s">
        <v>925</v>
      </c>
    </row>
    <row r="167" spans="1:2">
      <c r="A167" t="s">
        <v>923</v>
      </c>
      <c r="B167" t="s">
        <v>927</v>
      </c>
    </row>
    <row r="168" spans="1:2">
      <c r="A168" t="s">
        <v>923</v>
      </c>
      <c r="B168" t="s">
        <v>929</v>
      </c>
    </row>
    <row r="169" spans="1:2">
      <c r="A169" t="s">
        <v>923</v>
      </c>
      <c r="B169" t="s">
        <v>931</v>
      </c>
    </row>
    <row r="170" spans="1:2">
      <c r="A170" t="s">
        <v>923</v>
      </c>
      <c r="B170" t="s">
        <v>933</v>
      </c>
    </row>
    <row r="171" spans="1:2">
      <c r="A171" t="s">
        <v>923</v>
      </c>
      <c r="B171" t="s">
        <v>935</v>
      </c>
    </row>
    <row r="172" spans="1:2">
      <c r="A172" t="s">
        <v>923</v>
      </c>
      <c r="B172" t="s">
        <v>937</v>
      </c>
    </row>
    <row r="173" spans="1:2">
      <c r="A173" t="s">
        <v>923</v>
      </c>
      <c r="B173" t="s">
        <v>938</v>
      </c>
    </row>
    <row r="174" spans="1:2">
      <c r="A174" t="s">
        <v>923</v>
      </c>
      <c r="B174" t="s">
        <v>939</v>
      </c>
    </row>
    <row r="175" spans="1:2">
      <c r="A175" t="s">
        <v>923</v>
      </c>
      <c r="B175" t="s">
        <v>941</v>
      </c>
    </row>
    <row r="176" spans="1:2">
      <c r="A176" t="s">
        <v>923</v>
      </c>
      <c r="B176" t="s">
        <v>46</v>
      </c>
    </row>
    <row r="177" spans="1:2">
      <c r="A177" t="s">
        <v>923</v>
      </c>
      <c r="B177" t="s">
        <v>435</v>
      </c>
    </row>
    <row r="178" spans="1:2">
      <c r="A178" t="s">
        <v>923</v>
      </c>
      <c r="B178" t="s">
        <v>943</v>
      </c>
    </row>
    <row r="179" spans="1:2">
      <c r="A179" t="s">
        <v>923</v>
      </c>
      <c r="B179" t="s">
        <v>944</v>
      </c>
    </row>
    <row r="180" spans="1:2">
      <c r="A180" t="s">
        <v>923</v>
      </c>
      <c r="B180" t="s">
        <v>256</v>
      </c>
    </row>
    <row r="181" spans="1:2">
      <c r="A181" t="s">
        <v>923</v>
      </c>
      <c r="B181" t="s">
        <v>945</v>
      </c>
    </row>
    <row r="182" spans="1:2">
      <c r="A182" t="s">
        <v>923</v>
      </c>
      <c r="B182" t="s">
        <v>947</v>
      </c>
    </row>
    <row r="183" spans="1:2">
      <c r="A183" t="s">
        <v>923</v>
      </c>
      <c r="B183" t="s">
        <v>948</v>
      </c>
    </row>
    <row r="184" spans="1:2">
      <c r="A184" t="s">
        <v>923</v>
      </c>
      <c r="B184" t="s">
        <v>950</v>
      </c>
    </row>
    <row r="185" spans="1:2">
      <c r="A185" t="s">
        <v>923</v>
      </c>
      <c r="B185" t="s">
        <v>951</v>
      </c>
    </row>
    <row r="186" spans="1:2">
      <c r="A186" t="s">
        <v>923</v>
      </c>
      <c r="B186" t="s">
        <v>953</v>
      </c>
    </row>
    <row r="187" spans="1:2">
      <c r="A187" t="s">
        <v>923</v>
      </c>
      <c r="B187" t="s">
        <v>955</v>
      </c>
    </row>
    <row r="188" spans="1:2">
      <c r="A188" t="s">
        <v>923</v>
      </c>
      <c r="B188" t="s">
        <v>957</v>
      </c>
    </row>
    <row r="189" spans="1:2">
      <c r="A189" t="s">
        <v>923</v>
      </c>
      <c r="B189" t="s">
        <v>428</v>
      </c>
    </row>
    <row r="190" spans="1:2">
      <c r="A190" t="s">
        <v>923</v>
      </c>
      <c r="B190" t="s">
        <v>11449</v>
      </c>
    </row>
    <row r="191" spans="1:2">
      <c r="A191" t="s">
        <v>923</v>
      </c>
      <c r="B191" t="s">
        <v>961</v>
      </c>
    </row>
    <row r="192" spans="1:2">
      <c r="A192" t="s">
        <v>923</v>
      </c>
      <c r="B192" t="s">
        <v>963</v>
      </c>
    </row>
    <row r="193" spans="1:2">
      <c r="A193" t="s">
        <v>923</v>
      </c>
      <c r="B193" t="s">
        <v>965</v>
      </c>
    </row>
    <row r="194" spans="1:2">
      <c r="A194" t="s">
        <v>923</v>
      </c>
      <c r="B194" t="s">
        <v>967</v>
      </c>
    </row>
    <row r="195" spans="1:2">
      <c r="A195" t="s">
        <v>923</v>
      </c>
      <c r="B195" t="s">
        <v>970</v>
      </c>
    </row>
    <row r="196" spans="1:2">
      <c r="A196" t="s">
        <v>923</v>
      </c>
      <c r="B196" t="s">
        <v>972</v>
      </c>
    </row>
    <row r="197" spans="1:2">
      <c r="A197" t="s">
        <v>923</v>
      </c>
      <c r="B197" t="s">
        <v>925</v>
      </c>
    </row>
    <row r="198" spans="1:2">
      <c r="A198" t="s">
        <v>923</v>
      </c>
      <c r="B198" t="s">
        <v>11450</v>
      </c>
    </row>
    <row r="199" spans="1:2">
      <c r="A199" t="s">
        <v>923</v>
      </c>
      <c r="B199" t="s">
        <v>11451</v>
      </c>
    </row>
    <row r="200" spans="1:2">
      <c r="A200" t="s">
        <v>923</v>
      </c>
      <c r="B200" t="s">
        <v>978</v>
      </c>
    </row>
    <row r="201" spans="1:2">
      <c r="A201" t="s">
        <v>923</v>
      </c>
      <c r="B201" t="s">
        <v>981</v>
      </c>
    </row>
    <row r="202" spans="1:2">
      <c r="A202" t="s">
        <v>923</v>
      </c>
      <c r="B202" t="s">
        <v>46</v>
      </c>
    </row>
    <row r="203" spans="1:2">
      <c r="A203" t="s">
        <v>923</v>
      </c>
      <c r="B203" t="s">
        <v>983</v>
      </c>
    </row>
    <row r="204" spans="1:2">
      <c r="A204" t="s">
        <v>923</v>
      </c>
      <c r="B204" t="s">
        <v>984</v>
      </c>
    </row>
    <row r="205" spans="1:2">
      <c r="A205" t="s">
        <v>923</v>
      </c>
      <c r="B205" t="s">
        <v>986</v>
      </c>
    </row>
    <row r="206" spans="1:2">
      <c r="A206" t="s">
        <v>923</v>
      </c>
      <c r="B206" t="s">
        <v>986</v>
      </c>
    </row>
    <row r="207" spans="1:2">
      <c r="A207" t="s">
        <v>923</v>
      </c>
      <c r="B207" t="s">
        <v>435</v>
      </c>
    </row>
    <row r="208" spans="1:2">
      <c r="A208" t="s">
        <v>988</v>
      </c>
      <c r="B208" t="s">
        <v>981</v>
      </c>
    </row>
    <row r="209" spans="1:2">
      <c r="A209" t="s">
        <v>988</v>
      </c>
      <c r="B209" t="s">
        <v>989</v>
      </c>
    </row>
    <row r="210" spans="1:2">
      <c r="A210" t="s">
        <v>988</v>
      </c>
      <c r="B210" t="s">
        <v>992</v>
      </c>
    </row>
    <row r="211" spans="1:2">
      <c r="A211" t="s">
        <v>988</v>
      </c>
      <c r="B211" t="s">
        <v>993</v>
      </c>
    </row>
    <row r="212" spans="1:2">
      <c r="A212" t="s">
        <v>988</v>
      </c>
      <c r="B212" t="s">
        <v>994</v>
      </c>
    </row>
    <row r="213" spans="1:2">
      <c r="A213" t="s">
        <v>988</v>
      </c>
      <c r="B213" t="s">
        <v>996</v>
      </c>
    </row>
    <row r="214" spans="1:2">
      <c r="A214" t="s">
        <v>988</v>
      </c>
      <c r="B214" t="s">
        <v>998</v>
      </c>
    </row>
    <row r="215" spans="1:2">
      <c r="A215" t="s">
        <v>988</v>
      </c>
      <c r="B215" t="s">
        <v>999</v>
      </c>
    </row>
    <row r="216" spans="1:2">
      <c r="A216" t="s">
        <v>988</v>
      </c>
      <c r="B216" t="s">
        <v>1001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8DC5F-46F9-4ABE-B767-45FFDCF96BC5}">
  <dimension ref="A3:B13"/>
  <sheetViews>
    <sheetView workbookViewId="0">
      <selection activeCell="A4" sqref="A4:B12"/>
    </sheetView>
  </sheetViews>
  <sheetFormatPr defaultRowHeight="14.45"/>
  <cols>
    <col min="1" max="1" width="27.5703125" bestFit="1" customWidth="1"/>
    <col min="2" max="2" width="27.42578125" bestFit="1" customWidth="1"/>
  </cols>
  <sheetData>
    <row r="3" spans="1:2">
      <c r="A3" s="22" t="s">
        <v>11358</v>
      </c>
      <c r="B3" t="s">
        <v>11452</v>
      </c>
    </row>
    <row r="4" spans="1:2">
      <c r="A4" s="23" t="s">
        <v>302</v>
      </c>
      <c r="B4">
        <v>18</v>
      </c>
    </row>
    <row r="5" spans="1:2">
      <c r="A5" s="23" t="s">
        <v>988</v>
      </c>
      <c r="B5">
        <v>9</v>
      </c>
    </row>
    <row r="6" spans="1:2">
      <c r="A6" s="23" t="s">
        <v>497</v>
      </c>
      <c r="B6">
        <v>47</v>
      </c>
    </row>
    <row r="7" spans="1:2">
      <c r="A7" s="23" t="s">
        <v>33</v>
      </c>
      <c r="B7">
        <v>41</v>
      </c>
    </row>
    <row r="8" spans="1:2">
      <c r="A8" s="23" t="s">
        <v>850</v>
      </c>
      <c r="B8">
        <v>13</v>
      </c>
    </row>
    <row r="9" spans="1:2">
      <c r="A9" s="23" t="s">
        <v>923</v>
      </c>
      <c r="B9">
        <v>42</v>
      </c>
    </row>
    <row r="10" spans="1:2">
      <c r="A10" s="23" t="s">
        <v>11402</v>
      </c>
      <c r="B10">
        <v>19</v>
      </c>
    </row>
    <row r="11" spans="1:2">
      <c r="A11" s="23" t="s">
        <v>11434</v>
      </c>
      <c r="B11">
        <v>22</v>
      </c>
    </row>
    <row r="12" spans="1:2">
      <c r="A12" s="23" t="s">
        <v>11430</v>
      </c>
      <c r="B12">
        <v>4</v>
      </c>
    </row>
    <row r="13" spans="1:2">
      <c r="A13" s="23" t="s">
        <v>11360</v>
      </c>
      <c r="B13">
        <v>215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6A5E-286F-46DB-AEF7-5998672F281D}">
  <dimension ref="A1:F32"/>
  <sheetViews>
    <sheetView workbookViewId="0">
      <selection activeCell="D20" sqref="D20"/>
    </sheetView>
  </sheetViews>
  <sheetFormatPr defaultRowHeight="14.45"/>
  <cols>
    <col min="2" max="2" width="41.28515625" bestFit="1" customWidth="1"/>
    <col min="4" max="4" width="14.42578125" bestFit="1" customWidth="1"/>
  </cols>
  <sheetData>
    <row r="1" spans="1:6">
      <c r="D1" t="s">
        <v>11453</v>
      </c>
    </row>
    <row r="2" spans="1:6">
      <c r="A2" t="s">
        <v>25</v>
      </c>
      <c r="B2" t="s">
        <v>26</v>
      </c>
      <c r="C2">
        <v>1</v>
      </c>
      <c r="D2" t="s">
        <v>889</v>
      </c>
    </row>
    <row r="3" spans="1:6">
      <c r="A3" t="s">
        <v>25</v>
      </c>
      <c r="B3" t="s">
        <v>1002</v>
      </c>
      <c r="C3">
        <v>6</v>
      </c>
      <c r="D3" t="s">
        <v>11454</v>
      </c>
    </row>
    <row r="4" spans="1:6">
      <c r="A4" t="s">
        <v>25</v>
      </c>
      <c r="B4" t="s">
        <v>265</v>
      </c>
      <c r="C4">
        <v>8</v>
      </c>
      <c r="D4" t="s">
        <v>11454</v>
      </c>
    </row>
    <row r="5" spans="1:6">
      <c r="A5" t="s">
        <v>25</v>
      </c>
      <c r="B5" t="s">
        <v>302</v>
      </c>
      <c r="C5">
        <v>26</v>
      </c>
      <c r="D5" t="s">
        <v>11455</v>
      </c>
    </row>
    <row r="6" spans="1:6">
      <c r="A6" t="s">
        <v>25</v>
      </c>
      <c r="B6" t="s">
        <v>988</v>
      </c>
      <c r="C6">
        <v>9</v>
      </c>
      <c r="D6" t="s">
        <v>11456</v>
      </c>
    </row>
    <row r="7" spans="1:6">
      <c r="A7" t="s">
        <v>25</v>
      </c>
      <c r="B7" t="s">
        <v>285</v>
      </c>
      <c r="C7">
        <v>4</v>
      </c>
      <c r="D7" t="s">
        <v>11454</v>
      </c>
    </row>
    <row r="8" spans="1:6">
      <c r="A8" t="s">
        <v>25</v>
      </c>
      <c r="B8" t="s">
        <v>33</v>
      </c>
      <c r="C8">
        <v>67</v>
      </c>
      <c r="D8" t="s">
        <v>11455</v>
      </c>
    </row>
    <row r="9" spans="1:6">
      <c r="A9" t="s">
        <v>25</v>
      </c>
      <c r="B9" t="s">
        <v>1021</v>
      </c>
      <c r="C9">
        <v>3</v>
      </c>
      <c r="D9" t="s">
        <v>11454</v>
      </c>
    </row>
    <row r="10" spans="1:6">
      <c r="A10" t="s">
        <v>25</v>
      </c>
      <c r="B10" t="s">
        <v>894</v>
      </c>
      <c r="C10">
        <v>17</v>
      </c>
      <c r="D10" t="s">
        <v>11454</v>
      </c>
    </row>
    <row r="11" spans="1:6">
      <c r="A11" t="s">
        <v>25</v>
      </c>
      <c r="B11" t="s">
        <v>1026</v>
      </c>
      <c r="C11">
        <v>28</v>
      </c>
      <c r="D11" t="s">
        <v>11457</v>
      </c>
    </row>
    <row r="12" spans="1:6">
      <c r="A12" t="s">
        <v>25</v>
      </c>
      <c r="B12" t="s">
        <v>850</v>
      </c>
      <c r="C12">
        <v>14</v>
      </c>
      <c r="D12" t="s">
        <v>11455</v>
      </c>
    </row>
    <row r="13" spans="1:6">
      <c r="A13" t="s">
        <v>25</v>
      </c>
      <c r="B13" t="s">
        <v>923</v>
      </c>
      <c r="C13">
        <v>42</v>
      </c>
      <c r="D13" t="s">
        <v>11456</v>
      </c>
    </row>
    <row r="14" spans="1:6">
      <c r="A14" t="s">
        <v>25</v>
      </c>
      <c r="B14" t="s">
        <v>684</v>
      </c>
      <c r="C14">
        <v>23</v>
      </c>
      <c r="D14" t="s">
        <v>11455</v>
      </c>
    </row>
    <row r="15" spans="1:6">
      <c r="A15" t="s">
        <v>25</v>
      </c>
      <c r="B15" t="s">
        <v>492</v>
      </c>
      <c r="C15">
        <v>35</v>
      </c>
      <c r="D15" t="s">
        <v>11455</v>
      </c>
    </row>
    <row r="16" spans="1:6">
      <c r="A16" t="s">
        <v>25</v>
      </c>
      <c r="B16" t="s">
        <v>591</v>
      </c>
      <c r="C16">
        <v>19</v>
      </c>
      <c r="D16" t="s">
        <v>11455</v>
      </c>
      <c r="E16" t="s">
        <v>497</v>
      </c>
      <c r="F16">
        <f>C16+C15</f>
        <v>54</v>
      </c>
    </row>
    <row r="17" spans="1:5">
      <c r="A17" t="s">
        <v>25</v>
      </c>
      <c r="B17" t="s">
        <v>411</v>
      </c>
      <c r="C17">
        <v>24</v>
      </c>
      <c r="D17" t="s">
        <v>11455</v>
      </c>
    </row>
    <row r="18" spans="1:5">
      <c r="A18" t="s">
        <v>25</v>
      </c>
      <c r="B18" t="s">
        <v>819</v>
      </c>
      <c r="C18">
        <v>14</v>
      </c>
      <c r="D18" t="s">
        <v>11454</v>
      </c>
    </row>
    <row r="19" spans="1:5">
      <c r="A19" t="s">
        <v>25</v>
      </c>
      <c r="B19" t="s">
        <v>673</v>
      </c>
      <c r="C19">
        <v>4</v>
      </c>
      <c r="D19" t="s">
        <v>11456</v>
      </c>
    </row>
    <row r="20" spans="1:5">
      <c r="A20" t="s">
        <v>25</v>
      </c>
      <c r="B20" t="s">
        <v>794</v>
      </c>
      <c r="C20">
        <v>8</v>
      </c>
      <c r="D20" t="s">
        <v>11454</v>
      </c>
    </row>
    <row r="23" spans="1:5">
      <c r="C23" t="s">
        <v>11458</v>
      </c>
      <c r="D23" t="s">
        <v>25</v>
      </c>
      <c r="E23" t="s">
        <v>11459</v>
      </c>
    </row>
    <row r="24" spans="1:5">
      <c r="A24" t="s">
        <v>11458</v>
      </c>
      <c r="B24" t="s">
        <v>302</v>
      </c>
      <c r="C24">
        <v>18</v>
      </c>
      <c r="D24">
        <v>26</v>
      </c>
      <c r="E24" t="s">
        <v>816</v>
      </c>
    </row>
    <row r="25" spans="1:5">
      <c r="A25" t="s">
        <v>11458</v>
      </c>
      <c r="B25" t="s">
        <v>988</v>
      </c>
      <c r="C25">
        <v>9</v>
      </c>
      <c r="D25">
        <v>9</v>
      </c>
      <c r="E25" t="s">
        <v>11460</v>
      </c>
    </row>
    <row r="26" spans="1:5">
      <c r="A26" t="s">
        <v>11458</v>
      </c>
      <c r="B26" t="s">
        <v>497</v>
      </c>
      <c r="C26">
        <v>47</v>
      </c>
      <c r="D26">
        <v>54</v>
      </c>
      <c r="E26" t="s">
        <v>816</v>
      </c>
    </row>
    <row r="27" spans="1:5">
      <c r="A27" t="s">
        <v>11458</v>
      </c>
      <c r="B27" t="s">
        <v>33</v>
      </c>
      <c r="C27">
        <v>41</v>
      </c>
      <c r="D27">
        <v>67</v>
      </c>
      <c r="E27" t="s">
        <v>816</v>
      </c>
    </row>
    <row r="28" spans="1:5">
      <c r="A28" t="s">
        <v>11458</v>
      </c>
      <c r="B28" t="s">
        <v>850</v>
      </c>
      <c r="C28">
        <v>13</v>
      </c>
      <c r="D28">
        <v>14</v>
      </c>
      <c r="E28" t="s">
        <v>816</v>
      </c>
    </row>
    <row r="29" spans="1:5">
      <c r="A29" t="s">
        <v>11458</v>
      </c>
      <c r="B29" t="s">
        <v>923</v>
      </c>
      <c r="C29">
        <v>42</v>
      </c>
      <c r="D29">
        <v>42</v>
      </c>
      <c r="E29" t="s">
        <v>11460</v>
      </c>
    </row>
    <row r="30" spans="1:5">
      <c r="A30" t="s">
        <v>11458</v>
      </c>
      <c r="B30" t="s">
        <v>11402</v>
      </c>
      <c r="C30">
        <v>19</v>
      </c>
      <c r="D30">
        <v>24</v>
      </c>
      <c r="E30" t="s">
        <v>816</v>
      </c>
    </row>
    <row r="31" spans="1:5">
      <c r="A31" t="s">
        <v>11458</v>
      </c>
      <c r="B31" t="s">
        <v>11434</v>
      </c>
      <c r="C31">
        <v>22</v>
      </c>
      <c r="D31">
        <v>23</v>
      </c>
      <c r="E31" t="s">
        <v>816</v>
      </c>
    </row>
    <row r="32" spans="1:5">
      <c r="A32" t="s">
        <v>11458</v>
      </c>
      <c r="B32" t="s">
        <v>11430</v>
      </c>
      <c r="C32">
        <v>4</v>
      </c>
      <c r="D32">
        <v>4</v>
      </c>
      <c r="E32" t="s">
        <v>11460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C4E06-5A6F-4A21-AF3F-582CB282236F}">
  <dimension ref="A1:H121"/>
  <sheetViews>
    <sheetView topLeftCell="A12" workbookViewId="0">
      <selection activeCell="B31" sqref="B31"/>
    </sheetView>
  </sheetViews>
  <sheetFormatPr defaultRowHeight="14.45"/>
  <cols>
    <col min="1" max="1" width="13.28515625" bestFit="1" customWidth="1"/>
    <col min="2" max="2" width="49.5703125" bestFit="1" customWidth="1"/>
    <col min="3" max="3" width="49.5703125" customWidth="1"/>
    <col min="4" max="4" width="6.42578125" bestFit="1" customWidth="1"/>
    <col min="5" max="5" width="15.7109375" bestFit="1" customWidth="1"/>
    <col min="6" max="8" width="10.42578125" customWidth="1"/>
  </cols>
  <sheetData>
    <row r="1" spans="1:8">
      <c r="A1" t="s">
        <v>11461</v>
      </c>
      <c r="B1" t="s">
        <v>11462</v>
      </c>
      <c r="C1" t="s">
        <v>11</v>
      </c>
      <c r="D1" t="s">
        <v>983</v>
      </c>
      <c r="E1" t="s">
        <v>12</v>
      </c>
      <c r="F1" t="s">
        <v>11463</v>
      </c>
      <c r="G1" t="s">
        <v>11464</v>
      </c>
      <c r="H1" t="s">
        <v>11465</v>
      </c>
    </row>
    <row r="2" spans="1:8">
      <c r="A2" t="s">
        <v>882</v>
      </c>
      <c r="B2" t="s">
        <v>168</v>
      </c>
      <c r="C2" t="str">
        <f>Table5[[#This Row],[Table Name]]&amp;"." &amp;Table5[[#This Row],[Field Name]]</f>
        <v>rbs_structures.AADT</v>
      </c>
      <c r="D2">
        <v>113</v>
      </c>
      <c r="E2" t="s">
        <v>11466</v>
      </c>
    </row>
    <row r="3" spans="1:8">
      <c r="A3" t="s">
        <v>882</v>
      </c>
      <c r="B3" t="s">
        <v>174</v>
      </c>
      <c r="C3" t="str">
        <f>Table5[[#This Row],[Table Name]]&amp;"." &amp;Table5[[#This Row],[Field Name]]</f>
        <v>rbs_structures.AADT_GROWTH</v>
      </c>
      <c r="D3">
        <v>82</v>
      </c>
      <c r="E3" t="s">
        <v>11467</v>
      </c>
    </row>
    <row r="4" spans="1:8">
      <c r="A4" t="s">
        <v>882</v>
      </c>
      <c r="B4" t="s">
        <v>177</v>
      </c>
      <c r="C4" t="str">
        <f>Table5[[#This Row],[Table Name]]&amp;"." &amp;Table5[[#This Row],[Field Name]]</f>
        <v>rbs_structures.AADT_PERCENTAGE_HEAVY</v>
      </c>
      <c r="D4">
        <v>104</v>
      </c>
      <c r="E4" t="s">
        <v>11468</v>
      </c>
    </row>
    <row r="5" spans="1:8">
      <c r="A5" t="s">
        <v>882</v>
      </c>
      <c r="B5" t="s">
        <v>171</v>
      </c>
      <c r="C5" t="str">
        <f>Table5[[#This Row],[Table Name]]&amp;"." &amp;Table5[[#This Row],[Field Name]]</f>
        <v>rbs_structures.AADT_YR</v>
      </c>
      <c r="D5">
        <v>81</v>
      </c>
      <c r="E5" t="s">
        <v>11469</v>
      </c>
    </row>
    <row r="6" spans="1:8">
      <c r="A6" t="s">
        <v>882</v>
      </c>
      <c r="B6" t="s">
        <v>410</v>
      </c>
      <c r="C6" t="str">
        <f>Table5[[#This Row],[Table Name]]&amp;"." &amp;Table5[[#This Row],[Field Name]]</f>
        <v>rbs_structures.APPROACH_CWY_WIDTH</v>
      </c>
      <c r="D6">
        <v>116</v>
      </c>
      <c r="E6" t="s">
        <v>11466</v>
      </c>
    </row>
    <row r="7" spans="1:8">
      <c r="A7" t="s">
        <v>882</v>
      </c>
      <c r="B7" t="s">
        <v>11470</v>
      </c>
      <c r="C7" t="str">
        <f>Table5[[#This Row],[Table Name]]&amp;"." &amp;Table5[[#This Row],[Field Name]]</f>
        <v>rbs_structures.APPROVED_BY</v>
      </c>
      <c r="D7">
        <v>93</v>
      </c>
      <c r="E7" t="s">
        <v>11471</v>
      </c>
    </row>
    <row r="8" spans="1:8">
      <c r="A8" t="s">
        <v>882</v>
      </c>
      <c r="B8" t="s">
        <v>876</v>
      </c>
      <c r="C8" t="str">
        <f>Table5[[#This Row],[Table Name]]&amp;"." &amp;Table5[[#This Row],[Field Name]]</f>
        <v>rbs_structures.APPROVED_DATE</v>
      </c>
      <c r="D8">
        <v>94</v>
      </c>
      <c r="E8" t="s">
        <v>11472</v>
      </c>
    </row>
    <row r="9" spans="1:8">
      <c r="A9" t="s">
        <v>882</v>
      </c>
      <c r="B9" t="s">
        <v>11473</v>
      </c>
      <c r="C9" t="str">
        <f>Table5[[#This Row],[Table Name]]&amp;"." &amp;Table5[[#This Row],[Field Name]]</f>
        <v>rbs_structures.ARCHIVE_DATE</v>
      </c>
      <c r="D9">
        <v>78</v>
      </c>
      <c r="E9" t="s">
        <v>11472</v>
      </c>
    </row>
    <row r="10" spans="1:8">
      <c r="A10" t="s">
        <v>882</v>
      </c>
      <c r="B10" t="s">
        <v>11474</v>
      </c>
      <c r="C10" t="str">
        <f>Table5[[#This Row],[Table Name]]&amp;"." &amp;Table5[[#This Row],[Field Name]]</f>
        <v>rbs_structures.ARCHIVE_REASON</v>
      </c>
      <c r="D10">
        <v>51</v>
      </c>
      <c r="E10" t="s">
        <v>11475</v>
      </c>
    </row>
    <row r="11" spans="1:8">
      <c r="A11" t="s">
        <v>882</v>
      </c>
      <c r="B11" t="s">
        <v>11476</v>
      </c>
      <c r="C11" t="str">
        <f>Table5[[#This Row],[Table Name]]&amp;"." &amp;Table5[[#This Row],[Field Name]]</f>
        <v>rbs_structures.ASBESTOS_YN</v>
      </c>
      <c r="D11">
        <v>107</v>
      </c>
      <c r="E11" t="s">
        <v>11477</v>
      </c>
    </row>
    <row r="12" spans="1:8">
      <c r="A12" t="s">
        <v>882</v>
      </c>
      <c r="B12" t="s">
        <v>213</v>
      </c>
      <c r="C12" t="str">
        <f>Table5[[#This Row],[Table Name]]&amp;"." &amp;Table5[[#This Row],[Field Name]]</f>
        <v>rbs_structures.B_DOUBLE_RD_YN</v>
      </c>
      <c r="D12">
        <v>115</v>
      </c>
      <c r="E12" t="s">
        <v>11477</v>
      </c>
    </row>
    <row r="13" spans="1:8">
      <c r="A13" t="s">
        <v>882</v>
      </c>
      <c r="B13" t="s">
        <v>11478</v>
      </c>
      <c r="C13" t="str">
        <f>Table5[[#This Row],[Table Name]]&amp;"." &amp;Table5[[#This Row],[Field Name]]</f>
        <v>rbs_structures.B_DOUBLES_ANALYTICAL_RATING</v>
      </c>
      <c r="D13">
        <v>64</v>
      </c>
      <c r="E13" t="s">
        <v>11479</v>
      </c>
    </row>
    <row r="14" spans="1:8">
      <c r="A14" t="s">
        <v>882</v>
      </c>
      <c r="B14" t="s">
        <v>11480</v>
      </c>
      <c r="C14" t="str">
        <f>Table5[[#This Row],[Table Name]]&amp;"." &amp;Table5[[#This Row],[Field Name]]</f>
        <v>rbs_structures.B_DOUBLES_LOAD_RATING</v>
      </c>
      <c r="D14">
        <v>63</v>
      </c>
      <c r="E14" t="s">
        <v>11479</v>
      </c>
    </row>
    <row r="15" spans="1:8">
      <c r="A15" t="s">
        <v>882</v>
      </c>
      <c r="B15" t="s">
        <v>11481</v>
      </c>
      <c r="C15" t="str">
        <f>Table5[[#This Row],[Table Name]]&amp;"." &amp;Table5[[#This Row],[Field Name]]</f>
        <v>rbs_structures.B_DOUBLES_TEST_LOAD_RATING</v>
      </c>
      <c r="D15">
        <v>65</v>
      </c>
      <c r="E15" t="s">
        <v>11479</v>
      </c>
    </row>
    <row r="16" spans="1:8">
      <c r="A16" t="s">
        <v>882</v>
      </c>
      <c r="B16" t="s">
        <v>11482</v>
      </c>
      <c r="C16" t="str">
        <f>Table5[[#This Row],[Table Name]]&amp;"." &amp;Table5[[#This Row],[Field Name]]</f>
        <v>rbs_structures.BMP_DATE</v>
      </c>
      <c r="D16">
        <v>79</v>
      </c>
      <c r="E16" t="s">
        <v>11472</v>
      </c>
    </row>
    <row r="17" spans="1:8">
      <c r="A17" t="s">
        <v>882</v>
      </c>
      <c r="B17" t="s">
        <v>11483</v>
      </c>
      <c r="C17" t="str">
        <f>Table5[[#This Row],[Table Name]]&amp;"." &amp;Table5[[#This Row],[Field Name]]</f>
        <v>rbs_structures.BMP_RISK_LEVEL</v>
      </c>
      <c r="D17">
        <v>96</v>
      </c>
      <c r="E17" t="s">
        <v>11467</v>
      </c>
    </row>
    <row r="18" spans="1:8">
      <c r="A18" t="s">
        <v>882</v>
      </c>
      <c r="B18" t="s">
        <v>207</v>
      </c>
      <c r="C18" t="str">
        <f>Table5[[#This Row],[Table Name]]&amp;"." &amp;Table5[[#This Row],[Field Name]]</f>
        <v>rbs_structures.BORDER_BRDG_YN</v>
      </c>
      <c r="D18">
        <v>22</v>
      </c>
      <c r="E18" t="s">
        <v>11484</v>
      </c>
      <c r="F18" t="s">
        <v>11485</v>
      </c>
      <c r="G18" t="s">
        <v>11486</v>
      </c>
      <c r="H18" t="s">
        <v>11487</v>
      </c>
    </row>
    <row r="19" spans="1:8">
      <c r="A19" t="s">
        <v>882</v>
      </c>
      <c r="B19" t="s">
        <v>11488</v>
      </c>
      <c r="C19" t="str">
        <f>Table5[[#This Row],[Table Name]]&amp;"." &amp;Table5[[#This Row],[Field Name]]</f>
        <v>rbs_structures.BRDG_TYPE_CODE</v>
      </c>
      <c r="D19">
        <v>25</v>
      </c>
      <c r="E19" t="s">
        <v>11489</v>
      </c>
    </row>
    <row r="20" spans="1:8">
      <c r="A20" t="s">
        <v>882</v>
      </c>
      <c r="B20" t="s">
        <v>188</v>
      </c>
      <c r="C20" t="str">
        <f>Table5[[#This Row],[Table Name]]&amp;"." &amp;Table5[[#This Row],[Field Name]]</f>
        <v>rbs_structures.BRIDGE_COMMENT</v>
      </c>
      <c r="D20">
        <v>68</v>
      </c>
      <c r="E20" t="s">
        <v>11490</v>
      </c>
    </row>
    <row r="21" spans="1:8">
      <c r="A21" t="s">
        <v>882</v>
      </c>
      <c r="B21" t="s">
        <v>62</v>
      </c>
      <c r="C21" t="str">
        <f>Table5[[#This Row],[Table Name]]&amp;"." &amp;Table5[[#This Row],[Field Name]]</f>
        <v>rbs_structures.BRIDGE_NAME</v>
      </c>
      <c r="D21">
        <v>8</v>
      </c>
      <c r="E21" t="s">
        <v>11491</v>
      </c>
    </row>
    <row r="22" spans="1:8">
      <c r="A22" t="s">
        <v>882</v>
      </c>
      <c r="B22" t="s">
        <v>37</v>
      </c>
      <c r="C22" t="str">
        <f>Table5[[#This Row],[Table Name]]&amp;"." &amp;Table5[[#This Row],[Field Name]]</f>
        <v>rbs_structures.BRIDGE_NUMBER</v>
      </c>
      <c r="D22">
        <v>2</v>
      </c>
      <c r="E22" t="s">
        <v>11479</v>
      </c>
    </row>
    <row r="23" spans="1:8">
      <c r="A23" t="s">
        <v>882</v>
      </c>
      <c r="B23" t="s">
        <v>150</v>
      </c>
      <c r="C23" t="str">
        <f>Table5[[#This Row],[Table Name]]&amp;"." &amp;Table5[[#This Row],[Field Name]]</f>
        <v>rbs_structures.BRIDGE_OFFICE_ID_INSPECT</v>
      </c>
      <c r="D23">
        <v>53</v>
      </c>
      <c r="E23" t="s">
        <v>11469</v>
      </c>
    </row>
    <row r="24" spans="1:8">
      <c r="A24" t="s">
        <v>882</v>
      </c>
      <c r="B24" t="s">
        <v>153</v>
      </c>
      <c r="C24" t="str">
        <f>Table5[[#This Row],[Table Name]]&amp;"." &amp;Table5[[#This Row],[Field Name]]</f>
        <v>rbs_structures.BRIDGE_OFFICE_ID_MAINT</v>
      </c>
      <c r="D24">
        <v>54</v>
      </c>
      <c r="E24" t="s">
        <v>11469</v>
      </c>
    </row>
    <row r="25" spans="1:8">
      <c r="A25" t="s">
        <v>882</v>
      </c>
      <c r="B25" t="s">
        <v>552</v>
      </c>
      <c r="C25" t="str">
        <f>Table5[[#This Row],[Table Name]]&amp;"." &amp;Table5[[#This Row],[Field Name]]</f>
        <v>rbs_structures.COMMENT_GIRDERS</v>
      </c>
      <c r="D25">
        <v>50</v>
      </c>
      <c r="E25" t="s">
        <v>11475</v>
      </c>
    </row>
    <row r="26" spans="1:8">
      <c r="A26" t="s">
        <v>882</v>
      </c>
      <c r="B26" t="s">
        <v>559</v>
      </c>
      <c r="C26" t="str">
        <f>Table5[[#This Row],[Table Name]]&amp;"." &amp;Table5[[#This Row],[Field Name]]</f>
        <v>rbs_structures.COMMENT_LIGHTING</v>
      </c>
      <c r="D26">
        <v>49</v>
      </c>
      <c r="E26" t="s">
        <v>11475</v>
      </c>
    </row>
    <row r="27" spans="1:8">
      <c r="A27" t="s">
        <v>882</v>
      </c>
      <c r="B27" t="s">
        <v>215</v>
      </c>
      <c r="C27" t="str">
        <f>Table5[[#This Row],[Table Name]]&amp;"." &amp;Table5[[#This Row],[Field Name]]</f>
        <v>rbs_structures.COMPLEX_UNUSUAL_YN</v>
      </c>
      <c r="D27">
        <v>73</v>
      </c>
      <c r="E27" t="s">
        <v>11484</v>
      </c>
      <c r="F27" t="s">
        <v>11485</v>
      </c>
      <c r="G27" t="s">
        <v>11492</v>
      </c>
    </row>
    <row r="28" spans="1:8">
      <c r="A28" t="s">
        <v>882</v>
      </c>
      <c r="B28" t="s">
        <v>223</v>
      </c>
      <c r="C28" t="str">
        <f>Table5[[#This Row],[Table Name]]&amp;"." &amp;Table5[[#This Row],[Field Name]]</f>
        <v>rbs_structures.CONFINED_SPACE</v>
      </c>
      <c r="D28">
        <v>67</v>
      </c>
      <c r="E28" t="s">
        <v>11493</v>
      </c>
    </row>
    <row r="29" spans="1:8">
      <c r="A29" t="s">
        <v>882</v>
      </c>
      <c r="B29" t="s">
        <v>197</v>
      </c>
      <c r="C29" t="str">
        <f>Table5[[#This Row],[Table Name]]&amp;"." &amp;Table5[[#This Row],[Field Name]]</f>
        <v>rbs_structures.CULVERT_HT_OF_FILL</v>
      </c>
      <c r="D29">
        <v>39</v>
      </c>
      <c r="E29" t="s">
        <v>11494</v>
      </c>
    </row>
    <row r="30" spans="1:8">
      <c r="A30" t="s">
        <v>882</v>
      </c>
      <c r="B30" t="s">
        <v>30</v>
      </c>
      <c r="C30" t="str">
        <f>Table5[[#This Row],[Table Name]]&amp;"." &amp;Table5[[#This Row],[Field Name]]</f>
        <v>rbs_structures.CURRENT_YN</v>
      </c>
      <c r="D30">
        <v>3</v>
      </c>
      <c r="E30" t="s">
        <v>11484</v>
      </c>
      <c r="F30" t="s">
        <v>11485</v>
      </c>
      <c r="G30" t="s">
        <v>11495</v>
      </c>
      <c r="H30" t="s">
        <v>11487</v>
      </c>
    </row>
    <row r="31" spans="1:8">
      <c r="A31" t="s">
        <v>882</v>
      </c>
      <c r="B31" t="s">
        <v>200</v>
      </c>
      <c r="C31" t="str">
        <f>Table5[[#This Row],[Table Name]]&amp;"." &amp;Table5[[#This Row],[Field Name]]</f>
        <v>rbs_structures.DECK_LEVEL_IN_AHD</v>
      </c>
      <c r="D31">
        <v>106</v>
      </c>
      <c r="E31" t="s">
        <v>11496</v>
      </c>
    </row>
    <row r="32" spans="1:8">
      <c r="A32" t="s">
        <v>882</v>
      </c>
      <c r="B32" t="s">
        <v>532</v>
      </c>
      <c r="C32" t="str">
        <f>Table5[[#This Row],[Table Name]]&amp;"." &amp;Table5[[#This Row],[Field Name]]</f>
        <v>rbs_structures.DECK_MEDN_TYPE_CODE</v>
      </c>
      <c r="D32">
        <v>30</v>
      </c>
      <c r="E32" t="s">
        <v>11497</v>
      </c>
    </row>
    <row r="33" spans="1:8">
      <c r="A33" t="s">
        <v>882</v>
      </c>
      <c r="B33" t="s">
        <v>205</v>
      </c>
      <c r="C33" t="str">
        <f>Table5[[#This Row],[Table Name]]&amp;"." &amp;Table5[[#This Row],[Field Name]]</f>
        <v>rbs_structures.DEEMED_STATE_WORK_YN</v>
      </c>
      <c r="D33">
        <v>21</v>
      </c>
      <c r="E33" t="s">
        <v>11484</v>
      </c>
      <c r="F33" t="s">
        <v>11485</v>
      </c>
      <c r="G33" t="s">
        <v>11486</v>
      </c>
      <c r="H33" t="s">
        <v>11487</v>
      </c>
    </row>
    <row r="34" spans="1:8">
      <c r="A34" t="s">
        <v>882</v>
      </c>
      <c r="B34" t="s">
        <v>57</v>
      </c>
      <c r="C34" t="str">
        <f>Table5[[#This Row],[Table Name]]&amp;"." &amp;Table5[[#This Row],[Field Name]]</f>
        <v>rbs_structures.DESCRIPTION_AT</v>
      </c>
      <c r="D34">
        <v>7</v>
      </c>
      <c r="E34" t="s">
        <v>11491</v>
      </c>
    </row>
    <row r="35" spans="1:8">
      <c r="A35" t="s">
        <v>882</v>
      </c>
      <c r="B35" t="s">
        <v>60</v>
      </c>
      <c r="C35" t="str">
        <f>Table5[[#This Row],[Table Name]]&amp;"." &amp;Table5[[#This Row],[Field Name]]</f>
        <v>rbs_structures.DESCRIPTION_AT2</v>
      </c>
      <c r="D35">
        <v>101</v>
      </c>
      <c r="E35" t="s">
        <v>11491</v>
      </c>
    </row>
    <row r="36" spans="1:8">
      <c r="A36" t="s">
        <v>882</v>
      </c>
      <c r="B36" t="s">
        <v>53</v>
      </c>
      <c r="C36" t="str">
        <f>Table5[[#This Row],[Table Name]]&amp;"." &amp;Table5[[#This Row],[Field Name]]</f>
        <v>rbs_structures.DESCRIPTION_OVER</v>
      </c>
      <c r="D36">
        <v>5</v>
      </c>
      <c r="E36" t="s">
        <v>11491</v>
      </c>
    </row>
    <row r="37" spans="1:8">
      <c r="A37" t="s">
        <v>882</v>
      </c>
      <c r="B37" t="s">
        <v>49</v>
      </c>
      <c r="C37" t="str">
        <f>Table5[[#This Row],[Table Name]]&amp;"." &amp;Table5[[#This Row],[Field Name]]</f>
        <v>rbs_structures.DESCRIPTION_TYPE</v>
      </c>
      <c r="D37">
        <v>6</v>
      </c>
      <c r="E37" t="s">
        <v>11491</v>
      </c>
    </row>
    <row r="38" spans="1:8">
      <c r="A38" t="s">
        <v>882</v>
      </c>
      <c r="B38" t="s">
        <v>113</v>
      </c>
      <c r="C38" t="str">
        <f>Table5[[#This Row],[Table Name]]&amp;"." &amp;Table5[[#This Row],[Field Name]]</f>
        <v>rbs_structures.DT_OPEN_TO_TRAFFIC</v>
      </c>
      <c r="D38">
        <v>37</v>
      </c>
      <c r="E38" t="s">
        <v>11472</v>
      </c>
    </row>
    <row r="39" spans="1:8">
      <c r="A39" t="s">
        <v>882</v>
      </c>
      <c r="B39" t="s">
        <v>11498</v>
      </c>
      <c r="C39" t="str">
        <f>Table5[[#This Row],[Table Name]]&amp;"." &amp;Table5[[#This Row],[Field Name]]</f>
        <v>rbs_structures.EASTING</v>
      </c>
      <c r="D39">
        <v>47</v>
      </c>
      <c r="E39" t="s">
        <v>11499</v>
      </c>
    </row>
    <row r="40" spans="1:8">
      <c r="A40" t="s">
        <v>882</v>
      </c>
      <c r="B40" t="s">
        <v>600</v>
      </c>
      <c r="C40" t="str">
        <f>Table5[[#This Row],[Table Name]]&amp;"." &amp;Table5[[#This Row],[Field Name]]</f>
        <v>rbs_structures.EXISTING_BARR_DEFICIENCY</v>
      </c>
      <c r="D40">
        <v>119</v>
      </c>
      <c r="E40" t="s">
        <v>11466</v>
      </c>
    </row>
    <row r="41" spans="1:8">
      <c r="A41" t="s">
        <v>882</v>
      </c>
      <c r="B41" t="s">
        <v>180</v>
      </c>
      <c r="C41" t="str">
        <f>Table5[[#This Row],[Table Name]]&amp;"." &amp;Table5[[#This Row],[Field Name]]</f>
        <v>rbs_structures.FACI_TYPE_CODE</v>
      </c>
      <c r="D41">
        <v>13</v>
      </c>
      <c r="E41" t="s">
        <v>11497</v>
      </c>
    </row>
    <row r="42" spans="1:8">
      <c r="A42" t="s">
        <v>882</v>
      </c>
      <c r="B42" t="s">
        <v>496</v>
      </c>
      <c r="C42" t="str">
        <f>Table5[[#This Row],[Table Name]]&amp;"." &amp;Table5[[#This Row],[Field Name]]</f>
        <v>rbs_structures.FTWAY_WIDTH_LHS</v>
      </c>
      <c r="D42">
        <v>26</v>
      </c>
      <c r="E42" t="s">
        <v>11500</v>
      </c>
    </row>
    <row r="43" spans="1:8">
      <c r="A43" t="s">
        <v>882</v>
      </c>
      <c r="B43" t="s">
        <v>500</v>
      </c>
      <c r="C43" t="str">
        <f>Table5[[#This Row],[Table Name]]&amp;"." &amp;Table5[[#This Row],[Field Name]]</f>
        <v>rbs_structures.FTWAY_WIDTH_RHS</v>
      </c>
      <c r="D43">
        <v>27</v>
      </c>
      <c r="E43" t="s">
        <v>11500</v>
      </c>
    </row>
    <row r="44" spans="1:8">
      <c r="A44" t="s">
        <v>882</v>
      </c>
      <c r="B44" t="s">
        <v>115</v>
      </c>
      <c r="C44" t="str">
        <f>Table5[[#This Row],[Table Name]]&amp;"." &amp;Table5[[#This Row],[Field Name]]</f>
        <v>rbs_structures.GENERAL_FILE_NO</v>
      </c>
      <c r="D44">
        <v>38</v>
      </c>
      <c r="E44" t="s">
        <v>11501</v>
      </c>
    </row>
    <row r="45" spans="1:8">
      <c r="A45" t="s">
        <v>882</v>
      </c>
      <c r="B45" t="s">
        <v>547</v>
      </c>
      <c r="C45" t="str">
        <f>Table5[[#This Row],[Table Name]]&amp;"." &amp;Table5[[#This Row],[Field Name]]</f>
        <v>rbs_structures.GUARD_OK_YN</v>
      </c>
      <c r="D45">
        <v>42</v>
      </c>
      <c r="E45" t="s">
        <v>11484</v>
      </c>
      <c r="F45" t="s">
        <v>11485</v>
      </c>
      <c r="G45" t="s">
        <v>11492</v>
      </c>
    </row>
    <row r="46" spans="1:8">
      <c r="A46" t="s">
        <v>882</v>
      </c>
      <c r="B46" t="s">
        <v>11502</v>
      </c>
      <c r="C46" t="str">
        <f>Table5[[#This Row],[Table Name]]&amp;"." &amp;Table5[[#This Row],[Field Name]]</f>
        <v>rbs_structures.HERITAGE_TYPE</v>
      </c>
      <c r="D46">
        <v>80</v>
      </c>
      <c r="E46" t="s">
        <v>11493</v>
      </c>
    </row>
    <row r="47" spans="1:8">
      <c r="A47" t="s">
        <v>882</v>
      </c>
      <c r="B47" t="s">
        <v>503</v>
      </c>
      <c r="C47" t="str">
        <f>Table5[[#This Row],[Table Name]]&amp;"." &amp;Table5[[#This Row],[Field Name]]</f>
        <v>rbs_structures.INNER_BARR_WIDTH_LHS</v>
      </c>
      <c r="D47">
        <v>28</v>
      </c>
      <c r="E47" t="s">
        <v>11500</v>
      </c>
    </row>
    <row r="48" spans="1:8">
      <c r="A48" t="s">
        <v>882</v>
      </c>
      <c r="B48" t="s">
        <v>506</v>
      </c>
      <c r="C48" t="str">
        <f>Table5[[#This Row],[Table Name]]&amp;"." &amp;Table5[[#This Row],[Field Name]]</f>
        <v>rbs_structures.INNER_BARR_WIDTH_RHS</v>
      </c>
      <c r="D48">
        <v>29</v>
      </c>
      <c r="E48" t="s">
        <v>11500</v>
      </c>
    </row>
    <row r="49" spans="1:7">
      <c r="A49" t="s">
        <v>882</v>
      </c>
      <c r="B49" t="s">
        <v>93</v>
      </c>
      <c r="C49" t="str">
        <f>Table5[[#This Row],[Table Name]]&amp;"." &amp;Table5[[#This Row],[Field Name]]</f>
        <v>rbs_structures.LA_ID_FE</v>
      </c>
      <c r="D49">
        <v>102</v>
      </c>
      <c r="E49" t="s">
        <v>11503</v>
      </c>
    </row>
    <row r="50" spans="1:7">
      <c r="A50" t="s">
        <v>882</v>
      </c>
      <c r="B50" t="s">
        <v>85</v>
      </c>
      <c r="C50" t="str">
        <f>Table5[[#This Row],[Table Name]]&amp;"." &amp;Table5[[#This Row],[Field Name]]</f>
        <v>rbs_structures.LA_ID_LGA</v>
      </c>
      <c r="D50">
        <v>12</v>
      </c>
      <c r="E50" t="s">
        <v>11503</v>
      </c>
    </row>
    <row r="51" spans="1:7">
      <c r="A51" t="s">
        <v>882</v>
      </c>
      <c r="B51" t="s">
        <v>69</v>
      </c>
      <c r="C51" t="str">
        <f>Table5[[#This Row],[Table Name]]&amp;"." &amp;Table5[[#This Row],[Field Name]]</f>
        <v>rbs_structures.LA_ID_REGION</v>
      </c>
      <c r="D51">
        <v>9</v>
      </c>
      <c r="E51" t="s">
        <v>11504</v>
      </c>
    </row>
    <row r="52" spans="1:7">
      <c r="A52" t="s">
        <v>882</v>
      </c>
      <c r="B52" t="s">
        <v>96</v>
      </c>
      <c r="C52" t="str">
        <f>Table5[[#This Row],[Table Name]]&amp;"." &amp;Table5[[#This Row],[Field Name]]</f>
        <v>rbs_structures.LA_ID_SE</v>
      </c>
      <c r="D52">
        <v>103</v>
      </c>
      <c r="E52" t="s">
        <v>11503</v>
      </c>
    </row>
    <row r="53" spans="1:7">
      <c r="A53" t="s">
        <v>882</v>
      </c>
      <c r="B53" t="s">
        <v>82</v>
      </c>
      <c r="C53" t="str">
        <f>Table5[[#This Row],[Table Name]]&amp;"." &amp;Table5[[#This Row],[Field Name]]</f>
        <v>rbs_structures.LA_ID_SUBZ_NETW</v>
      </c>
      <c r="D53">
        <v>11</v>
      </c>
      <c r="E53" t="s">
        <v>11504</v>
      </c>
    </row>
    <row r="54" spans="1:7">
      <c r="A54" t="s">
        <v>882</v>
      </c>
      <c r="B54" t="s">
        <v>79</v>
      </c>
      <c r="C54" t="str">
        <f>Table5[[#This Row],[Table Name]]&amp;"." &amp;Table5[[#This Row],[Field Name]]</f>
        <v>rbs_structures.LA_ID_ZONE</v>
      </c>
      <c r="D54">
        <v>10</v>
      </c>
      <c r="E54" t="s">
        <v>11504</v>
      </c>
    </row>
    <row r="55" spans="1:7">
      <c r="A55" t="s">
        <v>882</v>
      </c>
      <c r="B55" t="s">
        <v>569</v>
      </c>
      <c r="C55" t="str">
        <f>Table5[[#This Row],[Table Name]]&amp;"." &amp;Table5[[#This Row],[Field Name]]</f>
        <v>rbs_structures.LAMP_POST_CONTROLLED_BY</v>
      </c>
      <c r="D55">
        <v>108</v>
      </c>
      <c r="E55" t="s">
        <v>11497</v>
      </c>
    </row>
    <row r="56" spans="1:7">
      <c r="A56" t="s">
        <v>882</v>
      </c>
      <c r="B56" t="s">
        <v>571</v>
      </c>
      <c r="C56" t="str">
        <f>Table5[[#This Row],[Table Name]]&amp;"." &amp;Table5[[#This Row],[Field Name]]</f>
        <v>rbs_structures.LAMP_POST_INSPECTED_BY</v>
      </c>
      <c r="D56">
        <v>109</v>
      </c>
      <c r="E56" t="s">
        <v>11497</v>
      </c>
    </row>
    <row r="57" spans="1:7">
      <c r="A57" t="s">
        <v>882</v>
      </c>
      <c r="B57" t="s">
        <v>573</v>
      </c>
      <c r="C57" t="str">
        <f>Table5[[#This Row],[Table Name]]&amp;"." &amp;Table5[[#This Row],[Field Name]]</f>
        <v>rbs_structures.LAMP_POST_MAINTAINED_BY</v>
      </c>
      <c r="D57">
        <v>110</v>
      </c>
      <c r="E57" t="s">
        <v>11497</v>
      </c>
    </row>
    <row r="58" spans="1:7">
      <c r="A58" t="s">
        <v>882</v>
      </c>
      <c r="B58" t="s">
        <v>217</v>
      </c>
      <c r="C58" t="str">
        <f>Table5[[#This Row],[Table Name]]&amp;"." &amp;Table5[[#This Row],[Field Name]]</f>
        <v>rbs_structures.LARGE_BEARING_YN</v>
      </c>
      <c r="D58">
        <v>71</v>
      </c>
      <c r="E58" t="s">
        <v>11484</v>
      </c>
      <c r="F58" t="s">
        <v>11485</v>
      </c>
      <c r="G58" t="s">
        <v>11492</v>
      </c>
    </row>
    <row r="59" spans="1:7">
      <c r="A59" t="s">
        <v>882</v>
      </c>
      <c r="B59" t="s">
        <v>219</v>
      </c>
      <c r="C59" t="str">
        <f>Table5[[#This Row],[Table Name]]&amp;"." &amp;Table5[[#This Row],[Field Name]]</f>
        <v>rbs_structures.LARGE_DECKJOINT_YN</v>
      </c>
      <c r="D59">
        <v>72</v>
      </c>
      <c r="E59" t="s">
        <v>11484</v>
      </c>
      <c r="F59" t="s">
        <v>11485</v>
      </c>
      <c r="G59" t="s">
        <v>11492</v>
      </c>
    </row>
    <row r="60" spans="1:7">
      <c r="A60" t="s">
        <v>882</v>
      </c>
      <c r="B60" t="s">
        <v>163</v>
      </c>
      <c r="C60" t="str">
        <f>Table5[[#This Row],[Table Name]]&amp;"." &amp;Table5[[#This Row],[Field Name]]</f>
        <v>rbs_structures.LATITUDE</v>
      </c>
      <c r="D60">
        <v>70</v>
      </c>
      <c r="E60" t="s">
        <v>11505</v>
      </c>
    </row>
    <row r="61" spans="1:7">
      <c r="A61" t="s">
        <v>882</v>
      </c>
      <c r="B61" t="s">
        <v>11506</v>
      </c>
      <c r="C61" t="str">
        <f>Table5[[#This Row],[Table Name]]&amp;"." &amp;Table5[[#This Row],[Field Name]]</f>
        <v>rbs_structures.LEGAL_ANALYTICAL_RATING</v>
      </c>
      <c r="D61">
        <v>57</v>
      </c>
      <c r="E61" t="s">
        <v>11479</v>
      </c>
    </row>
    <row r="62" spans="1:7">
      <c r="A62" t="s">
        <v>882</v>
      </c>
      <c r="B62" t="s">
        <v>11507</v>
      </c>
      <c r="C62" t="str">
        <f>Table5[[#This Row],[Table Name]]&amp;"." &amp;Table5[[#This Row],[Field Name]]</f>
        <v>rbs_structures.LEGAL_LOAD_RATING</v>
      </c>
      <c r="D62">
        <v>56</v>
      </c>
      <c r="E62" t="s">
        <v>11479</v>
      </c>
    </row>
    <row r="63" spans="1:7">
      <c r="A63" t="s">
        <v>882</v>
      </c>
      <c r="B63" t="s">
        <v>11508</v>
      </c>
      <c r="C63" t="str">
        <f>Table5[[#This Row],[Table Name]]&amp;"." &amp;Table5[[#This Row],[Field Name]]</f>
        <v>rbs_structures.LEGAL_TEST_LOAD_RATING</v>
      </c>
      <c r="D63">
        <v>59</v>
      </c>
      <c r="E63" t="s">
        <v>11479</v>
      </c>
    </row>
    <row r="64" spans="1:7">
      <c r="A64" t="s">
        <v>882</v>
      </c>
      <c r="B64" t="s">
        <v>231</v>
      </c>
      <c r="C64" t="str">
        <f>Table5[[#This Row],[Table Name]]&amp;"." &amp;Table5[[#This Row],[Field Name]]</f>
        <v>rbs_structures.LIFT_INSTALLED_YN</v>
      </c>
      <c r="D64">
        <v>100</v>
      </c>
      <c r="E64" t="s">
        <v>11484</v>
      </c>
      <c r="F64" t="s">
        <v>11485</v>
      </c>
      <c r="G64" t="s">
        <v>11492</v>
      </c>
    </row>
    <row r="65" spans="1:5">
      <c r="A65" t="s">
        <v>882</v>
      </c>
      <c r="B65" t="s">
        <v>11509</v>
      </c>
      <c r="C65" t="str">
        <f>Table5[[#This Row],[Table Name]]&amp;"." &amp;Table5[[#This Row],[Field Name]]</f>
        <v>rbs_structures.LOAD_TEST_ANALYTICAL_TYPE</v>
      </c>
      <c r="D65">
        <v>58</v>
      </c>
      <c r="E65" t="s">
        <v>11477</v>
      </c>
    </row>
    <row r="66" spans="1:5">
      <c r="A66" t="s">
        <v>882</v>
      </c>
      <c r="B66" t="s">
        <v>11510</v>
      </c>
      <c r="C66" t="str">
        <f>Table5[[#This Row],[Table Name]]&amp;"." &amp;Table5[[#This Row],[Field Name]]</f>
        <v>rbs_structures.LOAD_TEST_COMMENT</v>
      </c>
      <c r="D66">
        <v>61</v>
      </c>
      <c r="E66" t="s">
        <v>11490</v>
      </c>
    </row>
    <row r="67" spans="1:5">
      <c r="A67" t="s">
        <v>882</v>
      </c>
      <c r="B67" t="s">
        <v>11511</v>
      </c>
      <c r="C67" t="str">
        <f>Table5[[#This Row],[Table Name]]&amp;"." &amp;Table5[[#This Row],[Field Name]]</f>
        <v>rbs_structures.LOAD_TEST_DATE</v>
      </c>
      <c r="D67">
        <v>62</v>
      </c>
      <c r="E67" t="s">
        <v>11472</v>
      </c>
    </row>
    <row r="68" spans="1:5">
      <c r="A68" t="s">
        <v>882</v>
      </c>
      <c r="B68" t="s">
        <v>11512</v>
      </c>
      <c r="C68" t="str">
        <f>Table5[[#This Row],[Table Name]]&amp;"." &amp;Table5[[#This Row],[Field Name]]</f>
        <v>rbs_structures.LOAD_TEST_LOAD_TYPE</v>
      </c>
      <c r="D68">
        <v>60</v>
      </c>
      <c r="E68" t="s">
        <v>11477</v>
      </c>
    </row>
    <row r="69" spans="1:5">
      <c r="A69" t="s">
        <v>882</v>
      </c>
      <c r="B69" t="s">
        <v>166</v>
      </c>
      <c r="C69" t="str">
        <f>Table5[[#This Row],[Table Name]]&amp;"." &amp;Table5[[#This Row],[Field Name]]</f>
        <v>rbs_structures.LONGITUDE</v>
      </c>
      <c r="D69">
        <v>69</v>
      </c>
      <c r="E69" t="s">
        <v>11505</v>
      </c>
    </row>
    <row r="70" spans="1:5">
      <c r="A70" t="s">
        <v>882</v>
      </c>
      <c r="B70" t="s">
        <v>11513</v>
      </c>
      <c r="C70" t="str">
        <f>Table5[[#This Row],[Table Name]]&amp;"." &amp;Table5[[#This Row],[Field Name]]</f>
        <v>rbs_structures.MAINT_COMPLETED</v>
      </c>
      <c r="D70">
        <v>86</v>
      </c>
      <c r="E70" t="s">
        <v>11514</v>
      </c>
    </row>
    <row r="71" spans="1:5">
      <c r="A71" t="s">
        <v>882</v>
      </c>
      <c r="B71" t="s">
        <v>11515</v>
      </c>
      <c r="C71" t="str">
        <f>Table5[[#This Row],[Table Name]]&amp;"." &amp;Table5[[#This Row],[Field Name]]</f>
        <v>rbs_structures.MAINT_COMPLETED_TIMEFRAME</v>
      </c>
      <c r="D71">
        <v>90</v>
      </c>
      <c r="E71" t="s">
        <v>11472</v>
      </c>
    </row>
    <row r="72" spans="1:5">
      <c r="A72" t="s">
        <v>882</v>
      </c>
      <c r="B72" t="s">
        <v>11516</v>
      </c>
      <c r="C72" t="str">
        <f>Table5[[#This Row],[Table Name]]&amp;"." &amp;Table5[[#This Row],[Field Name]]</f>
        <v>rbs_structures.MAINT_DEVELOPED</v>
      </c>
      <c r="D72">
        <v>84</v>
      </c>
      <c r="E72" t="s">
        <v>11514</v>
      </c>
    </row>
    <row r="73" spans="1:5">
      <c r="A73" t="s">
        <v>882</v>
      </c>
      <c r="B73" t="s">
        <v>11517</v>
      </c>
      <c r="C73" t="str">
        <f>Table5[[#This Row],[Table Name]]&amp;"." &amp;Table5[[#This Row],[Field Name]]</f>
        <v>rbs_structures.MAINT_DEVELOPED_TIMEFRAME</v>
      </c>
      <c r="D73">
        <v>88</v>
      </c>
      <c r="E73" t="s">
        <v>11472</v>
      </c>
    </row>
    <row r="74" spans="1:5">
      <c r="A74" t="s">
        <v>882</v>
      </c>
      <c r="B74" t="s">
        <v>11518</v>
      </c>
      <c r="C74" t="str">
        <f>Table5[[#This Row],[Table Name]]&amp;"." &amp;Table5[[#This Row],[Field Name]]</f>
        <v>rbs_structures.MAINT_IDENTIFIED</v>
      </c>
      <c r="D74">
        <v>83</v>
      </c>
      <c r="E74" t="s">
        <v>11514</v>
      </c>
    </row>
    <row r="75" spans="1:5">
      <c r="A75" t="s">
        <v>882</v>
      </c>
      <c r="B75" t="s">
        <v>11519</v>
      </c>
      <c r="C75" t="str">
        <f>Table5[[#This Row],[Table Name]]&amp;"." &amp;Table5[[#This Row],[Field Name]]</f>
        <v>rbs_structures.MAINT_IDENTIFIED_TIMEFRAME</v>
      </c>
      <c r="D75">
        <v>87</v>
      </c>
      <c r="E75" t="s">
        <v>11472</v>
      </c>
    </row>
    <row r="76" spans="1:5">
      <c r="A76" t="s">
        <v>882</v>
      </c>
      <c r="B76" t="s">
        <v>11520</v>
      </c>
      <c r="C76" t="str">
        <f>Table5[[#This Row],[Table Name]]&amp;"." &amp;Table5[[#This Row],[Field Name]]</f>
        <v>rbs_structures.MAINT_PLANNED</v>
      </c>
      <c r="D76">
        <v>85</v>
      </c>
      <c r="E76" t="s">
        <v>11514</v>
      </c>
    </row>
    <row r="77" spans="1:5">
      <c r="A77" t="s">
        <v>882</v>
      </c>
      <c r="B77" t="s">
        <v>11521</v>
      </c>
      <c r="C77" t="str">
        <f>Table5[[#This Row],[Table Name]]&amp;"." &amp;Table5[[#This Row],[Field Name]]</f>
        <v>rbs_structures.MAINT_PLANNED_TIMEFRAME</v>
      </c>
      <c r="D77">
        <v>89</v>
      </c>
      <c r="E77" t="s">
        <v>11472</v>
      </c>
    </row>
    <row r="78" spans="1:5">
      <c r="A78" t="s">
        <v>882</v>
      </c>
      <c r="B78" t="s">
        <v>597</v>
      </c>
      <c r="C78" t="str">
        <f>Table5[[#This Row],[Table Name]]&amp;"." &amp;Table5[[#This Row],[Field Name]]</f>
        <v>rbs_structures.MAX_BARR_CAPACITY</v>
      </c>
      <c r="D78">
        <v>118</v>
      </c>
      <c r="E78" t="s">
        <v>11466</v>
      </c>
    </row>
    <row r="79" spans="1:5">
      <c r="A79" t="s">
        <v>882</v>
      </c>
      <c r="B79" t="s">
        <v>535</v>
      </c>
      <c r="C79" t="str">
        <f>Table5[[#This Row],[Table Name]]&amp;"." &amp;Table5[[#This Row],[Field Name]]</f>
        <v>rbs_structures.MEDIAN_HT</v>
      </c>
      <c r="D79">
        <v>31</v>
      </c>
      <c r="E79" t="s">
        <v>11500</v>
      </c>
    </row>
    <row r="80" spans="1:5">
      <c r="A80" t="s">
        <v>882</v>
      </c>
      <c r="B80" t="s">
        <v>541</v>
      </c>
      <c r="C80" t="str">
        <f>Table5[[#This Row],[Table Name]]&amp;"." &amp;Table5[[#This Row],[Field Name]]</f>
        <v>rbs_structures.MEDIAN_MAX_WIDTH</v>
      </c>
      <c r="D80">
        <v>33</v>
      </c>
      <c r="E80" t="s">
        <v>11494</v>
      </c>
    </row>
    <row r="81" spans="1:8">
      <c r="A81" t="s">
        <v>882</v>
      </c>
      <c r="B81" t="s">
        <v>538</v>
      </c>
      <c r="C81" t="str">
        <f>Table5[[#This Row],[Table Name]]&amp;"." &amp;Table5[[#This Row],[Field Name]]</f>
        <v>rbs_structures.MEDIAN_MIN_WIDTH</v>
      </c>
      <c r="D81">
        <v>32</v>
      </c>
      <c r="E81" t="s">
        <v>11494</v>
      </c>
    </row>
    <row r="82" spans="1:8">
      <c r="A82" t="s">
        <v>882</v>
      </c>
      <c r="B82" t="s">
        <v>202</v>
      </c>
      <c r="C82" t="str">
        <f>Table5[[#This Row],[Table Name]]&amp;"." &amp;Table5[[#This Row],[Field Name]]</f>
        <v>rbs_structures.MINE_SUBSID_AREA_YN</v>
      </c>
      <c r="D82">
        <v>20</v>
      </c>
      <c r="E82" t="s">
        <v>11522</v>
      </c>
      <c r="F82" t="s">
        <v>11485</v>
      </c>
      <c r="G82" t="s">
        <v>11486</v>
      </c>
      <c r="H82" t="s">
        <v>11487</v>
      </c>
    </row>
    <row r="83" spans="1:8">
      <c r="A83" t="s">
        <v>882</v>
      </c>
      <c r="B83" t="s">
        <v>525</v>
      </c>
      <c r="C83" t="str">
        <f>Table5[[#This Row],[Table Name]]&amp;"." &amp;Table5[[#This Row],[Field Name]]</f>
        <v>rbs_structures.MV_DECK_SPAN_TYPE_CODE</v>
      </c>
      <c r="D83">
        <v>43</v>
      </c>
      <c r="E83" t="s">
        <v>11497</v>
      </c>
    </row>
    <row r="84" spans="1:8">
      <c r="A84" t="s">
        <v>882</v>
      </c>
      <c r="B84" t="s">
        <v>528</v>
      </c>
      <c r="C84" t="str">
        <f>Table5[[#This Row],[Table Name]]&amp;"." &amp;Table5[[#This Row],[Field Name]]</f>
        <v>rbs_structures.MV_DECKSPAN_INUSE_YN</v>
      </c>
      <c r="D84">
        <v>23</v>
      </c>
      <c r="E84" t="s">
        <v>11522</v>
      </c>
      <c r="F84" t="s">
        <v>11485</v>
      </c>
      <c r="G84" t="s">
        <v>11486</v>
      </c>
      <c r="H84" t="s">
        <v>11487</v>
      </c>
    </row>
    <row r="85" spans="1:8">
      <c r="A85" t="s">
        <v>882</v>
      </c>
      <c r="B85" t="s">
        <v>558</v>
      </c>
      <c r="C85" t="str">
        <f>Table5[[#This Row],[Table Name]]&amp;"." &amp;Table5[[#This Row],[Field Name]]</f>
        <v>rbs_structures.NO_OF_LAMP_POSTS</v>
      </c>
      <c r="D85">
        <v>111</v>
      </c>
      <c r="E85" t="s">
        <v>11468</v>
      </c>
    </row>
    <row r="86" spans="1:8">
      <c r="A86" t="s">
        <v>882</v>
      </c>
      <c r="B86" t="s">
        <v>556</v>
      </c>
      <c r="C86" t="str">
        <f>Table5[[#This Row],[Table Name]]&amp;"." &amp;Table5[[#This Row],[Field Name]]</f>
        <v>rbs_structures.NO_OF_LAMPS</v>
      </c>
      <c r="D86">
        <v>18</v>
      </c>
      <c r="E86" t="s">
        <v>11468</v>
      </c>
    </row>
    <row r="87" spans="1:8">
      <c r="A87" t="s">
        <v>882</v>
      </c>
      <c r="B87" t="s">
        <v>550</v>
      </c>
      <c r="C87" t="str">
        <f>Table5[[#This Row],[Table Name]]&amp;"." &amp;Table5[[#This Row],[Field Name]]</f>
        <v>rbs_structures.NO_OF_TIMBER_GIRDERS</v>
      </c>
      <c r="D87">
        <v>46</v>
      </c>
      <c r="E87" t="s">
        <v>11469</v>
      </c>
    </row>
    <row r="88" spans="1:8">
      <c r="A88" t="s">
        <v>882</v>
      </c>
      <c r="B88" t="s">
        <v>11523</v>
      </c>
      <c r="C88" t="str">
        <f>Table5[[#This Row],[Table Name]]&amp;"." &amp;Table5[[#This Row],[Field Name]]</f>
        <v>rbs_structures.NORTHING</v>
      </c>
      <c r="D88">
        <v>48</v>
      </c>
      <c r="E88" t="s">
        <v>11524</v>
      </c>
    </row>
    <row r="89" spans="1:8">
      <c r="A89" t="s">
        <v>882</v>
      </c>
      <c r="B89" t="s">
        <v>147</v>
      </c>
      <c r="C89" t="str">
        <f>Table5[[#This Row],[Table Name]]&amp;"." &amp;Table5[[#This Row],[Field Name]]</f>
        <v>rbs_structures.OFFICE_ID</v>
      </c>
      <c r="D89">
        <v>4</v>
      </c>
      <c r="E89" t="s">
        <v>11469</v>
      </c>
    </row>
    <row r="90" spans="1:8">
      <c r="A90" t="s">
        <v>882</v>
      </c>
      <c r="B90" t="s">
        <v>235</v>
      </c>
      <c r="C90" t="str">
        <f>Table5[[#This Row],[Table Name]]&amp;"." &amp;Table5[[#This Row],[Field Name]]</f>
        <v>rbs_structures.OPENING_BRIDGE_YN</v>
      </c>
      <c r="D90">
        <v>112</v>
      </c>
      <c r="E90" t="s">
        <v>11484</v>
      </c>
      <c r="F90" t="s">
        <v>11485</v>
      </c>
      <c r="G90" t="s">
        <v>11492</v>
      </c>
    </row>
    <row r="91" spans="1:8">
      <c r="A91" t="s">
        <v>882</v>
      </c>
      <c r="B91" t="s">
        <v>105</v>
      </c>
      <c r="C91" t="str">
        <f>Table5[[#This Row],[Table Name]]&amp;"." &amp;Table5[[#This Row],[Field Name]]</f>
        <v>rbs_structures.OPER_STAT_CODE</v>
      </c>
      <c r="D91">
        <v>14</v>
      </c>
      <c r="E91" t="s">
        <v>11497</v>
      </c>
    </row>
    <row r="92" spans="1:8">
      <c r="A92" t="s">
        <v>882</v>
      </c>
      <c r="B92" t="s">
        <v>483</v>
      </c>
      <c r="C92" t="str">
        <f>Table5[[#This Row],[Table Name]]&amp;"." &amp;Table5[[#This Row],[Field Name]]</f>
        <v>rbs_structures.OVERALL_LENGTH</v>
      </c>
      <c r="D92">
        <v>34</v>
      </c>
      <c r="E92" t="s">
        <v>11525</v>
      </c>
    </row>
    <row r="93" spans="1:8">
      <c r="A93" t="s">
        <v>882</v>
      </c>
      <c r="B93" t="s">
        <v>512</v>
      </c>
      <c r="C93" t="str">
        <f>Table5[[#This Row],[Table Name]]&amp;"." &amp;Table5[[#This Row],[Field Name]]</f>
        <v>rbs_structures.OVERALL_MAX_DECK_WIDTH</v>
      </c>
      <c r="D93">
        <v>36</v>
      </c>
      <c r="E93" t="s">
        <v>11526</v>
      </c>
    </row>
    <row r="94" spans="1:8">
      <c r="A94" t="s">
        <v>882</v>
      </c>
      <c r="B94" t="s">
        <v>509</v>
      </c>
      <c r="C94" t="str">
        <f>Table5[[#This Row],[Table Name]]&amp;"." &amp;Table5[[#This Row],[Field Name]]</f>
        <v>rbs_structures.OVERALL_MIN_DECK_WIDTH</v>
      </c>
      <c r="D94">
        <v>35</v>
      </c>
      <c r="E94" t="s">
        <v>11526</v>
      </c>
    </row>
    <row r="95" spans="1:8">
      <c r="A95" t="s">
        <v>882</v>
      </c>
      <c r="B95" t="s">
        <v>11527</v>
      </c>
      <c r="C95" t="str">
        <f>Table5[[#This Row],[Table Name]]&amp;"." &amp;Table5[[#This Row],[Field Name]]</f>
        <v>rbs_structures.OVERWRITE_BRDG_TYPE_YN</v>
      </c>
      <c r="D95">
        <v>24</v>
      </c>
      <c r="E95" t="s">
        <v>11484</v>
      </c>
      <c r="F95" t="s">
        <v>11485</v>
      </c>
      <c r="G95" t="s">
        <v>11486</v>
      </c>
      <c r="H95" t="s">
        <v>11487</v>
      </c>
    </row>
    <row r="96" spans="1:8">
      <c r="A96" t="s">
        <v>882</v>
      </c>
      <c r="B96" t="s">
        <v>233</v>
      </c>
      <c r="C96" t="str">
        <f>Table5[[#This Row],[Table Name]]&amp;"." &amp;Table5[[#This Row],[Field Name]]</f>
        <v>rbs_structures.PED_USE_YN</v>
      </c>
      <c r="D96">
        <v>105</v>
      </c>
      <c r="E96" t="s">
        <v>11477</v>
      </c>
    </row>
    <row r="97" spans="1:7">
      <c r="A97" t="s">
        <v>882</v>
      </c>
      <c r="B97" t="s">
        <v>225</v>
      </c>
      <c r="C97" t="str">
        <f>Table5[[#This Row],[Table Name]]&amp;"." &amp;Table5[[#This Row],[Field Name]]</f>
        <v>rbs_structures.POTENTIAL_HIGH_RISK_YN</v>
      </c>
      <c r="D97">
        <v>114</v>
      </c>
      <c r="E97" t="s">
        <v>11477</v>
      </c>
    </row>
    <row r="98" spans="1:7">
      <c r="A98" t="s">
        <v>882</v>
      </c>
      <c r="B98" t="s">
        <v>11528</v>
      </c>
      <c r="C98" t="str">
        <f>Table5[[#This Row],[Table Name]]&amp;"." &amp;Table5[[#This Row],[Field Name]]</f>
        <v>rbs_structures.PREPARED_BY</v>
      </c>
      <c r="D98">
        <v>91</v>
      </c>
      <c r="E98" t="s">
        <v>11471</v>
      </c>
    </row>
    <row r="99" spans="1:7">
      <c r="A99" t="s">
        <v>882</v>
      </c>
      <c r="B99" t="s">
        <v>11529</v>
      </c>
      <c r="C99" t="str">
        <f>Table5[[#This Row],[Table Name]]&amp;"." &amp;Table5[[#This Row],[Field Name]]</f>
        <v>rbs_structures.PREPARED_DATE</v>
      </c>
      <c r="D99">
        <v>92</v>
      </c>
      <c r="E99" t="s">
        <v>11472</v>
      </c>
    </row>
    <row r="100" spans="1:7">
      <c r="A100" t="s">
        <v>882</v>
      </c>
      <c r="B100" t="s">
        <v>544</v>
      </c>
      <c r="C100" t="str">
        <f>Table5[[#This Row],[Table Name]]&amp;"." &amp;Table5[[#This Row],[Field Name]]</f>
        <v>rbs_structures.RD_ALGN_OK_YN</v>
      </c>
      <c r="D100">
        <v>41</v>
      </c>
      <c r="E100" t="s">
        <v>11484</v>
      </c>
      <c r="F100" t="s">
        <v>11485</v>
      </c>
      <c r="G100" t="s">
        <v>11492</v>
      </c>
    </row>
    <row r="101" spans="1:7">
      <c r="A101" t="s">
        <v>882</v>
      </c>
      <c r="B101" t="s">
        <v>122</v>
      </c>
      <c r="C101" t="str">
        <f>Table5[[#This Row],[Table Name]]&amp;"." &amp;Table5[[#This Row],[Field Name]]</f>
        <v>rbs_structures.RD_CLASS_CODE</v>
      </c>
      <c r="D101">
        <v>45</v>
      </c>
      <c r="E101" t="s">
        <v>11497</v>
      </c>
    </row>
    <row r="102" spans="1:7">
      <c r="A102" t="s">
        <v>882</v>
      </c>
      <c r="B102" t="s">
        <v>11530</v>
      </c>
      <c r="C102" t="str">
        <f>Table5[[#This Row],[Table Name]]&amp;"." &amp;Table5[[#This Row],[Field Name]]</f>
        <v>rbs_structures.RD_CLASS_OVERWRITTEN</v>
      </c>
      <c r="D102">
        <v>52</v>
      </c>
      <c r="E102" t="s">
        <v>11477</v>
      </c>
    </row>
    <row r="103" spans="1:7">
      <c r="A103" t="s">
        <v>882</v>
      </c>
      <c r="B103" t="s">
        <v>118</v>
      </c>
      <c r="C103" t="str">
        <f>Table5[[#This Row],[Table Name]]&amp;"." &amp;Table5[[#This Row],[Field Name]]</f>
        <v>rbs_structures.RD_RANK_CODE</v>
      </c>
      <c r="D103">
        <v>55</v>
      </c>
      <c r="E103" t="s">
        <v>11477</v>
      </c>
    </row>
    <row r="104" spans="1:7">
      <c r="A104" t="s">
        <v>882</v>
      </c>
      <c r="B104" t="s">
        <v>594</v>
      </c>
      <c r="C104" t="str">
        <f>Table5[[#This Row],[Table Name]]&amp;"." &amp;Table5[[#This Row],[Field Name]]</f>
        <v>rbs_structures.REQ_BARR_LEVEL</v>
      </c>
      <c r="D104">
        <v>117</v>
      </c>
      <c r="E104" t="s">
        <v>11466</v>
      </c>
    </row>
    <row r="105" spans="1:7">
      <c r="A105" t="s">
        <v>882</v>
      </c>
      <c r="B105" t="s">
        <v>11531</v>
      </c>
      <c r="C105" t="str">
        <f>Table5[[#This Row],[Table Name]]&amp;"." &amp;Table5[[#This Row],[Field Name]]</f>
        <v>rbs_structures.REVIEW_DATE</v>
      </c>
      <c r="D105">
        <v>95</v>
      </c>
      <c r="E105" t="s">
        <v>11472</v>
      </c>
    </row>
    <row r="106" spans="1:7">
      <c r="A106" t="s">
        <v>882</v>
      </c>
      <c r="B106" t="s">
        <v>886</v>
      </c>
      <c r="C106" t="str">
        <f>Table5[[#This Row],[Table Name]]&amp;"." &amp;Table5[[#This Row],[Field Name]]</f>
        <v>rbs_structures.ROUTE_ASSESS_COMMENT</v>
      </c>
      <c r="D106">
        <v>76</v>
      </c>
      <c r="E106" t="s">
        <v>11514</v>
      </c>
    </row>
    <row r="107" spans="1:7">
      <c r="A107" t="s">
        <v>882</v>
      </c>
      <c r="B107" t="s">
        <v>229</v>
      </c>
      <c r="C107" t="str">
        <f>Table5[[#This Row],[Table Name]]&amp;"." &amp;Table5[[#This Row],[Field Name]]</f>
        <v>rbs_structures.SAFE_SCREEN_INSTALLED_YN</v>
      </c>
      <c r="D107">
        <v>99</v>
      </c>
      <c r="E107" t="s">
        <v>11484</v>
      </c>
      <c r="F107" t="s">
        <v>11485</v>
      </c>
      <c r="G107" t="s">
        <v>11492</v>
      </c>
    </row>
    <row r="108" spans="1:7">
      <c r="A108" t="s">
        <v>882</v>
      </c>
      <c r="B108" t="s">
        <v>522</v>
      </c>
      <c r="C108" t="str">
        <f>Table5[[#This Row],[Table Name]]&amp;"." &amp;Table5[[#This Row],[Field Name]]</f>
        <v>rbs_structures.SKEW_ANGLE</v>
      </c>
      <c r="D108">
        <v>40</v>
      </c>
      <c r="E108" t="s">
        <v>11467</v>
      </c>
    </row>
    <row r="109" spans="1:7">
      <c r="A109" t="s">
        <v>882</v>
      </c>
      <c r="B109" t="s">
        <v>491</v>
      </c>
      <c r="C109" t="str">
        <f>Table5[[#This Row],[Table Name]]&amp;"." &amp;Table5[[#This Row],[Field Name]]</f>
        <v>rbs_structures.SPAN_GROUP_REMARKS</v>
      </c>
      <c r="D109">
        <v>120</v>
      </c>
      <c r="E109" t="s">
        <v>11514</v>
      </c>
    </row>
    <row r="110" spans="1:7">
      <c r="A110" t="s">
        <v>882</v>
      </c>
      <c r="B110" t="s">
        <v>211</v>
      </c>
      <c r="C110" t="str">
        <f>Table5[[#This Row],[Table Name]]&amp;"." &amp;Table5[[#This Row],[Field Name]]</f>
        <v>rbs_structures.STEP_JOINT_YN</v>
      </c>
      <c r="D110">
        <v>97</v>
      </c>
      <c r="E110" t="s">
        <v>11484</v>
      </c>
      <c r="F110" t="s">
        <v>11485</v>
      </c>
      <c r="G110" t="s">
        <v>11492</v>
      </c>
    </row>
    <row r="111" spans="1:7">
      <c r="A111" t="s">
        <v>882</v>
      </c>
      <c r="B111" t="s">
        <v>480</v>
      </c>
      <c r="C111" t="str">
        <f>Table5[[#This Row],[Table Name]]&amp;"." &amp;Table5[[#This Row],[Field Name]]</f>
        <v>rbs_structures.STRUCT_CAPT_TYPE_CODE</v>
      </c>
      <c r="D111">
        <v>44</v>
      </c>
      <c r="E111" t="s">
        <v>11497</v>
      </c>
    </row>
    <row r="112" spans="1:7">
      <c r="A112" t="s">
        <v>882</v>
      </c>
      <c r="B112" t="s">
        <v>11532</v>
      </c>
      <c r="C112" t="str">
        <f>Table5[[#This Row],[Table Name]]&amp;"." &amp;Table5[[#This Row],[Field Name]]</f>
        <v>rbs_structures.STRUCTURAL_CONCERNS</v>
      </c>
      <c r="D112">
        <v>66</v>
      </c>
      <c r="E112" t="s">
        <v>11533</v>
      </c>
    </row>
    <row r="113" spans="1:7">
      <c r="A113" t="s">
        <v>882</v>
      </c>
      <c r="B113" t="s">
        <v>11534</v>
      </c>
      <c r="C113" t="str">
        <f>Table5[[#This Row],[Table Name]]&amp;"." &amp;Table5[[#This Row],[Field Name]]</f>
        <v>rbs_structures.STRUCTURE_ID</v>
      </c>
      <c r="D113">
        <v>1</v>
      </c>
      <c r="E113" t="s">
        <v>11504</v>
      </c>
    </row>
    <row r="114" spans="1:7">
      <c r="A114" t="s">
        <v>882</v>
      </c>
      <c r="B114" t="s">
        <v>209</v>
      </c>
      <c r="C114" t="str">
        <f>Table5[[#This Row],[Table Name]]&amp;"." &amp;Table5[[#This Row],[Field Name]]</f>
        <v>rbs_structures.UNDERWATER_YN</v>
      </c>
      <c r="D114">
        <v>74</v>
      </c>
      <c r="E114" t="s">
        <v>11484</v>
      </c>
      <c r="F114" t="s">
        <v>11485</v>
      </c>
      <c r="G114" t="s">
        <v>11492</v>
      </c>
    </row>
    <row r="115" spans="1:7">
      <c r="A115" t="s">
        <v>882</v>
      </c>
      <c r="B115" t="s">
        <v>883</v>
      </c>
      <c r="C115" t="str">
        <f>Table5[[#This Row],[Table Name]]&amp;"." &amp;Table5[[#This Row],[Field Name]]</f>
        <v>rbs_structures.UPGRADE_COST</v>
      </c>
      <c r="D115">
        <v>77</v>
      </c>
      <c r="E115" t="s">
        <v>11503</v>
      </c>
    </row>
    <row r="116" spans="1:7">
      <c r="A116" t="s">
        <v>882</v>
      </c>
      <c r="B116" t="s">
        <v>227</v>
      </c>
      <c r="C116" t="str">
        <f>Table5[[#This Row],[Table Name]]&amp;"." &amp;Table5[[#This Row],[Field Name]]</f>
        <v>rbs_structures.VEH_TRAFFIC_YN</v>
      </c>
      <c r="D116">
        <v>98</v>
      </c>
      <c r="E116" t="s">
        <v>11484</v>
      </c>
      <c r="F116" t="s">
        <v>11485</v>
      </c>
      <c r="G116" t="s">
        <v>11535</v>
      </c>
    </row>
    <row r="117" spans="1:7">
      <c r="A117" t="s">
        <v>882</v>
      </c>
      <c r="B117" t="s">
        <v>135</v>
      </c>
      <c r="C117" t="str">
        <f>Table5[[#This Row],[Table Name]]&amp;"." &amp;Table5[[#This Row],[Field Name]]</f>
        <v>rbs_structures.WA_INSPECT</v>
      </c>
      <c r="D117">
        <v>16</v>
      </c>
      <c r="E117" t="s">
        <v>11497</v>
      </c>
    </row>
    <row r="118" spans="1:7">
      <c r="A118" t="s">
        <v>882</v>
      </c>
      <c r="B118" t="s">
        <v>141</v>
      </c>
      <c r="C118" t="str">
        <f>Table5[[#This Row],[Table Name]]&amp;"." &amp;Table5[[#This Row],[Field Name]]</f>
        <v>rbs_structures.WA_MAINT</v>
      </c>
      <c r="D118">
        <v>15</v>
      </c>
      <c r="E118" t="s">
        <v>11497</v>
      </c>
    </row>
    <row r="119" spans="1:7">
      <c r="A119" t="s">
        <v>882</v>
      </c>
      <c r="B119" t="s">
        <v>11536</v>
      </c>
      <c r="C119" t="str">
        <f>Table5[[#This Row],[Table Name]]&amp;"." &amp;Table5[[#This Row],[Field Name]]</f>
        <v>rbs_structures.WA_MAINTAINING_LIGHT</v>
      </c>
      <c r="D119">
        <v>19</v>
      </c>
      <c r="E119" t="s">
        <v>11497</v>
      </c>
    </row>
    <row r="120" spans="1:7">
      <c r="A120" t="s">
        <v>882</v>
      </c>
      <c r="B120" t="s">
        <v>125</v>
      </c>
      <c r="C120" t="str">
        <f>Table5[[#This Row],[Table Name]]&amp;"." &amp;Table5[[#This Row],[Field Name]]</f>
        <v>rbs_structures.WA_OWN</v>
      </c>
      <c r="D120">
        <v>17</v>
      </c>
      <c r="E120" t="s">
        <v>11497</v>
      </c>
    </row>
    <row r="121" spans="1:7">
      <c r="A121" t="s">
        <v>882</v>
      </c>
      <c r="B121" t="s">
        <v>221</v>
      </c>
      <c r="C121" t="str">
        <f>Table5[[#This Row],[Table Name]]&amp;"." &amp;Table5[[#This Row],[Field Name]]</f>
        <v>rbs_structures.WROUGHT_IRON</v>
      </c>
      <c r="D121">
        <v>75</v>
      </c>
      <c r="E121" t="s">
        <v>11484</v>
      </c>
      <c r="F121" t="s">
        <v>11485</v>
      </c>
      <c r="G121" t="s">
        <v>11492</v>
      </c>
    </row>
  </sheetData>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B1C4E-3797-4220-B756-F42037C05201}">
  <dimension ref="A1:D29"/>
  <sheetViews>
    <sheetView workbookViewId="0">
      <selection activeCell="C8" sqref="C8"/>
    </sheetView>
  </sheetViews>
  <sheetFormatPr defaultRowHeight="14.45"/>
  <cols>
    <col min="1" max="1" width="13" customWidth="1"/>
    <col min="2" max="2" width="111.7109375" customWidth="1"/>
    <col min="3" max="3" width="11.28515625" customWidth="1"/>
  </cols>
  <sheetData>
    <row r="1" spans="1:4" s="19" customFormat="1" ht="23.45">
      <c r="A1" s="19" t="s">
        <v>11537</v>
      </c>
    </row>
    <row r="2" spans="1:4">
      <c r="A2" t="s">
        <v>11538</v>
      </c>
    </row>
    <row r="4" spans="1:4" s="8" customFormat="1" ht="45.6" customHeight="1">
      <c r="A4" s="8" t="s">
        <v>11537</v>
      </c>
      <c r="B4" s="20" t="s">
        <v>11539</v>
      </c>
      <c r="C4" s="8" t="s">
        <v>11540</v>
      </c>
      <c r="D4" s="8" t="s">
        <v>11541</v>
      </c>
    </row>
    <row r="5" spans="1:4">
      <c r="A5" t="s">
        <v>1146</v>
      </c>
      <c r="B5" t="s">
        <v>11542</v>
      </c>
      <c r="C5" t="s">
        <v>1438</v>
      </c>
      <c r="D5" t="s">
        <v>11543</v>
      </c>
    </row>
    <row r="6" spans="1:4">
      <c r="A6" t="s">
        <v>1148</v>
      </c>
      <c r="B6" t="s">
        <v>11544</v>
      </c>
      <c r="C6" t="s">
        <v>1438</v>
      </c>
      <c r="D6" t="s">
        <v>11545</v>
      </c>
    </row>
    <row r="7" spans="1:4">
      <c r="A7" t="s">
        <v>1150</v>
      </c>
      <c r="B7" t="s">
        <v>11546</v>
      </c>
      <c r="C7" t="s">
        <v>1150</v>
      </c>
    </row>
    <row r="8" spans="1:4">
      <c r="A8" t="s">
        <v>1367</v>
      </c>
      <c r="B8" t="s">
        <v>11547</v>
      </c>
      <c r="C8" t="s">
        <v>1438</v>
      </c>
    </row>
    <row r="9" spans="1:4">
      <c r="A9" t="s">
        <v>1235</v>
      </c>
      <c r="B9" t="s">
        <v>11548</v>
      </c>
      <c r="C9" t="s">
        <v>1150</v>
      </c>
    </row>
    <row r="10" spans="1:4">
      <c r="A10" t="s">
        <v>1237</v>
      </c>
      <c r="B10" t="s">
        <v>11549</v>
      </c>
      <c r="C10" t="s">
        <v>1438</v>
      </c>
    </row>
    <row r="11" spans="1:4">
      <c r="A11" t="s">
        <v>1517</v>
      </c>
      <c r="B11" t="s">
        <v>11550</v>
      </c>
      <c r="C11" t="s">
        <v>1150</v>
      </c>
    </row>
    <row r="12" spans="1:4">
      <c r="A12" t="s">
        <v>1600</v>
      </c>
      <c r="B12" t="s">
        <v>11551</v>
      </c>
      <c r="C12" t="s">
        <v>1438</v>
      </c>
    </row>
    <row r="13" spans="1:4">
      <c r="A13" t="s">
        <v>1415</v>
      </c>
      <c r="B13" t="s">
        <v>11552</v>
      </c>
      <c r="C13" t="s">
        <v>1150</v>
      </c>
    </row>
    <row r="14" spans="1:4">
      <c r="A14" t="s">
        <v>2923</v>
      </c>
      <c r="B14" t="s">
        <v>11553</v>
      </c>
    </row>
    <row r="15" spans="1:4">
      <c r="A15" t="s">
        <v>2435</v>
      </c>
      <c r="B15" t="s">
        <v>11554</v>
      </c>
      <c r="C15" t="s">
        <v>1438</v>
      </c>
    </row>
    <row r="16" spans="1:4">
      <c r="A16" t="s">
        <v>1369</v>
      </c>
      <c r="B16" t="s">
        <v>11555</v>
      </c>
      <c r="C16" t="s">
        <v>1150</v>
      </c>
    </row>
    <row r="17" spans="1:3">
      <c r="A17" t="s">
        <v>1152</v>
      </c>
      <c r="B17" t="s">
        <v>11556</v>
      </c>
      <c r="C17" t="s">
        <v>1438</v>
      </c>
    </row>
    <row r="18" spans="1:3">
      <c r="A18" t="s">
        <v>1363</v>
      </c>
      <c r="B18" t="s">
        <v>11557</v>
      </c>
      <c r="C18" t="s">
        <v>1150</v>
      </c>
    </row>
    <row r="19" spans="1:3">
      <c r="A19" t="s">
        <v>1438</v>
      </c>
      <c r="B19" t="s">
        <v>11558</v>
      </c>
      <c r="C19" t="s">
        <v>1438</v>
      </c>
    </row>
    <row r="20" spans="1:3">
      <c r="A20" t="s">
        <v>9582</v>
      </c>
      <c r="B20" t="s">
        <v>11559</v>
      </c>
      <c r="C20" t="s">
        <v>1150</v>
      </c>
    </row>
    <row r="21" spans="1:3">
      <c r="A21" t="s">
        <v>1373</v>
      </c>
      <c r="B21" t="s">
        <v>11560</v>
      </c>
      <c r="C21" t="s">
        <v>1438</v>
      </c>
    </row>
    <row r="22" spans="1:3">
      <c r="A22" t="s">
        <v>1154</v>
      </c>
      <c r="B22" t="s">
        <v>11561</v>
      </c>
      <c r="C22" t="s">
        <v>1150</v>
      </c>
    </row>
    <row r="23" spans="1:3">
      <c r="A23" t="s">
        <v>1156</v>
      </c>
      <c r="B23" t="s">
        <v>11562</v>
      </c>
      <c r="C23" t="s">
        <v>1438</v>
      </c>
    </row>
    <row r="24" spans="1:3">
      <c r="A24" t="s">
        <v>1377</v>
      </c>
      <c r="B24" t="s">
        <v>11563</v>
      </c>
      <c r="C24" t="s">
        <v>1150</v>
      </c>
    </row>
    <row r="25" spans="1:3">
      <c r="A25" t="s">
        <v>9588</v>
      </c>
      <c r="B25" t="s">
        <v>11564</v>
      </c>
      <c r="C25" t="s">
        <v>1438</v>
      </c>
    </row>
    <row r="26" spans="1:3">
      <c r="A26" t="s">
        <v>1379</v>
      </c>
      <c r="B26" t="s">
        <v>11565</v>
      </c>
      <c r="C26" t="s">
        <v>1150</v>
      </c>
    </row>
    <row r="27" spans="1:3">
      <c r="A27" t="s">
        <v>1381</v>
      </c>
      <c r="B27" t="s">
        <v>11566</v>
      </c>
      <c r="C27" t="s">
        <v>1438</v>
      </c>
    </row>
    <row r="28" spans="1:3">
      <c r="A28" t="s">
        <v>447</v>
      </c>
      <c r="B28" t="s">
        <v>11567</v>
      </c>
      <c r="C28" t="s">
        <v>1150</v>
      </c>
    </row>
    <row r="29" spans="1:3">
      <c r="A29" t="s">
        <v>11568</v>
      </c>
      <c r="B29" t="s">
        <v>11569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A0092-C575-4E16-A649-A7590AE079F2}">
  <sheetPr>
    <pageSetUpPr fitToPage="1"/>
  </sheetPr>
  <dimension ref="A1:H2177"/>
  <sheetViews>
    <sheetView workbookViewId="0">
      <pane ySplit="1" topLeftCell="A2139" activePane="bottomLeft" state="frozen"/>
      <selection pane="bottomLeft" activeCell="G2205" sqref="G2205"/>
    </sheetView>
  </sheetViews>
  <sheetFormatPr defaultColWidth="8.7109375" defaultRowHeight="14.45"/>
  <cols>
    <col min="1" max="1" width="8.7109375" style="13"/>
    <col min="2" max="2" width="9.28515625" style="13" customWidth="1"/>
    <col min="3" max="3" width="38.28515625" style="13" customWidth="1"/>
    <col min="4" max="4" width="12.28515625" style="13" customWidth="1"/>
    <col min="5" max="5" width="12.7109375" style="13" customWidth="1"/>
    <col min="6" max="6" width="18.42578125" style="13" customWidth="1"/>
    <col min="7" max="7" width="18.7109375" style="13" customWidth="1"/>
    <col min="8" max="8" width="17.28515625" style="13" customWidth="1"/>
    <col min="9" max="16384" width="8.7109375" style="13"/>
  </cols>
  <sheetData>
    <row r="1" spans="1:8">
      <c r="A1" s="13" t="s">
        <v>11570</v>
      </c>
      <c r="B1" s="13" t="s">
        <v>331</v>
      </c>
      <c r="C1" s="13" t="s">
        <v>11571</v>
      </c>
      <c r="D1" s="13" t="s">
        <v>11572</v>
      </c>
      <c r="E1" s="13" t="s">
        <v>11573</v>
      </c>
      <c r="F1" s="13" t="s">
        <v>11574</v>
      </c>
      <c r="G1" s="13" t="s">
        <v>11575</v>
      </c>
      <c r="H1" s="13" t="s">
        <v>11576</v>
      </c>
    </row>
    <row r="2" spans="1:8">
      <c r="A2" s="14">
        <v>1</v>
      </c>
      <c r="B2" s="13" t="s">
        <v>11577</v>
      </c>
      <c r="C2" s="13" t="s">
        <v>11578</v>
      </c>
      <c r="D2" s="13" t="s">
        <v>11579</v>
      </c>
      <c r="E2" s="13" t="s">
        <v>1150</v>
      </c>
      <c r="F2" s="15">
        <v>367</v>
      </c>
      <c r="G2" s="15">
        <v>367</v>
      </c>
    </row>
    <row r="3" spans="1:8">
      <c r="A3" s="14">
        <v>2</v>
      </c>
      <c r="B3" s="13" t="s">
        <v>11580</v>
      </c>
      <c r="C3" s="13" t="s">
        <v>11581</v>
      </c>
      <c r="D3" s="13" t="s">
        <v>11579</v>
      </c>
      <c r="E3" s="13" t="s">
        <v>1150</v>
      </c>
      <c r="F3" s="15">
        <v>367</v>
      </c>
      <c r="G3" s="15">
        <v>367</v>
      </c>
    </row>
    <row r="4" spans="1:8">
      <c r="A4" s="14">
        <v>3</v>
      </c>
      <c r="B4" s="13" t="s">
        <v>11582</v>
      </c>
      <c r="C4" s="13" t="s">
        <v>11583</v>
      </c>
      <c r="D4" s="13" t="s">
        <v>11579</v>
      </c>
      <c r="E4" s="13" t="s">
        <v>1150</v>
      </c>
      <c r="F4" s="15">
        <v>367</v>
      </c>
      <c r="G4" s="15">
        <v>367</v>
      </c>
    </row>
    <row r="5" spans="1:8">
      <c r="A5" s="14">
        <v>4</v>
      </c>
      <c r="B5" s="13" t="s">
        <v>11584</v>
      </c>
      <c r="C5" s="13" t="s">
        <v>11585</v>
      </c>
      <c r="D5" s="13" t="s">
        <v>11579</v>
      </c>
      <c r="E5" s="13" t="s">
        <v>1150</v>
      </c>
      <c r="F5" s="15">
        <v>367</v>
      </c>
      <c r="G5" s="15">
        <v>367</v>
      </c>
    </row>
    <row r="6" spans="1:8">
      <c r="A6" s="14">
        <v>5</v>
      </c>
      <c r="B6" s="13" t="s">
        <v>11586</v>
      </c>
      <c r="C6" s="13" t="s">
        <v>11587</v>
      </c>
      <c r="D6" s="13" t="s">
        <v>11579</v>
      </c>
      <c r="E6" s="13" t="s">
        <v>1150</v>
      </c>
      <c r="F6" s="15">
        <v>367</v>
      </c>
      <c r="G6" s="15">
        <v>367</v>
      </c>
    </row>
    <row r="7" spans="1:8">
      <c r="A7" s="14">
        <v>6</v>
      </c>
      <c r="B7" s="13" t="s">
        <v>11588</v>
      </c>
      <c r="C7" s="13" t="s">
        <v>11589</v>
      </c>
      <c r="D7" s="13" t="s">
        <v>11579</v>
      </c>
      <c r="E7" s="13" t="s">
        <v>1150</v>
      </c>
      <c r="F7" s="15">
        <v>367</v>
      </c>
      <c r="G7" s="15">
        <v>367</v>
      </c>
    </row>
    <row r="8" spans="1:8">
      <c r="A8" s="14">
        <v>7</v>
      </c>
      <c r="B8" s="13" t="s">
        <v>11590</v>
      </c>
      <c r="C8" s="13" t="s">
        <v>11591</v>
      </c>
      <c r="D8" s="13" t="s">
        <v>11579</v>
      </c>
      <c r="E8" s="13" t="s">
        <v>1150</v>
      </c>
      <c r="F8" s="15">
        <v>367</v>
      </c>
      <c r="G8" s="15">
        <v>367</v>
      </c>
    </row>
    <row r="9" spans="1:8">
      <c r="A9" s="14">
        <v>8</v>
      </c>
      <c r="B9" s="13" t="s">
        <v>11592</v>
      </c>
      <c r="C9" s="13" t="s">
        <v>11593</v>
      </c>
      <c r="D9" s="13" t="s">
        <v>11579</v>
      </c>
      <c r="E9" s="13" t="s">
        <v>1150</v>
      </c>
      <c r="F9" s="15">
        <v>367</v>
      </c>
      <c r="G9" s="15">
        <v>367</v>
      </c>
    </row>
    <row r="10" spans="1:8">
      <c r="A10" s="14">
        <v>9</v>
      </c>
      <c r="B10" s="13" t="s">
        <v>11594</v>
      </c>
      <c r="C10" s="13" t="s">
        <v>11595</v>
      </c>
      <c r="D10" s="13" t="s">
        <v>11579</v>
      </c>
      <c r="E10" s="13" t="s">
        <v>1150</v>
      </c>
      <c r="F10" s="15">
        <v>367</v>
      </c>
      <c r="G10" s="15">
        <v>367</v>
      </c>
    </row>
    <row r="11" spans="1:8">
      <c r="A11" s="14">
        <v>10</v>
      </c>
      <c r="B11" s="13" t="s">
        <v>11596</v>
      </c>
      <c r="C11" s="13" t="s">
        <v>11597</v>
      </c>
      <c r="D11" s="13" t="s">
        <v>11579</v>
      </c>
      <c r="E11" s="13" t="s">
        <v>1150</v>
      </c>
      <c r="F11" s="15">
        <v>367</v>
      </c>
      <c r="G11" s="15">
        <v>367</v>
      </c>
    </row>
    <row r="12" spans="1:8">
      <c r="A12" s="14">
        <v>11</v>
      </c>
      <c r="B12" s="13" t="s">
        <v>11598</v>
      </c>
      <c r="C12" s="13" t="s">
        <v>11599</v>
      </c>
      <c r="D12" s="13" t="s">
        <v>11579</v>
      </c>
      <c r="E12" s="13" t="s">
        <v>1150</v>
      </c>
      <c r="F12" s="15">
        <v>367</v>
      </c>
      <c r="G12" s="15">
        <v>367</v>
      </c>
    </row>
    <row r="13" spans="1:8">
      <c r="A13" s="14">
        <v>12</v>
      </c>
      <c r="B13" s="13" t="s">
        <v>11600</v>
      </c>
      <c r="C13" s="13" t="s">
        <v>11601</v>
      </c>
      <c r="D13" s="13" t="s">
        <v>11579</v>
      </c>
      <c r="E13" s="13" t="s">
        <v>1150</v>
      </c>
      <c r="F13" s="15">
        <v>367</v>
      </c>
      <c r="G13" s="15">
        <v>367</v>
      </c>
    </row>
    <row r="14" spans="1:8">
      <c r="A14" s="14">
        <v>13</v>
      </c>
      <c r="B14" s="13" t="s">
        <v>11602</v>
      </c>
      <c r="C14" s="13" t="s">
        <v>11603</v>
      </c>
      <c r="D14" s="13" t="s">
        <v>11579</v>
      </c>
      <c r="E14" s="13" t="s">
        <v>1150</v>
      </c>
      <c r="F14" s="15">
        <v>367</v>
      </c>
      <c r="G14" s="15">
        <v>367</v>
      </c>
    </row>
    <row r="15" spans="1:8">
      <c r="A15" s="14">
        <v>14</v>
      </c>
      <c r="B15" s="13" t="s">
        <v>11604</v>
      </c>
      <c r="C15" s="13" t="s">
        <v>11605</v>
      </c>
      <c r="D15" s="13" t="s">
        <v>11579</v>
      </c>
      <c r="E15" s="13" t="s">
        <v>1150</v>
      </c>
      <c r="F15" s="15">
        <v>367</v>
      </c>
      <c r="G15" s="15">
        <v>367</v>
      </c>
    </row>
    <row r="16" spans="1:8">
      <c r="A16" s="14">
        <v>15</v>
      </c>
      <c r="B16" s="13" t="s">
        <v>11606</v>
      </c>
      <c r="C16" s="13" t="s">
        <v>11607</v>
      </c>
      <c r="D16" s="13" t="s">
        <v>11579</v>
      </c>
      <c r="E16" s="13" t="s">
        <v>1150</v>
      </c>
      <c r="F16" s="15">
        <v>367</v>
      </c>
      <c r="G16" s="15">
        <v>367</v>
      </c>
    </row>
    <row r="17" spans="1:7">
      <c r="A17" s="14">
        <v>16</v>
      </c>
      <c r="B17" s="13" t="s">
        <v>11608</v>
      </c>
      <c r="C17" s="13" t="s">
        <v>11609</v>
      </c>
      <c r="D17" s="13" t="s">
        <v>11579</v>
      </c>
      <c r="E17" s="13" t="s">
        <v>1150</v>
      </c>
      <c r="F17" s="15">
        <v>367</v>
      </c>
      <c r="G17" s="15">
        <v>367</v>
      </c>
    </row>
    <row r="18" spans="1:7">
      <c r="A18" s="14">
        <v>17</v>
      </c>
      <c r="B18" s="13" t="s">
        <v>11610</v>
      </c>
      <c r="C18" s="13" t="s">
        <v>11611</v>
      </c>
      <c r="D18" s="13" t="s">
        <v>11579</v>
      </c>
      <c r="E18" s="13" t="s">
        <v>1150</v>
      </c>
      <c r="F18" s="15">
        <v>367</v>
      </c>
      <c r="G18" s="15">
        <v>367</v>
      </c>
    </row>
    <row r="19" spans="1:7">
      <c r="A19" s="14">
        <v>18</v>
      </c>
      <c r="B19" s="13" t="s">
        <v>11612</v>
      </c>
      <c r="C19" s="13" t="s">
        <v>11613</v>
      </c>
      <c r="D19" s="13" t="s">
        <v>11579</v>
      </c>
      <c r="E19" s="13" t="s">
        <v>1150</v>
      </c>
      <c r="F19" s="15">
        <v>367</v>
      </c>
      <c r="G19" s="15">
        <v>367</v>
      </c>
    </row>
    <row r="20" spans="1:7">
      <c r="A20" s="14">
        <v>19</v>
      </c>
      <c r="B20" s="13" t="s">
        <v>11614</v>
      </c>
      <c r="C20" s="13" t="s">
        <v>11615</v>
      </c>
      <c r="D20" s="13" t="s">
        <v>11579</v>
      </c>
      <c r="E20" s="13" t="s">
        <v>1150</v>
      </c>
      <c r="F20" s="15">
        <v>367</v>
      </c>
      <c r="G20" s="15">
        <v>367</v>
      </c>
    </row>
    <row r="21" spans="1:7">
      <c r="A21" s="14">
        <v>20</v>
      </c>
      <c r="B21" s="13" t="s">
        <v>11616</v>
      </c>
      <c r="C21" s="13" t="s">
        <v>11617</v>
      </c>
      <c r="D21" s="13" t="s">
        <v>11579</v>
      </c>
      <c r="E21" s="13" t="s">
        <v>1150</v>
      </c>
      <c r="F21" s="15">
        <v>367</v>
      </c>
      <c r="G21" s="15">
        <v>367</v>
      </c>
    </row>
    <row r="22" spans="1:7">
      <c r="A22" s="14">
        <v>21</v>
      </c>
      <c r="B22" s="13" t="s">
        <v>11618</v>
      </c>
      <c r="C22" s="13" t="s">
        <v>11619</v>
      </c>
      <c r="D22" s="13" t="s">
        <v>11579</v>
      </c>
      <c r="E22" s="13" t="s">
        <v>1150</v>
      </c>
      <c r="F22" s="15">
        <v>367</v>
      </c>
      <c r="G22" s="15">
        <v>367</v>
      </c>
    </row>
    <row r="23" spans="1:7">
      <c r="A23" s="14">
        <v>22</v>
      </c>
      <c r="B23" s="13" t="s">
        <v>11620</v>
      </c>
      <c r="C23" s="13" t="s">
        <v>11621</v>
      </c>
      <c r="D23" s="13" t="s">
        <v>11579</v>
      </c>
      <c r="E23" s="13" t="s">
        <v>1150</v>
      </c>
      <c r="F23" s="15">
        <v>367</v>
      </c>
      <c r="G23" s="15">
        <v>367</v>
      </c>
    </row>
    <row r="24" spans="1:7">
      <c r="A24" s="14">
        <v>23</v>
      </c>
      <c r="B24" s="13" t="s">
        <v>11622</v>
      </c>
      <c r="C24" s="13" t="s">
        <v>11623</v>
      </c>
      <c r="D24" s="13" t="s">
        <v>11579</v>
      </c>
      <c r="E24" s="13" t="s">
        <v>1150</v>
      </c>
      <c r="F24" s="15">
        <v>367</v>
      </c>
      <c r="G24" s="15">
        <v>367</v>
      </c>
    </row>
    <row r="25" spans="1:7">
      <c r="A25" s="14">
        <v>25</v>
      </c>
      <c r="B25" s="13" t="s">
        <v>11624</v>
      </c>
      <c r="C25" s="13" t="s">
        <v>11625</v>
      </c>
      <c r="D25" s="13" t="s">
        <v>11579</v>
      </c>
      <c r="E25" s="13" t="s">
        <v>1150</v>
      </c>
      <c r="F25" s="15">
        <v>367</v>
      </c>
      <c r="G25" s="15">
        <v>367</v>
      </c>
    </row>
    <row r="26" spans="1:7">
      <c r="A26" s="14">
        <v>27</v>
      </c>
      <c r="B26" s="13" t="s">
        <v>11626</v>
      </c>
      <c r="C26" s="13" t="s">
        <v>11627</v>
      </c>
      <c r="D26" s="13" t="s">
        <v>11579</v>
      </c>
      <c r="E26" s="13" t="s">
        <v>1150</v>
      </c>
      <c r="F26" s="15">
        <v>367</v>
      </c>
      <c r="G26" s="15">
        <v>367</v>
      </c>
    </row>
    <row r="27" spans="1:7">
      <c r="A27" s="14">
        <v>28</v>
      </c>
      <c r="B27" s="13" t="s">
        <v>11628</v>
      </c>
      <c r="C27" s="13" t="s">
        <v>11629</v>
      </c>
      <c r="D27" s="13" t="s">
        <v>11579</v>
      </c>
      <c r="E27" s="13" t="s">
        <v>1150</v>
      </c>
      <c r="F27" s="15">
        <v>367</v>
      </c>
      <c r="G27" s="15">
        <v>367</v>
      </c>
    </row>
    <row r="28" spans="1:7">
      <c r="A28" s="14">
        <v>29</v>
      </c>
      <c r="B28" s="13" t="s">
        <v>11630</v>
      </c>
      <c r="C28" s="13" t="s">
        <v>11631</v>
      </c>
      <c r="D28" s="13" t="s">
        <v>11579</v>
      </c>
      <c r="E28" s="13" t="s">
        <v>1150</v>
      </c>
      <c r="F28" s="15">
        <v>367</v>
      </c>
      <c r="G28" s="15">
        <v>367</v>
      </c>
    </row>
    <row r="29" spans="1:7">
      <c r="A29" s="14">
        <v>30</v>
      </c>
      <c r="B29" s="13" t="s">
        <v>11632</v>
      </c>
      <c r="C29" s="13" t="s">
        <v>11633</v>
      </c>
      <c r="D29" s="13" t="s">
        <v>11579</v>
      </c>
      <c r="E29" s="13" t="s">
        <v>1150</v>
      </c>
      <c r="F29" s="15">
        <v>367</v>
      </c>
      <c r="G29" s="15">
        <v>367</v>
      </c>
    </row>
    <row r="30" spans="1:7">
      <c r="A30" s="14">
        <v>31</v>
      </c>
      <c r="B30" s="13" t="s">
        <v>11634</v>
      </c>
      <c r="C30" s="13" t="s">
        <v>11635</v>
      </c>
      <c r="D30" s="13" t="s">
        <v>11579</v>
      </c>
      <c r="E30" s="13" t="s">
        <v>1150</v>
      </c>
      <c r="F30" s="15">
        <v>39630</v>
      </c>
      <c r="G30" s="15">
        <v>39630</v>
      </c>
    </row>
    <row r="31" spans="1:7">
      <c r="A31" s="14">
        <v>32</v>
      </c>
      <c r="B31" s="13" t="s">
        <v>11636</v>
      </c>
      <c r="C31" s="13" t="s">
        <v>11637</v>
      </c>
      <c r="D31" s="13" t="s">
        <v>11579</v>
      </c>
      <c r="E31" s="13" t="s">
        <v>1150</v>
      </c>
      <c r="F31" s="15">
        <v>39965</v>
      </c>
      <c r="G31" s="15">
        <v>39965</v>
      </c>
    </row>
    <row r="32" spans="1:7">
      <c r="A32" s="14">
        <v>51</v>
      </c>
      <c r="B32" s="13" t="s">
        <v>11638</v>
      </c>
      <c r="C32" s="13" t="s">
        <v>11639</v>
      </c>
      <c r="D32" s="13" t="s">
        <v>11640</v>
      </c>
      <c r="E32" s="13" t="s">
        <v>1150</v>
      </c>
      <c r="F32" s="15">
        <v>367</v>
      </c>
      <c r="G32" s="15">
        <v>367</v>
      </c>
    </row>
    <row r="33" spans="1:7">
      <c r="A33" s="14">
        <v>52</v>
      </c>
      <c r="B33" s="13" t="s">
        <v>11641</v>
      </c>
      <c r="C33" s="13" t="s">
        <v>11642</v>
      </c>
      <c r="D33" s="13" t="s">
        <v>11640</v>
      </c>
      <c r="E33" s="13" t="s">
        <v>1150</v>
      </c>
      <c r="F33" s="15">
        <v>367</v>
      </c>
      <c r="G33" s="15">
        <v>367</v>
      </c>
    </row>
    <row r="34" spans="1:7">
      <c r="A34" s="14">
        <v>54</v>
      </c>
      <c r="B34" s="13" t="s">
        <v>11643</v>
      </c>
      <c r="C34" s="13" t="s">
        <v>11644</v>
      </c>
      <c r="D34" s="13" t="s">
        <v>11640</v>
      </c>
      <c r="E34" s="13" t="s">
        <v>1150</v>
      </c>
      <c r="F34" s="15">
        <v>367</v>
      </c>
      <c r="G34" s="15">
        <v>367</v>
      </c>
    </row>
    <row r="35" spans="1:7">
      <c r="A35" s="14">
        <v>55</v>
      </c>
      <c r="B35" s="13" t="s">
        <v>11645</v>
      </c>
      <c r="C35" s="13" t="s">
        <v>11646</v>
      </c>
      <c r="D35" s="13" t="s">
        <v>11640</v>
      </c>
      <c r="E35" s="13" t="s">
        <v>1150</v>
      </c>
      <c r="F35" s="15">
        <v>367</v>
      </c>
      <c r="G35" s="15">
        <v>367</v>
      </c>
    </row>
    <row r="36" spans="1:7">
      <c r="A36" s="14">
        <v>56</v>
      </c>
      <c r="B36" s="13" t="s">
        <v>11647</v>
      </c>
      <c r="C36" s="13" t="s">
        <v>11648</v>
      </c>
      <c r="D36" s="13" t="s">
        <v>11640</v>
      </c>
      <c r="E36" s="13" t="s">
        <v>1150</v>
      </c>
      <c r="F36" s="15">
        <v>367</v>
      </c>
      <c r="G36" s="15">
        <v>367</v>
      </c>
    </row>
    <row r="37" spans="1:7">
      <c r="A37" s="14">
        <v>57</v>
      </c>
      <c r="B37" s="13" t="s">
        <v>11649</v>
      </c>
      <c r="C37" s="13" t="s">
        <v>11650</v>
      </c>
      <c r="D37" s="13" t="s">
        <v>11640</v>
      </c>
      <c r="E37" s="13" t="s">
        <v>1150</v>
      </c>
      <c r="F37" s="15">
        <v>367</v>
      </c>
      <c r="G37" s="15">
        <v>367</v>
      </c>
    </row>
    <row r="38" spans="1:7">
      <c r="A38" s="14">
        <v>59</v>
      </c>
      <c r="B38" s="13" t="s">
        <v>11651</v>
      </c>
      <c r="C38" s="13" t="s">
        <v>11652</v>
      </c>
      <c r="D38" s="13" t="s">
        <v>11640</v>
      </c>
      <c r="E38" s="13" t="s">
        <v>1150</v>
      </c>
      <c r="F38" s="15">
        <v>367</v>
      </c>
      <c r="G38" s="15">
        <v>367</v>
      </c>
    </row>
    <row r="39" spans="1:7">
      <c r="A39" s="14">
        <v>61</v>
      </c>
      <c r="B39" s="13" t="s">
        <v>11653</v>
      </c>
      <c r="C39" s="13" t="s">
        <v>11654</v>
      </c>
      <c r="D39" s="13" t="s">
        <v>11640</v>
      </c>
      <c r="E39" s="13" t="s">
        <v>1150</v>
      </c>
      <c r="F39" s="15">
        <v>367</v>
      </c>
      <c r="G39" s="15">
        <v>367</v>
      </c>
    </row>
    <row r="40" spans="1:7">
      <c r="A40" s="14">
        <v>62</v>
      </c>
      <c r="B40" s="13" t="s">
        <v>11655</v>
      </c>
      <c r="C40" s="13" t="s">
        <v>11656</v>
      </c>
      <c r="D40" s="13" t="s">
        <v>11640</v>
      </c>
      <c r="E40" s="13" t="s">
        <v>1150</v>
      </c>
      <c r="F40" s="15">
        <v>367</v>
      </c>
      <c r="G40" s="15">
        <v>367</v>
      </c>
    </row>
    <row r="41" spans="1:7">
      <c r="A41" s="14">
        <v>63</v>
      </c>
      <c r="B41" s="13" t="s">
        <v>11657</v>
      </c>
      <c r="C41" s="13" t="s">
        <v>11658</v>
      </c>
      <c r="D41" s="13" t="s">
        <v>11640</v>
      </c>
      <c r="E41" s="13" t="s">
        <v>1150</v>
      </c>
      <c r="F41" s="15">
        <v>367</v>
      </c>
      <c r="G41" s="15">
        <v>367</v>
      </c>
    </row>
    <row r="42" spans="1:7">
      <c r="A42" s="14">
        <v>65</v>
      </c>
      <c r="B42" s="13" t="s">
        <v>11659</v>
      </c>
      <c r="C42" s="13" t="s">
        <v>11660</v>
      </c>
      <c r="D42" s="13" t="s">
        <v>11640</v>
      </c>
      <c r="E42" s="13" t="s">
        <v>1150</v>
      </c>
      <c r="F42" s="15">
        <v>367</v>
      </c>
      <c r="G42" s="15">
        <v>367</v>
      </c>
    </row>
    <row r="43" spans="1:7">
      <c r="A43" s="14">
        <v>66</v>
      </c>
      <c r="B43" s="13" t="s">
        <v>11661</v>
      </c>
      <c r="C43" s="13" t="s">
        <v>11662</v>
      </c>
      <c r="D43" s="13" t="s">
        <v>11640</v>
      </c>
      <c r="E43" s="13" t="s">
        <v>1150</v>
      </c>
      <c r="F43" s="15">
        <v>367</v>
      </c>
      <c r="G43" s="15">
        <v>367</v>
      </c>
    </row>
    <row r="44" spans="1:7">
      <c r="A44" s="14">
        <v>67</v>
      </c>
      <c r="B44" s="13" t="s">
        <v>11663</v>
      </c>
      <c r="C44" s="13" t="s">
        <v>11664</v>
      </c>
      <c r="D44" s="13" t="s">
        <v>11640</v>
      </c>
      <c r="E44" s="13" t="s">
        <v>1150</v>
      </c>
      <c r="F44" s="15">
        <v>367</v>
      </c>
      <c r="G44" s="15">
        <v>367</v>
      </c>
    </row>
    <row r="45" spans="1:7">
      <c r="A45" s="14">
        <v>68</v>
      </c>
      <c r="B45" s="13" t="s">
        <v>11665</v>
      </c>
      <c r="C45" s="13" t="s">
        <v>11666</v>
      </c>
      <c r="D45" s="13" t="s">
        <v>11640</v>
      </c>
      <c r="E45" s="13" t="s">
        <v>1150</v>
      </c>
      <c r="F45" s="15">
        <v>367</v>
      </c>
      <c r="G45" s="15">
        <v>367</v>
      </c>
    </row>
    <row r="46" spans="1:7">
      <c r="A46" s="14">
        <v>70</v>
      </c>
      <c r="B46" s="13" t="s">
        <v>11667</v>
      </c>
      <c r="C46" s="13" t="s">
        <v>11668</v>
      </c>
      <c r="D46" s="13" t="s">
        <v>11640</v>
      </c>
      <c r="E46" s="13" t="s">
        <v>1150</v>
      </c>
      <c r="F46" s="15">
        <v>367</v>
      </c>
      <c r="G46" s="15">
        <v>367</v>
      </c>
    </row>
    <row r="47" spans="1:7">
      <c r="A47" s="14">
        <v>73</v>
      </c>
      <c r="B47" s="13" t="s">
        <v>11669</v>
      </c>
      <c r="C47" s="13" t="s">
        <v>11670</v>
      </c>
      <c r="D47" s="13" t="s">
        <v>11640</v>
      </c>
      <c r="E47" s="13" t="s">
        <v>1150</v>
      </c>
      <c r="F47" s="15">
        <v>367</v>
      </c>
      <c r="G47" s="15">
        <v>367</v>
      </c>
    </row>
    <row r="48" spans="1:7">
      <c r="A48" s="14">
        <v>74</v>
      </c>
      <c r="B48" s="13" t="s">
        <v>11671</v>
      </c>
      <c r="C48" s="13" t="s">
        <v>11672</v>
      </c>
      <c r="D48" s="13" t="s">
        <v>11640</v>
      </c>
      <c r="E48" s="13" t="s">
        <v>1150</v>
      </c>
      <c r="F48" s="15">
        <v>367</v>
      </c>
      <c r="G48" s="15">
        <v>367</v>
      </c>
    </row>
    <row r="49" spans="1:7">
      <c r="A49" s="14">
        <v>75</v>
      </c>
      <c r="B49" s="13" t="s">
        <v>11673</v>
      </c>
      <c r="C49" s="13" t="s">
        <v>11674</v>
      </c>
      <c r="D49" s="13" t="s">
        <v>11640</v>
      </c>
      <c r="E49" s="13" t="s">
        <v>1150</v>
      </c>
      <c r="F49" s="15">
        <v>367</v>
      </c>
      <c r="G49" s="15">
        <v>367</v>
      </c>
    </row>
    <row r="50" spans="1:7">
      <c r="A50" s="14">
        <v>76</v>
      </c>
      <c r="B50" s="13" t="s">
        <v>11675</v>
      </c>
      <c r="C50" s="13" t="s">
        <v>11676</v>
      </c>
      <c r="D50" s="13" t="s">
        <v>11640</v>
      </c>
      <c r="E50" s="13" t="s">
        <v>1150</v>
      </c>
      <c r="F50" s="15">
        <v>367</v>
      </c>
      <c r="G50" s="15">
        <v>367</v>
      </c>
    </row>
    <row r="51" spans="1:7">
      <c r="A51" s="14">
        <v>78</v>
      </c>
      <c r="B51" s="13" t="s">
        <v>11677</v>
      </c>
      <c r="C51" s="13" t="s">
        <v>11678</v>
      </c>
      <c r="D51" s="13" t="s">
        <v>11640</v>
      </c>
      <c r="E51" s="13" t="s">
        <v>1150</v>
      </c>
      <c r="F51" s="15">
        <v>367</v>
      </c>
      <c r="G51" s="15">
        <v>367</v>
      </c>
    </row>
    <row r="52" spans="1:7">
      <c r="A52" s="14">
        <v>79</v>
      </c>
      <c r="B52" s="13" t="s">
        <v>11679</v>
      </c>
      <c r="C52" s="13" t="s">
        <v>11680</v>
      </c>
      <c r="D52" s="13" t="s">
        <v>11640</v>
      </c>
      <c r="E52" s="13" t="s">
        <v>1150</v>
      </c>
      <c r="F52" s="15">
        <v>367</v>
      </c>
      <c r="G52" s="15">
        <v>367</v>
      </c>
    </row>
    <row r="53" spans="1:7">
      <c r="A53" s="14">
        <v>80</v>
      </c>
      <c r="B53" s="13" t="s">
        <v>11681</v>
      </c>
      <c r="C53" s="13" t="s">
        <v>11682</v>
      </c>
      <c r="D53" s="13" t="s">
        <v>11640</v>
      </c>
      <c r="E53" s="13" t="s">
        <v>1150</v>
      </c>
      <c r="F53" s="15">
        <v>367</v>
      </c>
      <c r="G53" s="15">
        <v>367</v>
      </c>
    </row>
    <row r="54" spans="1:7">
      <c r="A54" s="14">
        <v>81</v>
      </c>
      <c r="B54" s="13" t="s">
        <v>11683</v>
      </c>
      <c r="C54" s="13" t="s">
        <v>11684</v>
      </c>
      <c r="D54" s="13" t="s">
        <v>11640</v>
      </c>
      <c r="E54" s="13" t="s">
        <v>1150</v>
      </c>
      <c r="F54" s="15">
        <v>367</v>
      </c>
      <c r="G54" s="15">
        <v>367</v>
      </c>
    </row>
    <row r="55" spans="1:7">
      <c r="A55" s="14">
        <v>82</v>
      </c>
      <c r="B55" s="13" t="s">
        <v>11685</v>
      </c>
      <c r="C55" s="13" t="s">
        <v>11686</v>
      </c>
      <c r="D55" s="13" t="s">
        <v>11640</v>
      </c>
      <c r="E55" s="13" t="s">
        <v>1150</v>
      </c>
      <c r="F55" s="15">
        <v>367</v>
      </c>
      <c r="G55" s="15">
        <v>367</v>
      </c>
    </row>
    <row r="56" spans="1:7">
      <c r="A56" s="14">
        <v>83</v>
      </c>
      <c r="B56" s="13" t="s">
        <v>11687</v>
      </c>
      <c r="C56" s="13" t="s">
        <v>11688</v>
      </c>
      <c r="D56" s="13" t="s">
        <v>11640</v>
      </c>
      <c r="E56" s="13" t="s">
        <v>1150</v>
      </c>
      <c r="F56" s="15">
        <v>367</v>
      </c>
      <c r="G56" s="15">
        <v>367</v>
      </c>
    </row>
    <row r="57" spans="1:7">
      <c r="A57" s="14">
        <v>84</v>
      </c>
      <c r="B57" s="13" t="s">
        <v>11689</v>
      </c>
      <c r="C57" s="13" t="s">
        <v>11690</v>
      </c>
      <c r="D57" s="13" t="s">
        <v>11640</v>
      </c>
      <c r="E57" s="13" t="s">
        <v>1150</v>
      </c>
      <c r="F57" s="15">
        <v>367</v>
      </c>
      <c r="G57" s="15">
        <v>367</v>
      </c>
    </row>
    <row r="58" spans="1:7">
      <c r="A58" s="14">
        <v>85</v>
      </c>
      <c r="B58" s="13" t="s">
        <v>11691</v>
      </c>
      <c r="C58" s="13" t="s">
        <v>11692</v>
      </c>
      <c r="D58" s="13" t="s">
        <v>11640</v>
      </c>
      <c r="E58" s="13" t="s">
        <v>1150</v>
      </c>
      <c r="F58" s="15">
        <v>367</v>
      </c>
      <c r="G58" s="15">
        <v>367</v>
      </c>
    </row>
    <row r="59" spans="1:7">
      <c r="A59" s="14">
        <v>86</v>
      </c>
      <c r="B59" s="13" t="s">
        <v>11693</v>
      </c>
      <c r="C59" s="13" t="s">
        <v>11694</v>
      </c>
      <c r="D59" s="13" t="s">
        <v>11640</v>
      </c>
      <c r="E59" s="13" t="s">
        <v>1150</v>
      </c>
      <c r="F59" s="15">
        <v>367</v>
      </c>
      <c r="G59" s="15">
        <v>367</v>
      </c>
    </row>
    <row r="60" spans="1:7">
      <c r="A60" s="14">
        <v>87</v>
      </c>
      <c r="B60" s="13" t="s">
        <v>11695</v>
      </c>
      <c r="C60" s="13" t="s">
        <v>11696</v>
      </c>
      <c r="D60" s="13" t="s">
        <v>11640</v>
      </c>
      <c r="E60" s="13" t="s">
        <v>1150</v>
      </c>
      <c r="F60" s="15">
        <v>367</v>
      </c>
      <c r="G60" s="15">
        <v>367</v>
      </c>
    </row>
    <row r="61" spans="1:7">
      <c r="A61" s="14">
        <v>89</v>
      </c>
      <c r="B61" s="13" t="s">
        <v>11697</v>
      </c>
      <c r="C61" s="13" t="s">
        <v>11698</v>
      </c>
      <c r="D61" s="13" t="s">
        <v>11640</v>
      </c>
      <c r="E61" s="13" t="s">
        <v>1150</v>
      </c>
      <c r="F61" s="15">
        <v>367</v>
      </c>
      <c r="G61" s="15">
        <v>367</v>
      </c>
    </row>
    <row r="62" spans="1:7">
      <c r="A62" s="14">
        <v>90</v>
      </c>
      <c r="B62" s="13" t="s">
        <v>11699</v>
      </c>
      <c r="C62" s="13" t="s">
        <v>11700</v>
      </c>
      <c r="D62" s="13" t="s">
        <v>11640</v>
      </c>
      <c r="E62" s="13" t="s">
        <v>1150</v>
      </c>
      <c r="F62" s="15">
        <v>367</v>
      </c>
      <c r="G62" s="15">
        <v>367</v>
      </c>
    </row>
    <row r="63" spans="1:7">
      <c r="A63" s="14">
        <v>91</v>
      </c>
      <c r="B63" s="13" t="s">
        <v>11701</v>
      </c>
      <c r="C63" s="13" t="s">
        <v>11702</v>
      </c>
      <c r="D63" s="13" t="s">
        <v>11640</v>
      </c>
      <c r="E63" s="13" t="s">
        <v>1150</v>
      </c>
      <c r="F63" s="15">
        <v>367</v>
      </c>
      <c r="G63" s="15">
        <v>367</v>
      </c>
    </row>
    <row r="64" spans="1:7">
      <c r="A64" s="14">
        <v>92</v>
      </c>
      <c r="B64" s="13" t="s">
        <v>11703</v>
      </c>
      <c r="C64" s="13" t="s">
        <v>11704</v>
      </c>
      <c r="D64" s="13" t="s">
        <v>11640</v>
      </c>
      <c r="E64" s="13" t="s">
        <v>1150</v>
      </c>
      <c r="F64" s="15">
        <v>367</v>
      </c>
      <c r="G64" s="15">
        <v>367</v>
      </c>
    </row>
    <row r="65" spans="1:7">
      <c r="A65" s="14">
        <v>93</v>
      </c>
      <c r="B65" s="13" t="s">
        <v>11705</v>
      </c>
      <c r="C65" s="13" t="s">
        <v>11706</v>
      </c>
      <c r="D65" s="13" t="s">
        <v>11640</v>
      </c>
      <c r="E65" s="13" t="s">
        <v>1150</v>
      </c>
      <c r="F65" s="15">
        <v>367</v>
      </c>
      <c r="G65" s="15">
        <v>367</v>
      </c>
    </row>
    <row r="66" spans="1:7">
      <c r="A66" s="14">
        <v>94</v>
      </c>
      <c r="B66" s="13" t="s">
        <v>11707</v>
      </c>
      <c r="C66" s="13" t="s">
        <v>11708</v>
      </c>
      <c r="D66" s="13" t="s">
        <v>11640</v>
      </c>
      <c r="E66" s="13" t="s">
        <v>1150</v>
      </c>
      <c r="F66" s="15">
        <v>367</v>
      </c>
      <c r="G66" s="15">
        <v>367</v>
      </c>
    </row>
    <row r="67" spans="1:7">
      <c r="A67" s="14">
        <v>95</v>
      </c>
      <c r="B67" s="13" t="s">
        <v>11709</v>
      </c>
      <c r="C67" s="13" t="s">
        <v>11710</v>
      </c>
      <c r="D67" s="13" t="s">
        <v>11640</v>
      </c>
      <c r="E67" s="13" t="s">
        <v>1150</v>
      </c>
      <c r="F67" s="15">
        <v>367</v>
      </c>
      <c r="G67" s="15">
        <v>367</v>
      </c>
    </row>
    <row r="68" spans="1:7">
      <c r="A68" s="14">
        <v>101</v>
      </c>
      <c r="B68" s="13" t="s">
        <v>11711</v>
      </c>
      <c r="C68" s="13" t="s">
        <v>11712</v>
      </c>
      <c r="D68" s="13" t="s">
        <v>11640</v>
      </c>
      <c r="E68" s="13" t="s">
        <v>1150</v>
      </c>
      <c r="F68" s="15">
        <v>367</v>
      </c>
      <c r="G68" s="15">
        <v>367</v>
      </c>
    </row>
    <row r="69" spans="1:7">
      <c r="A69" s="14">
        <v>102</v>
      </c>
      <c r="B69" s="13" t="s">
        <v>11713</v>
      </c>
      <c r="C69" s="13" t="s">
        <v>11714</v>
      </c>
      <c r="D69" s="13" t="s">
        <v>11640</v>
      </c>
      <c r="E69" s="13" t="s">
        <v>1150</v>
      </c>
      <c r="F69" s="15">
        <v>367</v>
      </c>
      <c r="G69" s="15">
        <v>367</v>
      </c>
    </row>
    <row r="70" spans="1:7">
      <c r="A70" s="14">
        <v>104</v>
      </c>
      <c r="B70" s="13" t="s">
        <v>11715</v>
      </c>
      <c r="C70" s="13" t="s">
        <v>11716</v>
      </c>
      <c r="D70" s="13" t="s">
        <v>11640</v>
      </c>
      <c r="E70" s="13" t="s">
        <v>1150</v>
      </c>
      <c r="F70" s="15">
        <v>367</v>
      </c>
      <c r="G70" s="15">
        <v>367</v>
      </c>
    </row>
    <row r="71" spans="1:7">
      <c r="A71" s="14">
        <v>105</v>
      </c>
      <c r="B71" s="13" t="s">
        <v>11717</v>
      </c>
      <c r="C71" s="13" t="s">
        <v>11718</v>
      </c>
      <c r="D71" s="13" t="s">
        <v>11640</v>
      </c>
      <c r="E71" s="13" t="s">
        <v>1150</v>
      </c>
      <c r="F71" s="15">
        <v>367</v>
      </c>
      <c r="G71" s="15">
        <v>367</v>
      </c>
    </row>
    <row r="72" spans="1:7">
      <c r="A72" s="14">
        <v>106</v>
      </c>
      <c r="B72" s="13" t="s">
        <v>11719</v>
      </c>
      <c r="C72" s="13" t="s">
        <v>11720</v>
      </c>
      <c r="D72" s="13" t="s">
        <v>11640</v>
      </c>
      <c r="E72" s="13" t="s">
        <v>1150</v>
      </c>
      <c r="F72" s="15">
        <v>367</v>
      </c>
      <c r="G72" s="15">
        <v>367</v>
      </c>
    </row>
    <row r="73" spans="1:7">
      <c r="A73" s="14">
        <v>108</v>
      </c>
      <c r="B73" s="13" t="s">
        <v>11721</v>
      </c>
      <c r="C73" s="13" t="s">
        <v>11722</v>
      </c>
      <c r="D73" s="13" t="s">
        <v>11640</v>
      </c>
      <c r="E73" s="13" t="s">
        <v>1150</v>
      </c>
      <c r="F73" s="15">
        <v>367</v>
      </c>
      <c r="G73" s="15">
        <v>367</v>
      </c>
    </row>
    <row r="74" spans="1:7">
      <c r="A74" s="14">
        <v>109</v>
      </c>
      <c r="B74" s="13" t="s">
        <v>11723</v>
      </c>
      <c r="C74" s="13" t="s">
        <v>11724</v>
      </c>
      <c r="D74" s="13" t="s">
        <v>11640</v>
      </c>
      <c r="E74" s="13" t="s">
        <v>1150</v>
      </c>
      <c r="F74" s="15">
        <v>367</v>
      </c>
      <c r="G74" s="15">
        <v>367</v>
      </c>
    </row>
    <row r="75" spans="1:7">
      <c r="A75" s="14">
        <v>110</v>
      </c>
      <c r="B75" s="13" t="s">
        <v>11725</v>
      </c>
      <c r="C75" s="13" t="s">
        <v>11726</v>
      </c>
      <c r="D75" s="13" t="s">
        <v>11640</v>
      </c>
      <c r="E75" s="13" t="s">
        <v>1150</v>
      </c>
      <c r="F75" s="15">
        <v>367</v>
      </c>
      <c r="G75" s="15">
        <v>367</v>
      </c>
    </row>
    <row r="76" spans="1:7">
      <c r="A76" s="14">
        <v>111</v>
      </c>
      <c r="B76" s="13" t="s">
        <v>11727</v>
      </c>
      <c r="C76" s="13" t="s">
        <v>11728</v>
      </c>
      <c r="D76" s="13" t="s">
        <v>11640</v>
      </c>
      <c r="E76" s="13" t="s">
        <v>1150</v>
      </c>
      <c r="F76" s="15">
        <v>367</v>
      </c>
      <c r="G76" s="15">
        <v>367</v>
      </c>
    </row>
    <row r="77" spans="1:7">
      <c r="A77" s="14">
        <v>118</v>
      </c>
      <c r="B77" s="13" t="s">
        <v>11729</v>
      </c>
      <c r="C77" s="13" t="s">
        <v>11730</v>
      </c>
      <c r="D77" s="13" t="s">
        <v>11640</v>
      </c>
      <c r="E77" s="13" t="s">
        <v>1150</v>
      </c>
      <c r="F77" s="15">
        <v>367</v>
      </c>
      <c r="G77" s="15">
        <v>367</v>
      </c>
    </row>
    <row r="78" spans="1:7">
      <c r="A78" s="14">
        <v>119</v>
      </c>
      <c r="B78" s="13" t="s">
        <v>11731</v>
      </c>
      <c r="C78" s="13" t="s">
        <v>11732</v>
      </c>
      <c r="D78" s="13" t="s">
        <v>11640</v>
      </c>
      <c r="E78" s="13" t="s">
        <v>1150</v>
      </c>
      <c r="F78" s="15">
        <v>367</v>
      </c>
      <c r="G78" s="15">
        <v>367</v>
      </c>
    </row>
    <row r="79" spans="1:7">
      <c r="A79" s="14">
        <v>120</v>
      </c>
      <c r="B79" s="13" t="s">
        <v>11733</v>
      </c>
      <c r="C79" s="13" t="s">
        <v>11734</v>
      </c>
      <c r="D79" s="13" t="s">
        <v>11640</v>
      </c>
      <c r="E79" s="13" t="s">
        <v>1150</v>
      </c>
      <c r="F79" s="15">
        <v>367</v>
      </c>
      <c r="G79" s="15">
        <v>367</v>
      </c>
    </row>
    <row r="80" spans="1:7">
      <c r="A80" s="14">
        <v>124</v>
      </c>
      <c r="B80" s="13" t="s">
        <v>11735</v>
      </c>
      <c r="C80" s="13" t="s">
        <v>11736</v>
      </c>
      <c r="D80" s="13" t="s">
        <v>11640</v>
      </c>
      <c r="E80" s="13" t="s">
        <v>1150</v>
      </c>
      <c r="F80" s="15">
        <v>367</v>
      </c>
      <c r="G80" s="15">
        <v>367</v>
      </c>
    </row>
    <row r="81" spans="1:7">
      <c r="A81" s="14">
        <v>125</v>
      </c>
      <c r="B81" s="13" t="s">
        <v>11737</v>
      </c>
      <c r="C81" s="13" t="s">
        <v>11738</v>
      </c>
      <c r="D81" s="13" t="s">
        <v>11640</v>
      </c>
      <c r="E81" s="13" t="s">
        <v>1150</v>
      </c>
      <c r="F81" s="15">
        <v>367</v>
      </c>
      <c r="G81" s="15">
        <v>367</v>
      </c>
    </row>
    <row r="82" spans="1:7">
      <c r="A82" s="14">
        <v>126</v>
      </c>
      <c r="B82" s="13" t="s">
        <v>11739</v>
      </c>
      <c r="C82" s="13" t="s">
        <v>11740</v>
      </c>
      <c r="D82" s="13" t="s">
        <v>11640</v>
      </c>
      <c r="E82" s="13" t="s">
        <v>1150</v>
      </c>
      <c r="F82" s="15">
        <v>367</v>
      </c>
      <c r="G82" s="15">
        <v>367</v>
      </c>
    </row>
    <row r="83" spans="1:7">
      <c r="A83" s="14">
        <v>127</v>
      </c>
      <c r="B83" s="13" t="s">
        <v>11741</v>
      </c>
      <c r="C83" s="13" t="s">
        <v>11742</v>
      </c>
      <c r="D83" s="13" t="s">
        <v>11640</v>
      </c>
      <c r="E83" s="13" t="s">
        <v>1150</v>
      </c>
      <c r="F83" s="15">
        <v>367</v>
      </c>
      <c r="G83" s="15">
        <v>367</v>
      </c>
    </row>
    <row r="84" spans="1:7">
      <c r="A84" s="14">
        <v>128</v>
      </c>
      <c r="B84" s="13" t="s">
        <v>11743</v>
      </c>
      <c r="C84" s="13" t="s">
        <v>11744</v>
      </c>
      <c r="D84" s="13" t="s">
        <v>11640</v>
      </c>
      <c r="E84" s="13" t="s">
        <v>1150</v>
      </c>
      <c r="F84" s="15">
        <v>367</v>
      </c>
      <c r="G84" s="15">
        <v>367</v>
      </c>
    </row>
    <row r="85" spans="1:7">
      <c r="A85" s="14">
        <v>129</v>
      </c>
      <c r="B85" s="13" t="s">
        <v>11745</v>
      </c>
      <c r="C85" s="13" t="s">
        <v>11746</v>
      </c>
      <c r="D85" s="13" t="s">
        <v>11640</v>
      </c>
      <c r="E85" s="13" t="s">
        <v>1150</v>
      </c>
      <c r="F85" s="15">
        <v>367</v>
      </c>
      <c r="G85" s="15">
        <v>367</v>
      </c>
    </row>
    <row r="86" spans="1:7">
      <c r="A86" s="14">
        <v>130</v>
      </c>
      <c r="B86" s="13" t="s">
        <v>11747</v>
      </c>
      <c r="C86" s="13" t="s">
        <v>11748</v>
      </c>
      <c r="D86" s="13" t="s">
        <v>11640</v>
      </c>
      <c r="E86" s="13" t="s">
        <v>1150</v>
      </c>
      <c r="F86" s="15">
        <v>367</v>
      </c>
      <c r="G86" s="15">
        <v>367</v>
      </c>
    </row>
    <row r="87" spans="1:7">
      <c r="A87" s="14">
        <v>131</v>
      </c>
      <c r="B87" s="13" t="s">
        <v>11749</v>
      </c>
      <c r="C87" s="13" t="s">
        <v>11750</v>
      </c>
      <c r="D87" s="13" t="s">
        <v>11640</v>
      </c>
      <c r="E87" s="13" t="s">
        <v>1150</v>
      </c>
      <c r="F87" s="15">
        <v>367</v>
      </c>
      <c r="G87" s="15">
        <v>367</v>
      </c>
    </row>
    <row r="88" spans="1:7">
      <c r="A88" s="14">
        <v>132</v>
      </c>
      <c r="B88" s="13" t="s">
        <v>11751</v>
      </c>
      <c r="C88" s="13" t="s">
        <v>11752</v>
      </c>
      <c r="D88" s="13" t="s">
        <v>11640</v>
      </c>
      <c r="E88" s="13" t="s">
        <v>1150</v>
      </c>
      <c r="F88" s="15">
        <v>367</v>
      </c>
      <c r="G88" s="15">
        <v>367</v>
      </c>
    </row>
    <row r="89" spans="1:7">
      <c r="A89" s="14">
        <v>133</v>
      </c>
      <c r="B89" s="13" t="s">
        <v>11753</v>
      </c>
      <c r="C89" s="13" t="s">
        <v>11754</v>
      </c>
      <c r="D89" s="13" t="s">
        <v>11640</v>
      </c>
      <c r="E89" s="13" t="s">
        <v>1150</v>
      </c>
      <c r="F89" s="15">
        <v>367</v>
      </c>
      <c r="G89" s="15">
        <v>367</v>
      </c>
    </row>
    <row r="90" spans="1:7">
      <c r="A90" s="14">
        <v>134</v>
      </c>
      <c r="B90" s="13" t="s">
        <v>11755</v>
      </c>
      <c r="C90" s="13" t="s">
        <v>11756</v>
      </c>
      <c r="D90" s="13" t="s">
        <v>11640</v>
      </c>
      <c r="E90" s="13" t="s">
        <v>1150</v>
      </c>
      <c r="F90" s="15">
        <v>367</v>
      </c>
      <c r="G90" s="15">
        <v>367</v>
      </c>
    </row>
    <row r="91" spans="1:7">
      <c r="A91" s="14">
        <v>135</v>
      </c>
      <c r="B91" s="13" t="s">
        <v>11757</v>
      </c>
      <c r="C91" s="13" t="s">
        <v>11758</v>
      </c>
      <c r="D91" s="13" t="s">
        <v>11640</v>
      </c>
      <c r="E91" s="13" t="s">
        <v>1150</v>
      </c>
      <c r="F91" s="15">
        <v>367</v>
      </c>
      <c r="G91" s="15">
        <v>367</v>
      </c>
    </row>
    <row r="92" spans="1:7">
      <c r="A92" s="14">
        <v>136</v>
      </c>
      <c r="B92" s="13" t="s">
        <v>11759</v>
      </c>
      <c r="C92" s="13" t="s">
        <v>11760</v>
      </c>
      <c r="D92" s="13" t="s">
        <v>11640</v>
      </c>
      <c r="E92" s="13" t="s">
        <v>1150</v>
      </c>
      <c r="F92" s="15">
        <v>367</v>
      </c>
      <c r="G92" s="15">
        <v>367</v>
      </c>
    </row>
    <row r="93" spans="1:7">
      <c r="A93" s="14">
        <v>137</v>
      </c>
      <c r="B93" s="13" t="s">
        <v>11761</v>
      </c>
      <c r="C93" s="13" t="s">
        <v>11762</v>
      </c>
      <c r="D93" s="13" t="s">
        <v>11640</v>
      </c>
      <c r="E93" s="13" t="s">
        <v>1150</v>
      </c>
      <c r="F93" s="15">
        <v>367</v>
      </c>
      <c r="G93" s="15">
        <v>367</v>
      </c>
    </row>
    <row r="94" spans="1:7">
      <c r="A94" s="14">
        <v>138</v>
      </c>
      <c r="B94" s="13" t="s">
        <v>11763</v>
      </c>
      <c r="C94" s="13" t="s">
        <v>11764</v>
      </c>
      <c r="D94" s="13" t="s">
        <v>11640</v>
      </c>
      <c r="E94" s="13" t="s">
        <v>1150</v>
      </c>
      <c r="F94" s="15">
        <v>367</v>
      </c>
      <c r="G94" s="15">
        <v>367</v>
      </c>
    </row>
    <row r="95" spans="1:7">
      <c r="A95" s="14">
        <v>139</v>
      </c>
      <c r="B95" s="13" t="s">
        <v>11765</v>
      </c>
      <c r="C95" s="13" t="s">
        <v>11766</v>
      </c>
      <c r="D95" s="13" t="s">
        <v>11640</v>
      </c>
      <c r="E95" s="13" t="s">
        <v>1150</v>
      </c>
      <c r="F95" s="15">
        <v>367</v>
      </c>
      <c r="G95" s="15">
        <v>367</v>
      </c>
    </row>
    <row r="96" spans="1:7">
      <c r="A96" s="14">
        <v>141</v>
      </c>
      <c r="B96" s="13" t="s">
        <v>11767</v>
      </c>
      <c r="C96" s="13" t="s">
        <v>11768</v>
      </c>
      <c r="D96" s="13" t="s">
        <v>11640</v>
      </c>
      <c r="E96" s="13" t="s">
        <v>1150</v>
      </c>
      <c r="F96" s="15">
        <v>367</v>
      </c>
      <c r="G96" s="15">
        <v>367</v>
      </c>
    </row>
    <row r="97" spans="1:7">
      <c r="A97" s="14">
        <v>142</v>
      </c>
      <c r="B97" s="13" t="s">
        <v>11769</v>
      </c>
      <c r="C97" s="13" t="s">
        <v>11770</v>
      </c>
      <c r="D97" s="13" t="s">
        <v>11640</v>
      </c>
      <c r="E97" s="13" t="s">
        <v>1150</v>
      </c>
      <c r="F97" s="15">
        <v>367</v>
      </c>
      <c r="G97" s="15">
        <v>367</v>
      </c>
    </row>
    <row r="98" spans="1:7">
      <c r="A98" s="14">
        <v>143</v>
      </c>
      <c r="B98" s="13" t="s">
        <v>11771</v>
      </c>
      <c r="C98" s="13" t="s">
        <v>11772</v>
      </c>
      <c r="D98" s="13" t="s">
        <v>11640</v>
      </c>
      <c r="E98" s="13" t="s">
        <v>1150</v>
      </c>
      <c r="F98" s="15">
        <v>367</v>
      </c>
      <c r="G98" s="15">
        <v>367</v>
      </c>
    </row>
    <row r="99" spans="1:7">
      <c r="A99" s="14">
        <v>145</v>
      </c>
      <c r="B99" s="13" t="s">
        <v>11773</v>
      </c>
      <c r="C99" s="13" t="s">
        <v>11774</v>
      </c>
      <c r="D99" s="13" t="s">
        <v>11640</v>
      </c>
      <c r="E99" s="13" t="s">
        <v>1150</v>
      </c>
      <c r="F99" s="15">
        <v>367</v>
      </c>
      <c r="G99" s="15">
        <v>367</v>
      </c>
    </row>
    <row r="100" spans="1:7">
      <c r="A100" s="14">
        <v>146</v>
      </c>
      <c r="B100" s="13" t="s">
        <v>11775</v>
      </c>
      <c r="C100" s="13" t="s">
        <v>11776</v>
      </c>
      <c r="D100" s="13" t="s">
        <v>11640</v>
      </c>
      <c r="E100" s="13" t="s">
        <v>1150</v>
      </c>
      <c r="F100" s="15">
        <v>367</v>
      </c>
      <c r="G100" s="15">
        <v>367</v>
      </c>
    </row>
    <row r="101" spans="1:7">
      <c r="A101" s="14">
        <v>148</v>
      </c>
      <c r="B101" s="13" t="s">
        <v>11777</v>
      </c>
      <c r="C101" s="13" t="s">
        <v>11778</v>
      </c>
      <c r="D101" s="13" t="s">
        <v>11640</v>
      </c>
      <c r="E101" s="13" t="s">
        <v>1150</v>
      </c>
      <c r="F101" s="15">
        <v>367</v>
      </c>
      <c r="G101" s="15">
        <v>367</v>
      </c>
    </row>
    <row r="102" spans="1:7">
      <c r="A102" s="14">
        <v>150</v>
      </c>
      <c r="B102" s="13" t="s">
        <v>11779</v>
      </c>
      <c r="C102" s="13" t="s">
        <v>11780</v>
      </c>
      <c r="D102" s="13" t="s">
        <v>11640</v>
      </c>
      <c r="E102" s="13" t="s">
        <v>1150</v>
      </c>
      <c r="F102" s="15">
        <v>367</v>
      </c>
      <c r="G102" s="15">
        <v>367</v>
      </c>
    </row>
    <row r="103" spans="1:7">
      <c r="A103" s="14">
        <v>151</v>
      </c>
      <c r="B103" s="13" t="s">
        <v>11781</v>
      </c>
      <c r="C103" s="13" t="s">
        <v>11782</v>
      </c>
      <c r="D103" s="13" t="s">
        <v>11640</v>
      </c>
      <c r="E103" s="13" t="s">
        <v>1150</v>
      </c>
      <c r="F103" s="15">
        <v>367</v>
      </c>
      <c r="G103" s="15">
        <v>367</v>
      </c>
    </row>
    <row r="104" spans="1:7">
      <c r="A104" s="14">
        <v>152</v>
      </c>
      <c r="B104" s="13" t="s">
        <v>11783</v>
      </c>
      <c r="C104" s="13" t="s">
        <v>11784</v>
      </c>
      <c r="D104" s="13" t="s">
        <v>11640</v>
      </c>
      <c r="E104" s="13" t="s">
        <v>1150</v>
      </c>
      <c r="F104" s="15">
        <v>367</v>
      </c>
      <c r="G104" s="15">
        <v>367</v>
      </c>
    </row>
    <row r="105" spans="1:7">
      <c r="A105" s="14">
        <v>153</v>
      </c>
      <c r="B105" s="13" t="s">
        <v>11785</v>
      </c>
      <c r="C105" s="13" t="s">
        <v>11786</v>
      </c>
      <c r="D105" s="13" t="s">
        <v>11640</v>
      </c>
      <c r="E105" s="13" t="s">
        <v>1150</v>
      </c>
      <c r="F105" s="15">
        <v>367</v>
      </c>
      <c r="G105" s="15">
        <v>367</v>
      </c>
    </row>
    <row r="106" spans="1:7">
      <c r="A106" s="14">
        <v>154</v>
      </c>
      <c r="B106" s="13" t="s">
        <v>11787</v>
      </c>
      <c r="C106" s="13" t="s">
        <v>11788</v>
      </c>
      <c r="D106" s="13" t="s">
        <v>11640</v>
      </c>
      <c r="E106" s="13" t="s">
        <v>1150</v>
      </c>
      <c r="F106" s="15">
        <v>367</v>
      </c>
      <c r="G106" s="15">
        <v>367</v>
      </c>
    </row>
    <row r="107" spans="1:7">
      <c r="A107" s="14">
        <v>155</v>
      </c>
      <c r="B107" s="13" t="s">
        <v>11789</v>
      </c>
      <c r="C107" s="13" t="s">
        <v>11790</v>
      </c>
      <c r="D107" s="13" t="s">
        <v>11640</v>
      </c>
      <c r="E107" s="13" t="s">
        <v>1150</v>
      </c>
      <c r="F107" s="15">
        <v>367</v>
      </c>
      <c r="G107" s="15">
        <v>367</v>
      </c>
    </row>
    <row r="108" spans="1:7">
      <c r="A108" s="14">
        <v>156</v>
      </c>
      <c r="B108" s="13" t="s">
        <v>11791</v>
      </c>
      <c r="C108" s="13" t="s">
        <v>11792</v>
      </c>
      <c r="D108" s="13" t="s">
        <v>11640</v>
      </c>
      <c r="E108" s="13" t="s">
        <v>1150</v>
      </c>
      <c r="F108" s="15">
        <v>367</v>
      </c>
      <c r="G108" s="15">
        <v>367</v>
      </c>
    </row>
    <row r="109" spans="1:7">
      <c r="A109" s="14">
        <v>157</v>
      </c>
      <c r="B109" s="13" t="s">
        <v>11793</v>
      </c>
      <c r="C109" s="13" t="s">
        <v>11794</v>
      </c>
      <c r="D109" s="13" t="s">
        <v>11640</v>
      </c>
      <c r="E109" s="13" t="s">
        <v>1150</v>
      </c>
      <c r="F109" s="15">
        <v>367</v>
      </c>
      <c r="G109" s="15">
        <v>367</v>
      </c>
    </row>
    <row r="110" spans="1:7">
      <c r="A110" s="14">
        <v>158</v>
      </c>
      <c r="B110" s="13" t="s">
        <v>11795</v>
      </c>
      <c r="C110" s="13" t="s">
        <v>11796</v>
      </c>
      <c r="D110" s="13" t="s">
        <v>11640</v>
      </c>
      <c r="E110" s="13" t="s">
        <v>1150</v>
      </c>
      <c r="F110" s="15">
        <v>367</v>
      </c>
      <c r="G110" s="15">
        <v>367</v>
      </c>
    </row>
    <row r="111" spans="1:7">
      <c r="A111" s="14">
        <v>159</v>
      </c>
      <c r="B111" s="13" t="s">
        <v>11797</v>
      </c>
      <c r="C111" s="13" t="s">
        <v>11798</v>
      </c>
      <c r="D111" s="13" t="s">
        <v>11640</v>
      </c>
      <c r="E111" s="13" t="s">
        <v>1150</v>
      </c>
      <c r="F111" s="15">
        <v>367</v>
      </c>
      <c r="G111" s="15">
        <v>367</v>
      </c>
    </row>
    <row r="112" spans="1:7">
      <c r="A112" s="14">
        <v>160</v>
      </c>
      <c r="B112" s="13" t="s">
        <v>11799</v>
      </c>
      <c r="C112" s="13" t="s">
        <v>11800</v>
      </c>
      <c r="D112" s="13" t="s">
        <v>11640</v>
      </c>
      <c r="E112" s="13" t="s">
        <v>1150</v>
      </c>
      <c r="F112" s="15">
        <v>367</v>
      </c>
      <c r="G112" s="15">
        <v>367</v>
      </c>
    </row>
    <row r="113" spans="1:7">
      <c r="A113" s="14">
        <v>161</v>
      </c>
      <c r="B113" s="13" t="s">
        <v>11801</v>
      </c>
      <c r="C113" s="13" t="s">
        <v>11802</v>
      </c>
      <c r="D113" s="13" t="s">
        <v>11640</v>
      </c>
      <c r="E113" s="13" t="s">
        <v>1150</v>
      </c>
      <c r="F113" s="15">
        <v>367</v>
      </c>
      <c r="G113" s="15">
        <v>367</v>
      </c>
    </row>
    <row r="114" spans="1:7">
      <c r="A114" s="14">
        <v>162</v>
      </c>
      <c r="B114" s="13" t="s">
        <v>11803</v>
      </c>
      <c r="C114" s="13" t="s">
        <v>11804</v>
      </c>
      <c r="D114" s="13" t="s">
        <v>11640</v>
      </c>
      <c r="E114" s="13" t="s">
        <v>1150</v>
      </c>
      <c r="F114" s="15">
        <v>367</v>
      </c>
      <c r="G114" s="15">
        <v>367</v>
      </c>
    </row>
    <row r="115" spans="1:7">
      <c r="A115" s="14">
        <v>163</v>
      </c>
      <c r="B115" s="13" t="s">
        <v>11805</v>
      </c>
      <c r="C115" s="13" t="s">
        <v>11806</v>
      </c>
      <c r="D115" s="13" t="s">
        <v>11640</v>
      </c>
      <c r="E115" s="13" t="s">
        <v>1150</v>
      </c>
      <c r="F115" s="15">
        <v>367</v>
      </c>
      <c r="G115" s="15">
        <v>367</v>
      </c>
    </row>
    <row r="116" spans="1:7">
      <c r="A116" s="14">
        <v>164</v>
      </c>
      <c r="B116" s="13" t="s">
        <v>11807</v>
      </c>
      <c r="C116" s="13" t="s">
        <v>11808</v>
      </c>
      <c r="D116" s="13" t="s">
        <v>11640</v>
      </c>
      <c r="E116" s="13" t="s">
        <v>1150</v>
      </c>
      <c r="F116" s="15">
        <v>367</v>
      </c>
      <c r="G116" s="15">
        <v>367</v>
      </c>
    </row>
    <row r="117" spans="1:7">
      <c r="A117" s="14">
        <v>165</v>
      </c>
      <c r="B117" s="13" t="s">
        <v>11809</v>
      </c>
      <c r="C117" s="13" t="s">
        <v>11810</v>
      </c>
      <c r="D117" s="13" t="s">
        <v>11640</v>
      </c>
      <c r="E117" s="13" t="s">
        <v>1150</v>
      </c>
      <c r="F117" s="15">
        <v>367</v>
      </c>
      <c r="G117" s="15">
        <v>367</v>
      </c>
    </row>
    <row r="118" spans="1:7">
      <c r="A118" s="14">
        <v>166</v>
      </c>
      <c r="B118" s="13" t="s">
        <v>11811</v>
      </c>
      <c r="C118" s="13" t="s">
        <v>11812</v>
      </c>
      <c r="D118" s="13" t="s">
        <v>11640</v>
      </c>
      <c r="E118" s="13" t="s">
        <v>1150</v>
      </c>
      <c r="F118" s="15">
        <v>367</v>
      </c>
      <c r="G118" s="15">
        <v>367</v>
      </c>
    </row>
    <row r="119" spans="1:7">
      <c r="A119" s="14">
        <v>167</v>
      </c>
      <c r="B119" s="13" t="s">
        <v>11813</v>
      </c>
      <c r="C119" s="13" t="s">
        <v>11814</v>
      </c>
      <c r="D119" s="13" t="s">
        <v>11640</v>
      </c>
      <c r="E119" s="13" t="s">
        <v>1150</v>
      </c>
      <c r="F119" s="15">
        <v>367</v>
      </c>
      <c r="G119" s="15">
        <v>367</v>
      </c>
    </row>
    <row r="120" spans="1:7">
      <c r="A120" s="14">
        <v>168</v>
      </c>
      <c r="B120" s="13" t="s">
        <v>11815</v>
      </c>
      <c r="C120" s="13" t="s">
        <v>11816</v>
      </c>
      <c r="D120" s="13" t="s">
        <v>11640</v>
      </c>
      <c r="E120" s="13" t="s">
        <v>1150</v>
      </c>
      <c r="F120" s="15">
        <v>367</v>
      </c>
      <c r="G120" s="15">
        <v>367</v>
      </c>
    </row>
    <row r="121" spans="1:7">
      <c r="A121" s="14">
        <v>169</v>
      </c>
      <c r="B121" s="13" t="s">
        <v>11817</v>
      </c>
      <c r="C121" s="13" t="s">
        <v>11818</v>
      </c>
      <c r="D121" s="13" t="s">
        <v>11640</v>
      </c>
      <c r="E121" s="13" t="s">
        <v>1150</v>
      </c>
      <c r="F121" s="15">
        <v>367</v>
      </c>
      <c r="G121" s="15">
        <v>367</v>
      </c>
    </row>
    <row r="122" spans="1:7">
      <c r="A122" s="14">
        <v>170</v>
      </c>
      <c r="B122" s="13" t="s">
        <v>11819</v>
      </c>
      <c r="C122" s="13" t="s">
        <v>11820</v>
      </c>
      <c r="D122" s="13" t="s">
        <v>11640</v>
      </c>
      <c r="E122" s="13" t="s">
        <v>1150</v>
      </c>
      <c r="F122" s="15">
        <v>367</v>
      </c>
      <c r="G122" s="15">
        <v>367</v>
      </c>
    </row>
    <row r="123" spans="1:7">
      <c r="A123" s="14">
        <v>171</v>
      </c>
      <c r="B123" s="13" t="s">
        <v>11821</v>
      </c>
      <c r="C123" s="13" t="s">
        <v>11822</v>
      </c>
      <c r="D123" s="13" t="s">
        <v>11640</v>
      </c>
      <c r="E123" s="13" t="s">
        <v>1150</v>
      </c>
      <c r="F123" s="15">
        <v>367</v>
      </c>
      <c r="G123" s="15">
        <v>367</v>
      </c>
    </row>
    <row r="124" spans="1:7">
      <c r="A124" s="14">
        <v>172</v>
      </c>
      <c r="B124" s="13" t="s">
        <v>11823</v>
      </c>
      <c r="C124" s="13" t="s">
        <v>11824</v>
      </c>
      <c r="D124" s="13" t="s">
        <v>11640</v>
      </c>
      <c r="E124" s="13" t="s">
        <v>1150</v>
      </c>
      <c r="F124" s="15">
        <v>367</v>
      </c>
      <c r="G124" s="15">
        <v>367</v>
      </c>
    </row>
    <row r="125" spans="1:7">
      <c r="A125" s="14">
        <v>173</v>
      </c>
      <c r="B125" s="13" t="s">
        <v>11825</v>
      </c>
      <c r="C125" s="13" t="s">
        <v>11826</v>
      </c>
      <c r="D125" s="13" t="s">
        <v>11640</v>
      </c>
      <c r="E125" s="13" t="s">
        <v>1150</v>
      </c>
      <c r="F125" s="15">
        <v>367</v>
      </c>
      <c r="G125" s="15">
        <v>367</v>
      </c>
    </row>
    <row r="126" spans="1:7">
      <c r="A126" s="14">
        <v>174</v>
      </c>
      <c r="B126" s="13" t="s">
        <v>11827</v>
      </c>
      <c r="C126" s="13" t="s">
        <v>11828</v>
      </c>
      <c r="D126" s="13" t="s">
        <v>11640</v>
      </c>
      <c r="E126" s="13" t="s">
        <v>1150</v>
      </c>
      <c r="F126" s="15">
        <v>367</v>
      </c>
      <c r="G126" s="15">
        <v>367</v>
      </c>
    </row>
    <row r="127" spans="1:7">
      <c r="A127" s="14">
        <v>177</v>
      </c>
      <c r="B127" s="13" t="s">
        <v>11829</v>
      </c>
      <c r="C127" s="13" t="s">
        <v>11830</v>
      </c>
      <c r="D127" s="13" t="s">
        <v>11640</v>
      </c>
      <c r="E127" s="13" t="s">
        <v>1150</v>
      </c>
      <c r="F127" s="15">
        <v>367</v>
      </c>
      <c r="G127" s="15">
        <v>367</v>
      </c>
    </row>
    <row r="128" spans="1:7">
      <c r="A128" s="14">
        <v>178</v>
      </c>
      <c r="B128" s="13" t="s">
        <v>11831</v>
      </c>
      <c r="C128" s="13" t="s">
        <v>11832</v>
      </c>
      <c r="D128" s="13" t="s">
        <v>11640</v>
      </c>
      <c r="E128" s="13" t="s">
        <v>1150</v>
      </c>
      <c r="F128" s="15">
        <v>367</v>
      </c>
      <c r="G128" s="15">
        <v>367</v>
      </c>
    </row>
    <row r="129" spans="1:7">
      <c r="A129" s="14">
        <v>179</v>
      </c>
      <c r="B129" s="13" t="s">
        <v>11833</v>
      </c>
      <c r="C129" s="13" t="s">
        <v>11834</v>
      </c>
      <c r="D129" s="13" t="s">
        <v>11640</v>
      </c>
      <c r="E129" s="13" t="s">
        <v>1150</v>
      </c>
      <c r="F129" s="15">
        <v>367</v>
      </c>
      <c r="G129" s="15">
        <v>367</v>
      </c>
    </row>
    <row r="130" spans="1:7">
      <c r="A130" s="14">
        <v>181</v>
      </c>
      <c r="B130" s="13" t="s">
        <v>11835</v>
      </c>
      <c r="C130" s="13" t="s">
        <v>11836</v>
      </c>
      <c r="D130" s="13" t="s">
        <v>11640</v>
      </c>
      <c r="E130" s="13" t="s">
        <v>1150</v>
      </c>
      <c r="F130" s="15">
        <v>367</v>
      </c>
      <c r="G130" s="15">
        <v>367</v>
      </c>
    </row>
    <row r="131" spans="1:7">
      <c r="A131" s="14">
        <v>182</v>
      </c>
      <c r="B131" s="13" t="s">
        <v>11837</v>
      </c>
      <c r="C131" s="13" t="s">
        <v>11838</v>
      </c>
      <c r="D131" s="13" t="s">
        <v>11640</v>
      </c>
      <c r="E131" s="13" t="s">
        <v>1150</v>
      </c>
      <c r="F131" s="15">
        <v>367</v>
      </c>
      <c r="G131" s="15">
        <v>367</v>
      </c>
    </row>
    <row r="132" spans="1:7">
      <c r="A132" s="14">
        <v>183</v>
      </c>
      <c r="B132" s="13" t="s">
        <v>11839</v>
      </c>
      <c r="C132" s="13" t="s">
        <v>11840</v>
      </c>
      <c r="D132" s="13" t="s">
        <v>11640</v>
      </c>
      <c r="E132" s="13" t="s">
        <v>1150</v>
      </c>
      <c r="F132" s="15">
        <v>367</v>
      </c>
      <c r="G132" s="15">
        <v>367</v>
      </c>
    </row>
    <row r="133" spans="1:7">
      <c r="A133" s="14">
        <v>184</v>
      </c>
      <c r="B133" s="13" t="s">
        <v>11841</v>
      </c>
      <c r="C133" s="13" t="s">
        <v>11842</v>
      </c>
      <c r="D133" s="13" t="s">
        <v>11640</v>
      </c>
      <c r="E133" s="13" t="s">
        <v>1150</v>
      </c>
      <c r="F133" s="15">
        <v>367</v>
      </c>
      <c r="G133" s="15">
        <v>367</v>
      </c>
    </row>
    <row r="134" spans="1:7">
      <c r="A134" s="14">
        <v>185</v>
      </c>
      <c r="B134" s="13" t="s">
        <v>11843</v>
      </c>
      <c r="C134" s="13" t="s">
        <v>11844</v>
      </c>
      <c r="D134" s="13" t="s">
        <v>11640</v>
      </c>
      <c r="E134" s="13" t="s">
        <v>1150</v>
      </c>
      <c r="F134" s="15">
        <v>367</v>
      </c>
      <c r="G134" s="15">
        <v>367</v>
      </c>
    </row>
    <row r="135" spans="1:7">
      <c r="A135" s="14">
        <v>186</v>
      </c>
      <c r="B135" s="13" t="s">
        <v>11845</v>
      </c>
      <c r="C135" s="13" t="s">
        <v>11846</v>
      </c>
      <c r="D135" s="13" t="s">
        <v>11640</v>
      </c>
      <c r="E135" s="13" t="s">
        <v>1150</v>
      </c>
      <c r="F135" s="15">
        <v>367</v>
      </c>
      <c r="G135" s="15">
        <v>367</v>
      </c>
    </row>
    <row r="136" spans="1:7">
      <c r="A136" s="14">
        <v>187</v>
      </c>
      <c r="B136" s="13" t="s">
        <v>11847</v>
      </c>
      <c r="C136" s="13" t="s">
        <v>11848</v>
      </c>
      <c r="D136" s="13" t="s">
        <v>11640</v>
      </c>
      <c r="E136" s="13" t="s">
        <v>1150</v>
      </c>
      <c r="F136" s="15">
        <v>367</v>
      </c>
      <c r="G136" s="15">
        <v>367</v>
      </c>
    </row>
    <row r="137" spans="1:7">
      <c r="A137" s="14">
        <v>188</v>
      </c>
      <c r="B137" s="13" t="s">
        <v>11849</v>
      </c>
      <c r="C137" s="13" t="s">
        <v>11850</v>
      </c>
      <c r="D137" s="13" t="s">
        <v>11640</v>
      </c>
      <c r="E137" s="13" t="s">
        <v>1150</v>
      </c>
      <c r="F137" s="15">
        <v>367</v>
      </c>
      <c r="G137" s="15">
        <v>367</v>
      </c>
    </row>
    <row r="138" spans="1:7">
      <c r="A138" s="14">
        <v>189</v>
      </c>
      <c r="B138" s="13" t="s">
        <v>11851</v>
      </c>
      <c r="C138" s="13" t="s">
        <v>11852</v>
      </c>
      <c r="D138" s="13" t="s">
        <v>11640</v>
      </c>
      <c r="E138" s="13" t="s">
        <v>1150</v>
      </c>
      <c r="F138" s="15">
        <v>367</v>
      </c>
      <c r="G138" s="15">
        <v>367</v>
      </c>
    </row>
    <row r="139" spans="1:7">
      <c r="A139" s="14">
        <v>190</v>
      </c>
      <c r="B139" s="13" t="s">
        <v>11853</v>
      </c>
      <c r="C139" s="13" t="s">
        <v>11854</v>
      </c>
      <c r="D139" s="13" t="s">
        <v>11640</v>
      </c>
      <c r="E139" s="13" t="s">
        <v>1150</v>
      </c>
      <c r="F139" s="15">
        <v>367</v>
      </c>
      <c r="G139" s="15">
        <v>367</v>
      </c>
    </row>
    <row r="140" spans="1:7">
      <c r="A140" s="14">
        <v>191</v>
      </c>
      <c r="B140" s="13" t="s">
        <v>11855</v>
      </c>
      <c r="C140" s="13" t="s">
        <v>11856</v>
      </c>
      <c r="D140" s="13" t="s">
        <v>11640</v>
      </c>
      <c r="E140" s="13" t="s">
        <v>1150</v>
      </c>
      <c r="F140" s="15">
        <v>367</v>
      </c>
      <c r="G140" s="15">
        <v>367</v>
      </c>
    </row>
    <row r="141" spans="1:7">
      <c r="A141" s="14">
        <v>192</v>
      </c>
      <c r="B141" s="13" t="s">
        <v>11857</v>
      </c>
      <c r="C141" s="13" t="s">
        <v>11858</v>
      </c>
      <c r="D141" s="13" t="s">
        <v>11640</v>
      </c>
      <c r="E141" s="13" t="s">
        <v>1150</v>
      </c>
      <c r="F141" s="15">
        <v>367</v>
      </c>
      <c r="G141" s="15">
        <v>367</v>
      </c>
    </row>
    <row r="142" spans="1:7">
      <c r="A142" s="14">
        <v>193</v>
      </c>
      <c r="B142" s="13" t="s">
        <v>11859</v>
      </c>
      <c r="C142" s="13" t="s">
        <v>11860</v>
      </c>
      <c r="D142" s="13" t="s">
        <v>11640</v>
      </c>
      <c r="E142" s="13" t="s">
        <v>1150</v>
      </c>
      <c r="F142" s="15">
        <v>367</v>
      </c>
      <c r="G142" s="15">
        <v>367</v>
      </c>
    </row>
    <row r="143" spans="1:7">
      <c r="A143" s="14">
        <v>194</v>
      </c>
      <c r="B143" s="13" t="s">
        <v>11861</v>
      </c>
      <c r="C143" s="13" t="s">
        <v>11862</v>
      </c>
      <c r="D143" s="13" t="s">
        <v>11640</v>
      </c>
      <c r="E143" s="13" t="s">
        <v>1150</v>
      </c>
      <c r="F143" s="15">
        <v>367</v>
      </c>
      <c r="G143" s="15">
        <v>367</v>
      </c>
    </row>
    <row r="144" spans="1:7">
      <c r="A144" s="14">
        <v>195</v>
      </c>
      <c r="B144" s="13" t="s">
        <v>11863</v>
      </c>
      <c r="C144" s="13" t="s">
        <v>11864</v>
      </c>
      <c r="D144" s="13" t="s">
        <v>11640</v>
      </c>
      <c r="E144" s="13" t="s">
        <v>1150</v>
      </c>
      <c r="F144" s="15">
        <v>367</v>
      </c>
      <c r="G144" s="15">
        <v>367</v>
      </c>
    </row>
    <row r="145" spans="1:7">
      <c r="A145" s="14">
        <v>197</v>
      </c>
      <c r="B145" s="13" t="s">
        <v>11865</v>
      </c>
      <c r="C145" s="13" t="s">
        <v>11866</v>
      </c>
      <c r="D145" s="13" t="s">
        <v>11640</v>
      </c>
      <c r="E145" s="13" t="s">
        <v>1150</v>
      </c>
      <c r="F145" s="15">
        <v>367</v>
      </c>
      <c r="G145" s="15">
        <v>367</v>
      </c>
    </row>
    <row r="146" spans="1:7">
      <c r="A146" s="14">
        <v>198</v>
      </c>
      <c r="B146" s="13" t="s">
        <v>11867</v>
      </c>
      <c r="C146" s="13" t="s">
        <v>11868</v>
      </c>
      <c r="D146" s="13" t="s">
        <v>11640</v>
      </c>
      <c r="E146" s="13" t="s">
        <v>1150</v>
      </c>
      <c r="F146" s="15">
        <v>367</v>
      </c>
      <c r="G146" s="15">
        <v>367</v>
      </c>
    </row>
    <row r="147" spans="1:7">
      <c r="A147" s="14">
        <v>199</v>
      </c>
      <c r="B147" s="13" t="s">
        <v>11869</v>
      </c>
      <c r="C147" s="13" t="s">
        <v>11870</v>
      </c>
      <c r="D147" s="13" t="s">
        <v>11640</v>
      </c>
      <c r="E147" s="13" t="s">
        <v>1150</v>
      </c>
      <c r="F147" s="15">
        <v>367</v>
      </c>
      <c r="G147" s="15">
        <v>367</v>
      </c>
    </row>
    <row r="148" spans="1:7">
      <c r="A148" s="14">
        <v>200</v>
      </c>
      <c r="B148" s="13" t="s">
        <v>11871</v>
      </c>
      <c r="C148" s="13" t="s">
        <v>11872</v>
      </c>
      <c r="D148" s="13" t="s">
        <v>11640</v>
      </c>
      <c r="E148" s="13" t="s">
        <v>1150</v>
      </c>
      <c r="F148" s="15">
        <v>367</v>
      </c>
      <c r="G148" s="15">
        <v>367</v>
      </c>
    </row>
    <row r="149" spans="1:7">
      <c r="A149" s="14">
        <v>202</v>
      </c>
      <c r="B149" s="13" t="s">
        <v>11873</v>
      </c>
      <c r="C149" s="13" t="s">
        <v>11874</v>
      </c>
      <c r="D149" s="13" t="s">
        <v>11640</v>
      </c>
      <c r="E149" s="13" t="s">
        <v>1150</v>
      </c>
      <c r="F149" s="15">
        <v>367</v>
      </c>
      <c r="G149" s="15">
        <v>367</v>
      </c>
    </row>
    <row r="150" spans="1:7">
      <c r="A150" s="14">
        <v>205</v>
      </c>
      <c r="B150" s="13" t="s">
        <v>11875</v>
      </c>
      <c r="C150" s="13" t="s">
        <v>11876</v>
      </c>
      <c r="D150" s="13" t="s">
        <v>11640</v>
      </c>
      <c r="E150" s="13" t="s">
        <v>1150</v>
      </c>
      <c r="F150" s="15">
        <v>367</v>
      </c>
      <c r="G150" s="15">
        <v>367</v>
      </c>
    </row>
    <row r="151" spans="1:7">
      <c r="A151" s="14">
        <v>208</v>
      </c>
      <c r="B151" s="13" t="s">
        <v>11877</v>
      </c>
      <c r="C151" s="13" t="s">
        <v>11878</v>
      </c>
      <c r="D151" s="13" t="s">
        <v>11640</v>
      </c>
      <c r="E151" s="13" t="s">
        <v>1150</v>
      </c>
      <c r="F151" s="15">
        <v>367</v>
      </c>
      <c r="G151" s="15">
        <v>367</v>
      </c>
    </row>
    <row r="152" spans="1:7">
      <c r="A152" s="14">
        <v>209</v>
      </c>
      <c r="B152" s="13" t="s">
        <v>11879</v>
      </c>
      <c r="C152" s="13" t="s">
        <v>11880</v>
      </c>
      <c r="D152" s="13" t="s">
        <v>11640</v>
      </c>
      <c r="E152" s="13" t="s">
        <v>1150</v>
      </c>
      <c r="F152" s="15">
        <v>367</v>
      </c>
      <c r="G152" s="15">
        <v>367</v>
      </c>
    </row>
    <row r="153" spans="1:7">
      <c r="A153" s="14">
        <v>211</v>
      </c>
      <c r="B153" s="13" t="s">
        <v>11881</v>
      </c>
      <c r="C153" s="13" t="s">
        <v>11882</v>
      </c>
      <c r="D153" s="13" t="s">
        <v>11640</v>
      </c>
      <c r="E153" s="13" t="s">
        <v>1150</v>
      </c>
      <c r="F153" s="15">
        <v>367</v>
      </c>
      <c r="G153" s="15">
        <v>367</v>
      </c>
    </row>
    <row r="154" spans="1:7">
      <c r="A154" s="14">
        <v>213</v>
      </c>
      <c r="B154" s="13" t="s">
        <v>11883</v>
      </c>
      <c r="C154" s="13" t="s">
        <v>11884</v>
      </c>
      <c r="D154" s="13" t="s">
        <v>11640</v>
      </c>
      <c r="E154" s="13" t="s">
        <v>1150</v>
      </c>
      <c r="F154" s="15">
        <v>367</v>
      </c>
      <c r="G154" s="15">
        <v>367</v>
      </c>
    </row>
    <row r="155" spans="1:7">
      <c r="A155" s="14">
        <v>214</v>
      </c>
      <c r="B155" s="13" t="s">
        <v>11885</v>
      </c>
      <c r="C155" s="13" t="s">
        <v>11886</v>
      </c>
      <c r="D155" s="13" t="s">
        <v>11640</v>
      </c>
      <c r="E155" s="13" t="s">
        <v>1150</v>
      </c>
      <c r="F155" s="15">
        <v>367</v>
      </c>
      <c r="G155" s="15">
        <v>367</v>
      </c>
    </row>
    <row r="156" spans="1:7">
      <c r="A156" s="14">
        <v>215</v>
      </c>
      <c r="B156" s="13" t="s">
        <v>11887</v>
      </c>
      <c r="C156" s="13" t="s">
        <v>11888</v>
      </c>
      <c r="D156" s="13" t="s">
        <v>11640</v>
      </c>
      <c r="E156" s="13" t="s">
        <v>1150</v>
      </c>
      <c r="F156" s="15">
        <v>367</v>
      </c>
      <c r="G156" s="15">
        <v>367</v>
      </c>
    </row>
    <row r="157" spans="1:7">
      <c r="A157" s="14">
        <v>216</v>
      </c>
      <c r="B157" s="13" t="s">
        <v>11889</v>
      </c>
      <c r="C157" s="13" t="s">
        <v>11890</v>
      </c>
      <c r="D157" s="13" t="s">
        <v>11640</v>
      </c>
      <c r="E157" s="13" t="s">
        <v>1150</v>
      </c>
      <c r="F157" s="15">
        <v>367</v>
      </c>
      <c r="G157" s="15">
        <v>367</v>
      </c>
    </row>
    <row r="158" spans="1:7">
      <c r="A158" s="14">
        <v>217</v>
      </c>
      <c r="B158" s="13" t="s">
        <v>11891</v>
      </c>
      <c r="C158" s="13" t="s">
        <v>11892</v>
      </c>
      <c r="D158" s="13" t="s">
        <v>11640</v>
      </c>
      <c r="E158" s="13" t="s">
        <v>1150</v>
      </c>
      <c r="F158" s="15">
        <v>367</v>
      </c>
      <c r="G158" s="15">
        <v>367</v>
      </c>
    </row>
    <row r="159" spans="1:7">
      <c r="A159" s="14">
        <v>220</v>
      </c>
      <c r="B159" s="13" t="s">
        <v>11893</v>
      </c>
      <c r="C159" s="13" t="s">
        <v>11894</v>
      </c>
      <c r="D159" s="13" t="s">
        <v>11640</v>
      </c>
      <c r="E159" s="13" t="s">
        <v>1150</v>
      </c>
      <c r="F159" s="15">
        <v>367</v>
      </c>
      <c r="G159" s="15">
        <v>367</v>
      </c>
    </row>
    <row r="160" spans="1:7">
      <c r="A160" s="14">
        <v>222</v>
      </c>
      <c r="B160" s="13" t="s">
        <v>11895</v>
      </c>
      <c r="C160" s="13" t="s">
        <v>11896</v>
      </c>
      <c r="D160" s="13" t="s">
        <v>11640</v>
      </c>
      <c r="E160" s="13" t="s">
        <v>1150</v>
      </c>
      <c r="F160" s="15">
        <v>367</v>
      </c>
      <c r="G160" s="15">
        <v>367</v>
      </c>
    </row>
    <row r="161" spans="1:7">
      <c r="A161" s="14">
        <v>223</v>
      </c>
      <c r="B161" s="13" t="s">
        <v>11897</v>
      </c>
      <c r="C161" s="13" t="s">
        <v>11898</v>
      </c>
      <c r="D161" s="13" t="s">
        <v>11640</v>
      </c>
      <c r="E161" s="13" t="s">
        <v>1150</v>
      </c>
      <c r="F161" s="15">
        <v>367</v>
      </c>
      <c r="G161" s="15">
        <v>367</v>
      </c>
    </row>
    <row r="162" spans="1:7">
      <c r="A162" s="14">
        <v>225</v>
      </c>
      <c r="B162" s="13" t="s">
        <v>11899</v>
      </c>
      <c r="C162" s="13" t="s">
        <v>11900</v>
      </c>
      <c r="D162" s="13" t="s">
        <v>11640</v>
      </c>
      <c r="E162" s="13" t="s">
        <v>1150</v>
      </c>
      <c r="F162" s="15">
        <v>367</v>
      </c>
      <c r="G162" s="15">
        <v>367</v>
      </c>
    </row>
    <row r="163" spans="1:7">
      <c r="A163" s="14">
        <v>226</v>
      </c>
      <c r="B163" s="13" t="s">
        <v>11901</v>
      </c>
      <c r="C163" s="13" t="s">
        <v>11902</v>
      </c>
      <c r="D163" s="13" t="s">
        <v>11640</v>
      </c>
      <c r="E163" s="13" t="s">
        <v>1150</v>
      </c>
      <c r="F163" s="15">
        <v>367</v>
      </c>
      <c r="G163" s="15">
        <v>367</v>
      </c>
    </row>
    <row r="164" spans="1:7">
      <c r="A164" s="14">
        <v>227</v>
      </c>
      <c r="B164" s="13" t="s">
        <v>11903</v>
      </c>
      <c r="C164" s="13" t="s">
        <v>11904</v>
      </c>
      <c r="D164" s="13" t="s">
        <v>11640</v>
      </c>
      <c r="E164" s="13" t="s">
        <v>1150</v>
      </c>
      <c r="F164" s="15">
        <v>367</v>
      </c>
      <c r="G164" s="15">
        <v>367</v>
      </c>
    </row>
    <row r="165" spans="1:7">
      <c r="A165" s="14">
        <v>228</v>
      </c>
      <c r="B165" s="13" t="s">
        <v>11905</v>
      </c>
      <c r="C165" s="13" t="s">
        <v>11906</v>
      </c>
      <c r="D165" s="13" t="s">
        <v>11640</v>
      </c>
      <c r="E165" s="13" t="s">
        <v>1150</v>
      </c>
      <c r="F165" s="15">
        <v>367</v>
      </c>
      <c r="G165" s="15">
        <v>367</v>
      </c>
    </row>
    <row r="166" spans="1:7">
      <c r="A166" s="14">
        <v>231</v>
      </c>
      <c r="B166" s="13" t="s">
        <v>11907</v>
      </c>
      <c r="C166" s="13" t="s">
        <v>11908</v>
      </c>
      <c r="D166" s="13" t="s">
        <v>11640</v>
      </c>
      <c r="E166" s="13" t="s">
        <v>1150</v>
      </c>
      <c r="F166" s="15">
        <v>367</v>
      </c>
      <c r="G166" s="15">
        <v>367</v>
      </c>
    </row>
    <row r="167" spans="1:7">
      <c r="A167" s="14">
        <v>232</v>
      </c>
      <c r="B167" s="13" t="s">
        <v>11909</v>
      </c>
      <c r="C167" s="13" t="s">
        <v>11910</v>
      </c>
      <c r="D167" s="13" t="s">
        <v>11640</v>
      </c>
      <c r="E167" s="13" t="s">
        <v>1150</v>
      </c>
      <c r="F167" s="15">
        <v>367</v>
      </c>
      <c r="G167" s="15">
        <v>367</v>
      </c>
    </row>
    <row r="168" spans="1:7">
      <c r="A168" s="14">
        <v>233</v>
      </c>
      <c r="B168" s="13" t="s">
        <v>11911</v>
      </c>
      <c r="C168" s="13" t="s">
        <v>11912</v>
      </c>
      <c r="D168" s="13" t="s">
        <v>11640</v>
      </c>
      <c r="E168" s="13" t="s">
        <v>1150</v>
      </c>
      <c r="F168" s="15">
        <v>367</v>
      </c>
      <c r="G168" s="15">
        <v>367</v>
      </c>
    </row>
    <row r="169" spans="1:7">
      <c r="A169" s="14">
        <v>234</v>
      </c>
      <c r="B169" s="13" t="s">
        <v>11913</v>
      </c>
      <c r="C169" s="13" t="s">
        <v>11914</v>
      </c>
      <c r="D169" s="13" t="s">
        <v>11640</v>
      </c>
      <c r="E169" s="13" t="s">
        <v>1150</v>
      </c>
      <c r="F169" s="15">
        <v>367</v>
      </c>
      <c r="G169" s="15">
        <v>367</v>
      </c>
    </row>
    <row r="170" spans="1:7">
      <c r="A170" s="14">
        <v>235</v>
      </c>
      <c r="B170" s="13" t="s">
        <v>11915</v>
      </c>
      <c r="C170" s="13" t="s">
        <v>11916</v>
      </c>
      <c r="D170" s="13" t="s">
        <v>11640</v>
      </c>
      <c r="E170" s="13" t="s">
        <v>1150</v>
      </c>
      <c r="F170" s="15">
        <v>367</v>
      </c>
      <c r="G170" s="15">
        <v>367</v>
      </c>
    </row>
    <row r="171" spans="1:7">
      <c r="A171" s="14">
        <v>236</v>
      </c>
      <c r="B171" s="13" t="s">
        <v>11917</v>
      </c>
      <c r="C171" s="13" t="s">
        <v>11918</v>
      </c>
      <c r="D171" s="13" t="s">
        <v>11640</v>
      </c>
      <c r="E171" s="13" t="s">
        <v>1150</v>
      </c>
      <c r="F171" s="15">
        <v>367</v>
      </c>
      <c r="G171" s="15">
        <v>367</v>
      </c>
    </row>
    <row r="172" spans="1:7">
      <c r="A172" s="14">
        <v>237</v>
      </c>
      <c r="B172" s="13" t="s">
        <v>11919</v>
      </c>
      <c r="C172" s="13" t="s">
        <v>11920</v>
      </c>
      <c r="D172" s="13" t="s">
        <v>11640</v>
      </c>
      <c r="E172" s="13" t="s">
        <v>1150</v>
      </c>
      <c r="F172" s="15">
        <v>367</v>
      </c>
      <c r="G172" s="15">
        <v>367</v>
      </c>
    </row>
    <row r="173" spans="1:7">
      <c r="A173" s="14">
        <v>238</v>
      </c>
      <c r="B173" s="13" t="s">
        <v>11921</v>
      </c>
      <c r="C173" s="13" t="s">
        <v>11922</v>
      </c>
      <c r="D173" s="13" t="s">
        <v>11640</v>
      </c>
      <c r="E173" s="13" t="s">
        <v>1150</v>
      </c>
      <c r="F173" s="15">
        <v>367</v>
      </c>
      <c r="G173" s="15">
        <v>367</v>
      </c>
    </row>
    <row r="174" spans="1:7">
      <c r="A174" s="14">
        <v>239</v>
      </c>
      <c r="B174" s="13" t="s">
        <v>11923</v>
      </c>
      <c r="C174" s="13" t="s">
        <v>11924</v>
      </c>
      <c r="D174" s="13" t="s">
        <v>11640</v>
      </c>
      <c r="E174" s="13" t="s">
        <v>1150</v>
      </c>
      <c r="F174" s="15">
        <v>367</v>
      </c>
      <c r="G174" s="15">
        <v>367</v>
      </c>
    </row>
    <row r="175" spans="1:7">
      <c r="A175" s="14">
        <v>240</v>
      </c>
      <c r="B175" s="13" t="s">
        <v>11925</v>
      </c>
      <c r="C175" s="13" t="s">
        <v>11926</v>
      </c>
      <c r="D175" s="13" t="s">
        <v>11640</v>
      </c>
      <c r="E175" s="13" t="s">
        <v>1150</v>
      </c>
      <c r="F175" s="15">
        <v>367</v>
      </c>
      <c r="G175" s="15">
        <v>367</v>
      </c>
    </row>
    <row r="176" spans="1:7">
      <c r="A176" s="14">
        <v>241</v>
      </c>
      <c r="B176" s="13" t="s">
        <v>11927</v>
      </c>
      <c r="C176" s="13" t="s">
        <v>11928</v>
      </c>
      <c r="D176" s="13" t="s">
        <v>11640</v>
      </c>
      <c r="E176" s="13" t="s">
        <v>1150</v>
      </c>
      <c r="F176" s="15">
        <v>367</v>
      </c>
      <c r="G176" s="15">
        <v>367</v>
      </c>
    </row>
    <row r="177" spans="1:7">
      <c r="A177" s="14">
        <v>243</v>
      </c>
      <c r="B177" s="13" t="s">
        <v>11929</v>
      </c>
      <c r="C177" s="13" t="s">
        <v>11930</v>
      </c>
      <c r="D177" s="13" t="s">
        <v>11640</v>
      </c>
      <c r="E177" s="13" t="s">
        <v>1150</v>
      </c>
      <c r="F177" s="15">
        <v>367</v>
      </c>
      <c r="G177" s="15">
        <v>367</v>
      </c>
    </row>
    <row r="178" spans="1:7">
      <c r="A178" s="14">
        <v>244</v>
      </c>
      <c r="B178" s="13" t="s">
        <v>11931</v>
      </c>
      <c r="C178" s="13" t="s">
        <v>11932</v>
      </c>
      <c r="D178" s="13" t="s">
        <v>11640</v>
      </c>
      <c r="E178" s="13" t="s">
        <v>1150</v>
      </c>
      <c r="F178" s="15">
        <v>367</v>
      </c>
      <c r="G178" s="15">
        <v>367</v>
      </c>
    </row>
    <row r="179" spans="1:7">
      <c r="A179" s="14">
        <v>245</v>
      </c>
      <c r="B179" s="13" t="s">
        <v>11933</v>
      </c>
      <c r="C179" s="13" t="s">
        <v>11934</v>
      </c>
      <c r="D179" s="13" t="s">
        <v>11640</v>
      </c>
      <c r="E179" s="13" t="s">
        <v>1150</v>
      </c>
      <c r="F179" s="15">
        <v>367</v>
      </c>
      <c r="G179" s="15">
        <v>367</v>
      </c>
    </row>
    <row r="180" spans="1:7">
      <c r="A180" s="14">
        <v>248</v>
      </c>
      <c r="B180" s="13" t="s">
        <v>11935</v>
      </c>
      <c r="C180" s="13" t="s">
        <v>11936</v>
      </c>
      <c r="D180" s="13" t="s">
        <v>11640</v>
      </c>
      <c r="E180" s="13" t="s">
        <v>1150</v>
      </c>
      <c r="F180" s="15">
        <v>367</v>
      </c>
      <c r="G180" s="15">
        <v>367</v>
      </c>
    </row>
    <row r="181" spans="1:7">
      <c r="A181" s="14">
        <v>250</v>
      </c>
      <c r="B181" s="13" t="s">
        <v>11937</v>
      </c>
      <c r="C181" s="13" t="s">
        <v>11938</v>
      </c>
      <c r="D181" s="13" t="s">
        <v>11640</v>
      </c>
      <c r="E181" s="13" t="s">
        <v>1150</v>
      </c>
      <c r="F181" s="15">
        <v>367</v>
      </c>
      <c r="G181" s="15">
        <v>367</v>
      </c>
    </row>
    <row r="182" spans="1:7">
      <c r="A182" s="14">
        <v>252</v>
      </c>
      <c r="B182" s="13" t="s">
        <v>11939</v>
      </c>
      <c r="C182" s="13" t="s">
        <v>11940</v>
      </c>
      <c r="D182" s="13" t="s">
        <v>11640</v>
      </c>
      <c r="E182" s="13" t="s">
        <v>1150</v>
      </c>
      <c r="F182" s="15">
        <v>367</v>
      </c>
      <c r="G182" s="15">
        <v>367</v>
      </c>
    </row>
    <row r="183" spans="1:7">
      <c r="A183" s="14">
        <v>253</v>
      </c>
      <c r="B183" s="13" t="s">
        <v>11941</v>
      </c>
      <c r="C183" s="13" t="s">
        <v>11942</v>
      </c>
      <c r="D183" s="13" t="s">
        <v>11640</v>
      </c>
      <c r="E183" s="13" t="s">
        <v>1150</v>
      </c>
      <c r="F183" s="15">
        <v>367</v>
      </c>
      <c r="G183" s="15">
        <v>367</v>
      </c>
    </row>
    <row r="184" spans="1:7">
      <c r="A184" s="14">
        <v>254</v>
      </c>
      <c r="B184" s="13" t="s">
        <v>11943</v>
      </c>
      <c r="C184" s="13" t="s">
        <v>11944</v>
      </c>
      <c r="D184" s="13" t="s">
        <v>11640</v>
      </c>
      <c r="E184" s="13" t="s">
        <v>1150</v>
      </c>
      <c r="F184" s="15">
        <v>367</v>
      </c>
      <c r="G184" s="15">
        <v>367</v>
      </c>
    </row>
    <row r="185" spans="1:7">
      <c r="A185" s="14">
        <v>255</v>
      </c>
      <c r="B185" s="13" t="s">
        <v>11945</v>
      </c>
      <c r="C185" s="13" t="s">
        <v>11946</v>
      </c>
      <c r="D185" s="13" t="s">
        <v>11640</v>
      </c>
      <c r="E185" s="13" t="s">
        <v>1150</v>
      </c>
      <c r="F185" s="15">
        <v>367</v>
      </c>
      <c r="G185" s="15">
        <v>367</v>
      </c>
    </row>
    <row r="186" spans="1:7">
      <c r="A186" s="14">
        <v>256</v>
      </c>
      <c r="B186" s="13" t="s">
        <v>11947</v>
      </c>
      <c r="C186" s="13" t="s">
        <v>11948</v>
      </c>
      <c r="D186" s="13" t="s">
        <v>11640</v>
      </c>
      <c r="E186" s="13" t="s">
        <v>1150</v>
      </c>
      <c r="F186" s="15">
        <v>367</v>
      </c>
      <c r="G186" s="15">
        <v>367</v>
      </c>
    </row>
    <row r="187" spans="1:7">
      <c r="A187" s="14">
        <v>258</v>
      </c>
      <c r="B187" s="13" t="s">
        <v>11949</v>
      </c>
      <c r="C187" s="13" t="s">
        <v>11950</v>
      </c>
      <c r="D187" s="13" t="s">
        <v>11640</v>
      </c>
      <c r="E187" s="13" t="s">
        <v>1150</v>
      </c>
      <c r="F187" s="15">
        <v>367</v>
      </c>
      <c r="G187" s="15">
        <v>367</v>
      </c>
    </row>
    <row r="188" spans="1:7">
      <c r="A188" s="14">
        <v>259</v>
      </c>
      <c r="B188" s="13" t="s">
        <v>11951</v>
      </c>
      <c r="C188" s="13" t="s">
        <v>11952</v>
      </c>
      <c r="D188" s="13" t="s">
        <v>11640</v>
      </c>
      <c r="E188" s="13" t="s">
        <v>1150</v>
      </c>
      <c r="F188" s="15">
        <v>367</v>
      </c>
      <c r="G188" s="15">
        <v>367</v>
      </c>
    </row>
    <row r="189" spans="1:7">
      <c r="A189" s="14">
        <v>260</v>
      </c>
      <c r="B189" s="13" t="s">
        <v>11953</v>
      </c>
      <c r="C189" s="13" t="s">
        <v>11954</v>
      </c>
      <c r="D189" s="13" t="s">
        <v>11640</v>
      </c>
      <c r="E189" s="13" t="s">
        <v>1150</v>
      </c>
      <c r="F189" s="15">
        <v>367</v>
      </c>
      <c r="G189" s="15">
        <v>367</v>
      </c>
    </row>
    <row r="190" spans="1:7">
      <c r="A190" s="14">
        <v>261</v>
      </c>
      <c r="B190" s="13" t="s">
        <v>11955</v>
      </c>
      <c r="C190" s="13" t="s">
        <v>11956</v>
      </c>
      <c r="D190" s="13" t="s">
        <v>11640</v>
      </c>
      <c r="E190" s="13" t="s">
        <v>1150</v>
      </c>
      <c r="F190" s="15">
        <v>367</v>
      </c>
      <c r="G190" s="15">
        <v>367</v>
      </c>
    </row>
    <row r="191" spans="1:7">
      <c r="A191" s="14">
        <v>262</v>
      </c>
      <c r="B191" s="13" t="s">
        <v>11957</v>
      </c>
      <c r="C191" s="13" t="s">
        <v>11958</v>
      </c>
      <c r="D191" s="13" t="s">
        <v>11640</v>
      </c>
      <c r="E191" s="13" t="s">
        <v>1150</v>
      </c>
      <c r="F191" s="15">
        <v>367</v>
      </c>
      <c r="G191" s="15">
        <v>367</v>
      </c>
    </row>
    <row r="192" spans="1:7">
      <c r="A192" s="14">
        <v>264</v>
      </c>
      <c r="B192" s="13" t="s">
        <v>11959</v>
      </c>
      <c r="C192" s="13" t="s">
        <v>11960</v>
      </c>
      <c r="D192" s="13" t="s">
        <v>11640</v>
      </c>
      <c r="E192" s="13" t="s">
        <v>1150</v>
      </c>
      <c r="F192" s="15">
        <v>367</v>
      </c>
      <c r="G192" s="15">
        <v>367</v>
      </c>
    </row>
    <row r="193" spans="1:7">
      <c r="A193" s="14">
        <v>266</v>
      </c>
      <c r="B193" s="13" t="s">
        <v>11961</v>
      </c>
      <c r="C193" s="13" t="s">
        <v>11962</v>
      </c>
      <c r="D193" s="13" t="s">
        <v>11640</v>
      </c>
      <c r="E193" s="13" t="s">
        <v>1150</v>
      </c>
      <c r="F193" s="15">
        <v>367</v>
      </c>
      <c r="G193" s="15">
        <v>367</v>
      </c>
    </row>
    <row r="194" spans="1:7">
      <c r="A194" s="14">
        <v>268</v>
      </c>
      <c r="B194" s="13" t="s">
        <v>11963</v>
      </c>
      <c r="C194" s="13" t="s">
        <v>11964</v>
      </c>
      <c r="D194" s="13" t="s">
        <v>11640</v>
      </c>
      <c r="E194" s="13" t="s">
        <v>1150</v>
      </c>
      <c r="F194" s="15">
        <v>367</v>
      </c>
      <c r="G194" s="15">
        <v>367</v>
      </c>
    </row>
    <row r="195" spans="1:7">
      <c r="A195" s="14">
        <v>270</v>
      </c>
      <c r="B195" s="13" t="s">
        <v>11965</v>
      </c>
      <c r="C195" s="13" t="s">
        <v>11966</v>
      </c>
      <c r="D195" s="13" t="s">
        <v>11640</v>
      </c>
      <c r="E195" s="13" t="s">
        <v>1150</v>
      </c>
      <c r="F195" s="15">
        <v>367</v>
      </c>
      <c r="G195" s="15">
        <v>367</v>
      </c>
    </row>
    <row r="196" spans="1:7">
      <c r="A196" s="14">
        <v>272</v>
      </c>
      <c r="B196" s="13" t="s">
        <v>11967</v>
      </c>
      <c r="C196" s="13" t="s">
        <v>11968</v>
      </c>
      <c r="D196" s="13" t="s">
        <v>11640</v>
      </c>
      <c r="E196" s="13" t="s">
        <v>1150</v>
      </c>
      <c r="F196" s="15">
        <v>367</v>
      </c>
      <c r="G196" s="15">
        <v>367</v>
      </c>
    </row>
    <row r="197" spans="1:7">
      <c r="A197" s="14">
        <v>275</v>
      </c>
      <c r="B197" s="13" t="s">
        <v>11969</v>
      </c>
      <c r="C197" s="13" t="s">
        <v>11970</v>
      </c>
      <c r="D197" s="13" t="s">
        <v>11640</v>
      </c>
      <c r="E197" s="13" t="s">
        <v>1150</v>
      </c>
      <c r="F197" s="15">
        <v>367</v>
      </c>
      <c r="G197" s="15">
        <v>367</v>
      </c>
    </row>
    <row r="198" spans="1:7">
      <c r="A198" s="14">
        <v>278</v>
      </c>
      <c r="B198" s="13" t="s">
        <v>11971</v>
      </c>
      <c r="C198" s="13" t="s">
        <v>11972</v>
      </c>
      <c r="D198" s="13" t="s">
        <v>11640</v>
      </c>
      <c r="E198" s="13" t="s">
        <v>1150</v>
      </c>
      <c r="F198" s="15">
        <v>367</v>
      </c>
      <c r="G198" s="15">
        <v>367</v>
      </c>
    </row>
    <row r="199" spans="1:7">
      <c r="A199" s="14">
        <v>279</v>
      </c>
      <c r="B199" s="13" t="s">
        <v>11973</v>
      </c>
      <c r="C199" s="13" t="s">
        <v>11974</v>
      </c>
      <c r="D199" s="13" t="s">
        <v>11640</v>
      </c>
      <c r="E199" s="13" t="s">
        <v>1150</v>
      </c>
      <c r="F199" s="15">
        <v>367</v>
      </c>
      <c r="G199" s="15">
        <v>367</v>
      </c>
    </row>
    <row r="200" spans="1:7">
      <c r="A200" s="14">
        <v>280</v>
      </c>
      <c r="B200" s="13" t="s">
        <v>11975</v>
      </c>
      <c r="C200" s="13" t="s">
        <v>11976</v>
      </c>
      <c r="D200" s="13" t="s">
        <v>11640</v>
      </c>
      <c r="E200" s="13" t="s">
        <v>1150</v>
      </c>
      <c r="F200" s="15">
        <v>367</v>
      </c>
      <c r="G200" s="15">
        <v>367</v>
      </c>
    </row>
    <row r="201" spans="1:7">
      <c r="A201" s="14">
        <v>282</v>
      </c>
      <c r="B201" s="13" t="s">
        <v>11977</v>
      </c>
      <c r="C201" s="13" t="s">
        <v>11978</v>
      </c>
      <c r="D201" s="13" t="s">
        <v>11640</v>
      </c>
      <c r="E201" s="13" t="s">
        <v>1150</v>
      </c>
      <c r="F201" s="15">
        <v>367</v>
      </c>
      <c r="G201" s="15">
        <v>367</v>
      </c>
    </row>
    <row r="202" spans="1:7">
      <c r="A202" s="14">
        <v>284</v>
      </c>
      <c r="B202" s="13" t="s">
        <v>11979</v>
      </c>
      <c r="C202" s="13" t="s">
        <v>11980</v>
      </c>
      <c r="D202" s="13" t="s">
        <v>11640</v>
      </c>
      <c r="E202" s="13" t="s">
        <v>1150</v>
      </c>
      <c r="F202" s="15">
        <v>367</v>
      </c>
      <c r="G202" s="15">
        <v>367</v>
      </c>
    </row>
    <row r="203" spans="1:7">
      <c r="A203" s="14">
        <v>286</v>
      </c>
      <c r="B203" s="13" t="s">
        <v>11981</v>
      </c>
      <c r="C203" s="13" t="s">
        <v>11982</v>
      </c>
      <c r="D203" s="13" t="s">
        <v>11640</v>
      </c>
      <c r="E203" s="13" t="s">
        <v>1150</v>
      </c>
      <c r="F203" s="15">
        <v>367</v>
      </c>
      <c r="G203" s="15">
        <v>367</v>
      </c>
    </row>
    <row r="204" spans="1:7">
      <c r="A204" s="14">
        <v>289</v>
      </c>
      <c r="B204" s="13" t="s">
        <v>11983</v>
      </c>
      <c r="C204" s="13" t="s">
        <v>11984</v>
      </c>
      <c r="D204" s="13" t="s">
        <v>11640</v>
      </c>
      <c r="E204" s="13" t="s">
        <v>1150</v>
      </c>
      <c r="F204" s="15">
        <v>367</v>
      </c>
      <c r="G204" s="15">
        <v>367</v>
      </c>
    </row>
    <row r="205" spans="1:7">
      <c r="A205" s="14">
        <v>290</v>
      </c>
      <c r="B205" s="13" t="s">
        <v>11985</v>
      </c>
      <c r="C205" s="13" t="s">
        <v>11986</v>
      </c>
      <c r="D205" s="13" t="s">
        <v>11640</v>
      </c>
      <c r="E205" s="13" t="s">
        <v>1150</v>
      </c>
      <c r="F205" s="15">
        <v>367</v>
      </c>
      <c r="G205" s="15">
        <v>367</v>
      </c>
    </row>
    <row r="206" spans="1:7">
      <c r="A206" s="14">
        <v>293</v>
      </c>
      <c r="B206" s="13" t="s">
        <v>11987</v>
      </c>
      <c r="C206" s="13" t="s">
        <v>11988</v>
      </c>
      <c r="D206" s="13" t="s">
        <v>11640</v>
      </c>
      <c r="E206" s="13" t="s">
        <v>1150</v>
      </c>
      <c r="F206" s="15">
        <v>367</v>
      </c>
      <c r="G206" s="15">
        <v>367</v>
      </c>
    </row>
    <row r="207" spans="1:7">
      <c r="A207" s="14">
        <v>295</v>
      </c>
      <c r="B207" s="13" t="s">
        <v>11989</v>
      </c>
      <c r="C207" s="13" t="s">
        <v>11990</v>
      </c>
      <c r="D207" s="13" t="s">
        <v>11640</v>
      </c>
      <c r="E207" s="13" t="s">
        <v>1150</v>
      </c>
      <c r="F207" s="15">
        <v>367</v>
      </c>
      <c r="G207" s="15">
        <v>367</v>
      </c>
    </row>
    <row r="208" spans="1:7">
      <c r="A208" s="14">
        <v>296</v>
      </c>
      <c r="B208" s="13" t="s">
        <v>11991</v>
      </c>
      <c r="C208" s="13" t="s">
        <v>11992</v>
      </c>
      <c r="D208" s="13" t="s">
        <v>11640</v>
      </c>
      <c r="E208" s="13" t="s">
        <v>1150</v>
      </c>
      <c r="F208" s="15">
        <v>367</v>
      </c>
      <c r="G208" s="15">
        <v>367</v>
      </c>
    </row>
    <row r="209" spans="1:7">
      <c r="A209" s="14">
        <v>301</v>
      </c>
      <c r="B209" s="13" t="s">
        <v>11993</v>
      </c>
      <c r="C209" s="13" t="s">
        <v>11994</v>
      </c>
      <c r="D209" s="13" t="s">
        <v>11640</v>
      </c>
      <c r="E209" s="13" t="s">
        <v>1150</v>
      </c>
      <c r="F209" s="15">
        <v>367</v>
      </c>
      <c r="G209" s="15">
        <v>367</v>
      </c>
    </row>
    <row r="210" spans="1:7">
      <c r="A210" s="14">
        <v>302</v>
      </c>
      <c r="B210" s="13" t="s">
        <v>11995</v>
      </c>
      <c r="C210" s="13" t="s">
        <v>11996</v>
      </c>
      <c r="D210" s="13" t="s">
        <v>11640</v>
      </c>
      <c r="E210" s="13" t="s">
        <v>1150</v>
      </c>
      <c r="F210" s="15">
        <v>367</v>
      </c>
      <c r="G210" s="15">
        <v>367</v>
      </c>
    </row>
    <row r="211" spans="1:7">
      <c r="A211" s="14">
        <v>306</v>
      </c>
      <c r="B211" s="13" t="s">
        <v>11997</v>
      </c>
      <c r="C211" s="13" t="s">
        <v>11998</v>
      </c>
      <c r="D211" s="13" t="s">
        <v>11640</v>
      </c>
      <c r="E211" s="13" t="s">
        <v>1150</v>
      </c>
      <c r="F211" s="15">
        <v>367</v>
      </c>
      <c r="G211" s="15">
        <v>367</v>
      </c>
    </row>
    <row r="212" spans="1:7">
      <c r="A212" s="14">
        <v>309</v>
      </c>
      <c r="B212" s="13" t="s">
        <v>11999</v>
      </c>
      <c r="C212" s="13" t="s">
        <v>12000</v>
      </c>
      <c r="D212" s="13" t="s">
        <v>11640</v>
      </c>
      <c r="E212" s="13" t="s">
        <v>1150</v>
      </c>
      <c r="F212" s="15">
        <v>367</v>
      </c>
      <c r="G212" s="15">
        <v>367</v>
      </c>
    </row>
    <row r="213" spans="1:7">
      <c r="A213" s="14">
        <v>310</v>
      </c>
      <c r="B213" s="13" t="s">
        <v>12001</v>
      </c>
      <c r="C213" s="13" t="s">
        <v>12002</v>
      </c>
      <c r="D213" s="13" t="s">
        <v>11640</v>
      </c>
      <c r="E213" s="13" t="s">
        <v>1150</v>
      </c>
      <c r="F213" s="15">
        <v>367</v>
      </c>
      <c r="G213" s="15">
        <v>367</v>
      </c>
    </row>
    <row r="214" spans="1:7">
      <c r="A214" s="14">
        <v>312</v>
      </c>
      <c r="B214" s="13" t="s">
        <v>12003</v>
      </c>
      <c r="C214" s="13" t="s">
        <v>12004</v>
      </c>
      <c r="D214" s="13" t="s">
        <v>11640</v>
      </c>
      <c r="E214" s="13" t="s">
        <v>1150</v>
      </c>
      <c r="F214" s="15">
        <v>367</v>
      </c>
      <c r="G214" s="15">
        <v>367</v>
      </c>
    </row>
    <row r="215" spans="1:7">
      <c r="A215" s="14">
        <v>314</v>
      </c>
      <c r="B215" s="13" t="s">
        <v>12005</v>
      </c>
      <c r="C215" s="13" t="s">
        <v>12006</v>
      </c>
      <c r="D215" s="13" t="s">
        <v>11640</v>
      </c>
      <c r="E215" s="13" t="s">
        <v>1150</v>
      </c>
      <c r="F215" s="15">
        <v>367</v>
      </c>
      <c r="G215" s="15">
        <v>367</v>
      </c>
    </row>
    <row r="216" spans="1:7">
      <c r="A216" s="14">
        <v>316</v>
      </c>
      <c r="B216" s="13" t="s">
        <v>12007</v>
      </c>
      <c r="C216" s="13" t="s">
        <v>12008</v>
      </c>
      <c r="D216" s="13" t="s">
        <v>11640</v>
      </c>
      <c r="E216" s="13" t="s">
        <v>1150</v>
      </c>
      <c r="F216" s="15">
        <v>367</v>
      </c>
      <c r="G216" s="15">
        <v>367</v>
      </c>
    </row>
    <row r="217" spans="1:7">
      <c r="A217" s="14">
        <v>319</v>
      </c>
      <c r="B217" s="13" t="s">
        <v>12009</v>
      </c>
      <c r="C217" s="13" t="s">
        <v>12010</v>
      </c>
      <c r="D217" s="13" t="s">
        <v>11640</v>
      </c>
      <c r="E217" s="13" t="s">
        <v>1150</v>
      </c>
      <c r="F217" s="15">
        <v>367</v>
      </c>
      <c r="G217" s="15">
        <v>367</v>
      </c>
    </row>
    <row r="218" spans="1:7">
      <c r="A218" s="14">
        <v>320</v>
      </c>
      <c r="B218" s="13" t="s">
        <v>12011</v>
      </c>
      <c r="C218" s="13" t="s">
        <v>12012</v>
      </c>
      <c r="D218" s="13" t="s">
        <v>11640</v>
      </c>
      <c r="E218" s="13" t="s">
        <v>1150</v>
      </c>
      <c r="F218" s="15">
        <v>367</v>
      </c>
      <c r="G218" s="15">
        <v>367</v>
      </c>
    </row>
    <row r="219" spans="1:7">
      <c r="A219" s="14">
        <v>321</v>
      </c>
      <c r="B219" s="13" t="s">
        <v>12013</v>
      </c>
      <c r="C219" s="13" t="s">
        <v>12014</v>
      </c>
      <c r="D219" s="13" t="s">
        <v>11640</v>
      </c>
      <c r="E219" s="13" t="s">
        <v>1150</v>
      </c>
      <c r="F219" s="15">
        <v>367</v>
      </c>
      <c r="G219" s="15">
        <v>367</v>
      </c>
    </row>
    <row r="220" spans="1:7">
      <c r="A220" s="14">
        <v>323</v>
      </c>
      <c r="B220" s="13" t="s">
        <v>12015</v>
      </c>
      <c r="C220" s="13" t="s">
        <v>12016</v>
      </c>
      <c r="D220" s="13" t="s">
        <v>11640</v>
      </c>
      <c r="E220" s="13" t="s">
        <v>1150</v>
      </c>
      <c r="F220" s="15">
        <v>367</v>
      </c>
      <c r="G220" s="15">
        <v>367</v>
      </c>
    </row>
    <row r="221" spans="1:7">
      <c r="A221" s="14">
        <v>324</v>
      </c>
      <c r="B221" s="13" t="s">
        <v>12017</v>
      </c>
      <c r="C221" s="13" t="s">
        <v>12018</v>
      </c>
      <c r="D221" s="13" t="s">
        <v>11640</v>
      </c>
      <c r="E221" s="13" t="s">
        <v>1150</v>
      </c>
      <c r="F221" s="15">
        <v>367</v>
      </c>
      <c r="G221" s="15">
        <v>367</v>
      </c>
    </row>
    <row r="222" spans="1:7">
      <c r="A222" s="14">
        <v>325</v>
      </c>
      <c r="B222" s="13" t="s">
        <v>12019</v>
      </c>
      <c r="C222" s="13" t="s">
        <v>12020</v>
      </c>
      <c r="D222" s="13" t="s">
        <v>11640</v>
      </c>
      <c r="E222" s="13" t="s">
        <v>1150</v>
      </c>
      <c r="F222" s="15">
        <v>367</v>
      </c>
      <c r="G222" s="15">
        <v>367</v>
      </c>
    </row>
    <row r="223" spans="1:7">
      <c r="A223" s="14">
        <v>326</v>
      </c>
      <c r="B223" s="13" t="s">
        <v>12021</v>
      </c>
      <c r="C223" s="13" t="s">
        <v>12022</v>
      </c>
      <c r="D223" s="13" t="s">
        <v>11640</v>
      </c>
      <c r="E223" s="13" t="s">
        <v>1150</v>
      </c>
      <c r="F223" s="15">
        <v>367</v>
      </c>
      <c r="G223" s="15">
        <v>367</v>
      </c>
    </row>
    <row r="224" spans="1:7">
      <c r="A224" s="14">
        <v>327</v>
      </c>
      <c r="B224" s="13" t="s">
        <v>12023</v>
      </c>
      <c r="C224" s="13" t="s">
        <v>12024</v>
      </c>
      <c r="D224" s="13" t="s">
        <v>11640</v>
      </c>
      <c r="E224" s="13" t="s">
        <v>1150</v>
      </c>
      <c r="F224" s="15">
        <v>367</v>
      </c>
      <c r="G224" s="15">
        <v>367</v>
      </c>
    </row>
    <row r="225" spans="1:7">
      <c r="A225" s="14">
        <v>328</v>
      </c>
      <c r="B225" s="13" t="s">
        <v>12025</v>
      </c>
      <c r="C225" s="13" t="s">
        <v>12026</v>
      </c>
      <c r="D225" s="13" t="s">
        <v>11640</v>
      </c>
      <c r="E225" s="13" t="s">
        <v>1150</v>
      </c>
      <c r="F225" s="15">
        <v>367</v>
      </c>
      <c r="G225" s="15">
        <v>367</v>
      </c>
    </row>
    <row r="226" spans="1:7">
      <c r="A226" s="14">
        <v>329</v>
      </c>
      <c r="B226" s="13" t="s">
        <v>12027</v>
      </c>
      <c r="C226" s="13" t="s">
        <v>12028</v>
      </c>
      <c r="D226" s="13" t="s">
        <v>11640</v>
      </c>
      <c r="E226" s="13" t="s">
        <v>1150</v>
      </c>
      <c r="F226" s="15">
        <v>367</v>
      </c>
      <c r="G226" s="15">
        <v>367</v>
      </c>
    </row>
    <row r="227" spans="1:7">
      <c r="A227" s="14">
        <v>330</v>
      </c>
      <c r="B227" s="13" t="s">
        <v>12029</v>
      </c>
      <c r="C227" s="13" t="s">
        <v>12030</v>
      </c>
      <c r="D227" s="13" t="s">
        <v>11640</v>
      </c>
      <c r="E227" s="13" t="s">
        <v>1150</v>
      </c>
      <c r="F227" s="15">
        <v>367</v>
      </c>
      <c r="G227" s="15">
        <v>367</v>
      </c>
    </row>
    <row r="228" spans="1:7">
      <c r="A228" s="14">
        <v>331</v>
      </c>
      <c r="B228" s="13" t="s">
        <v>12031</v>
      </c>
      <c r="C228" s="13" t="s">
        <v>12032</v>
      </c>
      <c r="D228" s="13" t="s">
        <v>11640</v>
      </c>
      <c r="E228" s="13" t="s">
        <v>1150</v>
      </c>
      <c r="F228" s="15">
        <v>367</v>
      </c>
      <c r="G228" s="15">
        <v>367</v>
      </c>
    </row>
    <row r="229" spans="1:7">
      <c r="A229" s="14">
        <v>332</v>
      </c>
      <c r="B229" s="13" t="s">
        <v>12033</v>
      </c>
      <c r="C229" s="13" t="s">
        <v>12034</v>
      </c>
      <c r="D229" s="13" t="s">
        <v>11640</v>
      </c>
      <c r="E229" s="13" t="s">
        <v>1150</v>
      </c>
      <c r="F229" s="15">
        <v>367</v>
      </c>
      <c r="G229" s="15">
        <v>367</v>
      </c>
    </row>
    <row r="230" spans="1:7">
      <c r="A230" s="14">
        <v>333</v>
      </c>
      <c r="B230" s="13" t="s">
        <v>12035</v>
      </c>
      <c r="C230" s="13" t="s">
        <v>12036</v>
      </c>
      <c r="D230" s="13" t="s">
        <v>11640</v>
      </c>
      <c r="E230" s="13" t="s">
        <v>1150</v>
      </c>
      <c r="F230" s="15">
        <v>367</v>
      </c>
      <c r="G230" s="15">
        <v>367</v>
      </c>
    </row>
    <row r="231" spans="1:7">
      <c r="A231" s="14">
        <v>334</v>
      </c>
      <c r="B231" s="13" t="s">
        <v>12037</v>
      </c>
      <c r="C231" s="13" t="s">
        <v>12038</v>
      </c>
      <c r="D231" s="13" t="s">
        <v>11640</v>
      </c>
      <c r="E231" s="13" t="s">
        <v>1150</v>
      </c>
      <c r="F231" s="15">
        <v>367</v>
      </c>
      <c r="G231" s="15">
        <v>367</v>
      </c>
    </row>
    <row r="232" spans="1:7">
      <c r="A232" s="14">
        <v>335</v>
      </c>
      <c r="B232" s="13" t="s">
        <v>12039</v>
      </c>
      <c r="C232" s="13" t="s">
        <v>12040</v>
      </c>
      <c r="D232" s="13" t="s">
        <v>11640</v>
      </c>
      <c r="E232" s="13" t="s">
        <v>1150</v>
      </c>
      <c r="F232" s="15">
        <v>367</v>
      </c>
      <c r="G232" s="15">
        <v>367</v>
      </c>
    </row>
    <row r="233" spans="1:7">
      <c r="A233" s="14">
        <v>336</v>
      </c>
      <c r="B233" s="13" t="s">
        <v>12041</v>
      </c>
      <c r="C233" s="13" t="s">
        <v>12042</v>
      </c>
      <c r="D233" s="13" t="s">
        <v>11640</v>
      </c>
      <c r="E233" s="13" t="s">
        <v>1150</v>
      </c>
      <c r="F233" s="15">
        <v>367</v>
      </c>
      <c r="G233" s="15">
        <v>367</v>
      </c>
    </row>
    <row r="234" spans="1:7">
      <c r="A234" s="14">
        <v>339</v>
      </c>
      <c r="B234" s="13" t="s">
        <v>12043</v>
      </c>
      <c r="C234" s="13" t="s">
        <v>12044</v>
      </c>
      <c r="D234" s="13" t="s">
        <v>11640</v>
      </c>
      <c r="E234" s="13" t="s">
        <v>1150</v>
      </c>
      <c r="F234" s="15">
        <v>367</v>
      </c>
      <c r="G234" s="15">
        <v>367</v>
      </c>
    </row>
    <row r="235" spans="1:7">
      <c r="A235" s="14">
        <v>340</v>
      </c>
      <c r="B235" s="13" t="s">
        <v>12045</v>
      </c>
      <c r="C235" s="13" t="s">
        <v>12046</v>
      </c>
      <c r="D235" s="13" t="s">
        <v>11640</v>
      </c>
      <c r="E235" s="13" t="s">
        <v>1150</v>
      </c>
      <c r="F235" s="15">
        <v>367</v>
      </c>
      <c r="G235" s="15">
        <v>367</v>
      </c>
    </row>
    <row r="236" spans="1:7">
      <c r="A236" s="14">
        <v>341</v>
      </c>
      <c r="B236" s="13" t="s">
        <v>12047</v>
      </c>
      <c r="C236" s="13" t="s">
        <v>12048</v>
      </c>
      <c r="D236" s="13" t="s">
        <v>11640</v>
      </c>
      <c r="E236" s="13" t="s">
        <v>1150</v>
      </c>
      <c r="F236" s="15">
        <v>367</v>
      </c>
      <c r="G236" s="15">
        <v>367</v>
      </c>
    </row>
    <row r="237" spans="1:7">
      <c r="A237" s="14">
        <v>344</v>
      </c>
      <c r="B237" s="13" t="s">
        <v>12049</v>
      </c>
      <c r="C237" s="13" t="s">
        <v>12050</v>
      </c>
      <c r="D237" s="13" t="s">
        <v>11640</v>
      </c>
      <c r="E237" s="13" t="s">
        <v>1150</v>
      </c>
      <c r="F237" s="15">
        <v>367</v>
      </c>
      <c r="G237" s="15">
        <v>367</v>
      </c>
    </row>
    <row r="238" spans="1:7">
      <c r="A238" s="14">
        <v>347</v>
      </c>
      <c r="B238" s="13" t="s">
        <v>12051</v>
      </c>
      <c r="C238" s="13" t="s">
        <v>12052</v>
      </c>
      <c r="D238" s="13" t="s">
        <v>11640</v>
      </c>
      <c r="E238" s="13" t="s">
        <v>1150</v>
      </c>
      <c r="F238" s="15">
        <v>367</v>
      </c>
      <c r="G238" s="15">
        <v>367</v>
      </c>
    </row>
    <row r="239" spans="1:7">
      <c r="A239" s="14">
        <v>348</v>
      </c>
      <c r="B239" s="13" t="s">
        <v>12053</v>
      </c>
      <c r="C239" s="13" t="s">
        <v>12054</v>
      </c>
      <c r="D239" s="13" t="s">
        <v>11640</v>
      </c>
      <c r="E239" s="13" t="s">
        <v>1150</v>
      </c>
      <c r="F239" s="15">
        <v>367</v>
      </c>
      <c r="G239" s="15">
        <v>367</v>
      </c>
    </row>
    <row r="240" spans="1:7">
      <c r="A240" s="14">
        <v>349</v>
      </c>
      <c r="B240" s="13" t="s">
        <v>12055</v>
      </c>
      <c r="C240" s="13" t="s">
        <v>12056</v>
      </c>
      <c r="D240" s="13" t="s">
        <v>11640</v>
      </c>
      <c r="E240" s="13" t="s">
        <v>1150</v>
      </c>
      <c r="F240" s="15">
        <v>367</v>
      </c>
      <c r="G240" s="15">
        <v>367</v>
      </c>
    </row>
    <row r="241" spans="1:7">
      <c r="A241" s="14">
        <v>350</v>
      </c>
      <c r="B241" s="13" t="s">
        <v>12057</v>
      </c>
      <c r="C241" s="13" t="s">
        <v>12058</v>
      </c>
      <c r="D241" s="13" t="s">
        <v>11640</v>
      </c>
      <c r="E241" s="13" t="s">
        <v>1150</v>
      </c>
      <c r="F241" s="15">
        <v>367</v>
      </c>
      <c r="G241" s="15">
        <v>367</v>
      </c>
    </row>
    <row r="242" spans="1:7">
      <c r="A242" s="14">
        <v>353</v>
      </c>
      <c r="B242" s="13" t="s">
        <v>12059</v>
      </c>
      <c r="C242" s="13" t="s">
        <v>12060</v>
      </c>
      <c r="D242" s="13" t="s">
        <v>11640</v>
      </c>
      <c r="E242" s="13" t="s">
        <v>1150</v>
      </c>
      <c r="F242" s="15">
        <v>367</v>
      </c>
      <c r="G242" s="15">
        <v>367</v>
      </c>
    </row>
    <row r="243" spans="1:7">
      <c r="A243" s="14">
        <v>354</v>
      </c>
      <c r="B243" s="13" t="s">
        <v>12061</v>
      </c>
      <c r="C243" s="13" t="s">
        <v>12062</v>
      </c>
      <c r="D243" s="13" t="s">
        <v>11640</v>
      </c>
      <c r="E243" s="13" t="s">
        <v>1150</v>
      </c>
      <c r="F243" s="15">
        <v>367</v>
      </c>
      <c r="G243" s="15">
        <v>367</v>
      </c>
    </row>
    <row r="244" spans="1:7">
      <c r="A244" s="14">
        <v>355</v>
      </c>
      <c r="B244" s="13" t="s">
        <v>12063</v>
      </c>
      <c r="C244" s="13" t="s">
        <v>12064</v>
      </c>
      <c r="D244" s="13" t="s">
        <v>11640</v>
      </c>
      <c r="E244" s="13" t="s">
        <v>1150</v>
      </c>
      <c r="F244" s="15">
        <v>367</v>
      </c>
      <c r="G244" s="15">
        <v>367</v>
      </c>
    </row>
    <row r="245" spans="1:7">
      <c r="A245" s="14">
        <v>356</v>
      </c>
      <c r="B245" s="13" t="s">
        <v>12065</v>
      </c>
      <c r="C245" s="13" t="s">
        <v>12066</v>
      </c>
      <c r="D245" s="13" t="s">
        <v>11640</v>
      </c>
      <c r="E245" s="13" t="s">
        <v>1150</v>
      </c>
      <c r="F245" s="15">
        <v>367</v>
      </c>
      <c r="G245" s="15">
        <v>367</v>
      </c>
    </row>
    <row r="246" spans="1:7">
      <c r="A246" s="14">
        <v>357</v>
      </c>
      <c r="B246" s="13" t="s">
        <v>12067</v>
      </c>
      <c r="C246" s="13" t="s">
        <v>12068</v>
      </c>
      <c r="D246" s="13" t="s">
        <v>11640</v>
      </c>
      <c r="E246" s="13" t="s">
        <v>1150</v>
      </c>
      <c r="F246" s="15">
        <v>367</v>
      </c>
      <c r="G246" s="15">
        <v>367</v>
      </c>
    </row>
    <row r="247" spans="1:7">
      <c r="A247" s="14">
        <v>358</v>
      </c>
      <c r="B247" s="13" t="s">
        <v>12069</v>
      </c>
      <c r="C247" s="13" t="s">
        <v>12070</v>
      </c>
      <c r="D247" s="13" t="s">
        <v>11640</v>
      </c>
      <c r="E247" s="13" t="s">
        <v>1150</v>
      </c>
      <c r="F247" s="15">
        <v>367</v>
      </c>
      <c r="G247" s="15">
        <v>367</v>
      </c>
    </row>
    <row r="248" spans="1:7">
      <c r="A248" s="14">
        <v>359</v>
      </c>
      <c r="B248" s="13" t="s">
        <v>12071</v>
      </c>
      <c r="C248" s="13" t="s">
        <v>12072</v>
      </c>
      <c r="D248" s="13" t="s">
        <v>11640</v>
      </c>
      <c r="E248" s="13" t="s">
        <v>1150</v>
      </c>
      <c r="F248" s="15">
        <v>367</v>
      </c>
      <c r="G248" s="15">
        <v>367</v>
      </c>
    </row>
    <row r="249" spans="1:7">
      <c r="A249" s="14">
        <v>361</v>
      </c>
      <c r="B249" s="13" t="s">
        <v>12073</v>
      </c>
      <c r="C249" s="13" t="s">
        <v>12074</v>
      </c>
      <c r="D249" s="13" t="s">
        <v>11640</v>
      </c>
      <c r="E249" s="13" t="s">
        <v>1150</v>
      </c>
      <c r="F249" s="15">
        <v>367</v>
      </c>
      <c r="G249" s="15">
        <v>367</v>
      </c>
    </row>
    <row r="250" spans="1:7">
      <c r="A250" s="14">
        <v>363</v>
      </c>
      <c r="B250" s="13" t="s">
        <v>12075</v>
      </c>
      <c r="C250" s="13" t="s">
        <v>12076</v>
      </c>
      <c r="D250" s="13" t="s">
        <v>11640</v>
      </c>
      <c r="E250" s="13" t="s">
        <v>1150</v>
      </c>
      <c r="F250" s="15">
        <v>367</v>
      </c>
      <c r="G250" s="15">
        <v>367</v>
      </c>
    </row>
    <row r="251" spans="1:7">
      <c r="A251" s="14">
        <v>366</v>
      </c>
      <c r="B251" s="13" t="s">
        <v>12077</v>
      </c>
      <c r="C251" s="13" t="s">
        <v>12078</v>
      </c>
      <c r="D251" s="13" t="s">
        <v>11640</v>
      </c>
      <c r="E251" s="13" t="s">
        <v>1150</v>
      </c>
      <c r="F251" s="15">
        <v>367</v>
      </c>
      <c r="G251" s="15">
        <v>367</v>
      </c>
    </row>
    <row r="252" spans="1:7">
      <c r="A252" s="14">
        <v>368</v>
      </c>
      <c r="B252" s="13" t="s">
        <v>12079</v>
      </c>
      <c r="C252" s="13" t="s">
        <v>12080</v>
      </c>
      <c r="D252" s="13" t="s">
        <v>11640</v>
      </c>
      <c r="E252" s="13" t="s">
        <v>1150</v>
      </c>
      <c r="F252" s="15">
        <v>367</v>
      </c>
      <c r="G252" s="15">
        <v>367</v>
      </c>
    </row>
    <row r="253" spans="1:7">
      <c r="A253" s="14">
        <v>370</v>
      </c>
      <c r="B253" s="13" t="s">
        <v>12081</v>
      </c>
      <c r="C253" s="13" t="s">
        <v>12082</v>
      </c>
      <c r="D253" s="13" t="s">
        <v>11640</v>
      </c>
      <c r="E253" s="13" t="s">
        <v>1150</v>
      </c>
      <c r="F253" s="15">
        <v>367</v>
      </c>
      <c r="G253" s="15">
        <v>367</v>
      </c>
    </row>
    <row r="254" spans="1:7">
      <c r="A254" s="14">
        <v>371</v>
      </c>
      <c r="B254" s="13" t="s">
        <v>12083</v>
      </c>
      <c r="C254" s="13" t="s">
        <v>12084</v>
      </c>
      <c r="D254" s="13" t="s">
        <v>11640</v>
      </c>
      <c r="E254" s="13" t="s">
        <v>1150</v>
      </c>
      <c r="F254" s="15">
        <v>367</v>
      </c>
      <c r="G254" s="15">
        <v>367</v>
      </c>
    </row>
    <row r="255" spans="1:7">
      <c r="A255" s="14">
        <v>372</v>
      </c>
      <c r="B255" s="13" t="s">
        <v>12085</v>
      </c>
      <c r="C255" s="13" t="s">
        <v>12086</v>
      </c>
      <c r="D255" s="13" t="s">
        <v>11640</v>
      </c>
      <c r="E255" s="13" t="s">
        <v>1150</v>
      </c>
      <c r="F255" s="15">
        <v>367</v>
      </c>
      <c r="G255" s="15">
        <v>367</v>
      </c>
    </row>
    <row r="256" spans="1:7">
      <c r="A256" s="14">
        <v>373</v>
      </c>
      <c r="B256" s="13" t="s">
        <v>12087</v>
      </c>
      <c r="C256" s="13" t="s">
        <v>12088</v>
      </c>
      <c r="D256" s="13" t="s">
        <v>11640</v>
      </c>
      <c r="E256" s="13" t="s">
        <v>1150</v>
      </c>
      <c r="F256" s="15">
        <v>367</v>
      </c>
      <c r="G256" s="15">
        <v>367</v>
      </c>
    </row>
    <row r="257" spans="1:7">
      <c r="A257" s="14">
        <v>377</v>
      </c>
      <c r="B257" s="13" t="s">
        <v>12089</v>
      </c>
      <c r="C257" s="13" t="s">
        <v>12090</v>
      </c>
      <c r="D257" s="13" t="s">
        <v>11640</v>
      </c>
      <c r="E257" s="13" t="s">
        <v>1150</v>
      </c>
      <c r="F257" s="15">
        <v>367</v>
      </c>
      <c r="G257" s="15">
        <v>367</v>
      </c>
    </row>
    <row r="258" spans="1:7">
      <c r="A258" s="14">
        <v>379</v>
      </c>
      <c r="B258" s="13" t="s">
        <v>12091</v>
      </c>
      <c r="C258" s="13" t="s">
        <v>12092</v>
      </c>
      <c r="D258" s="13" t="s">
        <v>11640</v>
      </c>
      <c r="E258" s="13" t="s">
        <v>1150</v>
      </c>
      <c r="F258" s="15">
        <v>367</v>
      </c>
      <c r="G258" s="15">
        <v>367</v>
      </c>
    </row>
    <row r="259" spans="1:7">
      <c r="A259" s="14">
        <v>380</v>
      </c>
      <c r="B259" s="13" t="s">
        <v>12093</v>
      </c>
      <c r="C259" s="13" t="s">
        <v>12094</v>
      </c>
      <c r="D259" s="13" t="s">
        <v>11640</v>
      </c>
      <c r="E259" s="13" t="s">
        <v>1150</v>
      </c>
      <c r="F259" s="15">
        <v>367</v>
      </c>
      <c r="G259" s="15">
        <v>367</v>
      </c>
    </row>
    <row r="260" spans="1:7">
      <c r="A260" s="14">
        <v>381</v>
      </c>
      <c r="B260" s="13" t="s">
        <v>12095</v>
      </c>
      <c r="C260" s="13" t="s">
        <v>12096</v>
      </c>
      <c r="D260" s="13" t="s">
        <v>11640</v>
      </c>
      <c r="E260" s="13" t="s">
        <v>1150</v>
      </c>
      <c r="F260" s="15">
        <v>367</v>
      </c>
      <c r="G260" s="15">
        <v>367</v>
      </c>
    </row>
    <row r="261" spans="1:7">
      <c r="A261" s="14">
        <v>383</v>
      </c>
      <c r="B261" s="13" t="s">
        <v>12097</v>
      </c>
      <c r="C261" s="13" t="s">
        <v>12098</v>
      </c>
      <c r="D261" s="13" t="s">
        <v>11640</v>
      </c>
      <c r="E261" s="13" t="s">
        <v>1150</v>
      </c>
      <c r="F261" s="15">
        <v>367</v>
      </c>
      <c r="G261" s="15">
        <v>367</v>
      </c>
    </row>
    <row r="262" spans="1:7">
      <c r="A262" s="14">
        <v>384</v>
      </c>
      <c r="B262" s="13" t="s">
        <v>12099</v>
      </c>
      <c r="C262" s="13" t="s">
        <v>12100</v>
      </c>
      <c r="D262" s="13" t="s">
        <v>11640</v>
      </c>
      <c r="E262" s="13" t="s">
        <v>1150</v>
      </c>
      <c r="F262" s="15">
        <v>367</v>
      </c>
      <c r="G262" s="15">
        <v>367</v>
      </c>
    </row>
    <row r="263" spans="1:7">
      <c r="A263" s="14">
        <v>385</v>
      </c>
      <c r="B263" s="13" t="s">
        <v>12101</v>
      </c>
      <c r="C263" s="13" t="s">
        <v>12102</v>
      </c>
      <c r="D263" s="13" t="s">
        <v>11640</v>
      </c>
      <c r="E263" s="13" t="s">
        <v>1150</v>
      </c>
      <c r="F263" s="15">
        <v>367</v>
      </c>
      <c r="G263" s="15">
        <v>367</v>
      </c>
    </row>
    <row r="264" spans="1:7">
      <c r="A264" s="14">
        <v>386</v>
      </c>
      <c r="B264" s="13" t="s">
        <v>12103</v>
      </c>
      <c r="C264" s="13" t="s">
        <v>12104</v>
      </c>
      <c r="D264" s="13" t="s">
        <v>11640</v>
      </c>
      <c r="E264" s="13" t="s">
        <v>1150</v>
      </c>
      <c r="F264" s="15">
        <v>367</v>
      </c>
      <c r="G264" s="15">
        <v>367</v>
      </c>
    </row>
    <row r="265" spans="1:7">
      <c r="A265" s="14">
        <v>390</v>
      </c>
      <c r="B265" s="13" t="s">
        <v>12105</v>
      </c>
      <c r="C265" s="13" t="s">
        <v>12106</v>
      </c>
      <c r="D265" s="13" t="s">
        <v>11640</v>
      </c>
      <c r="E265" s="13" t="s">
        <v>1150</v>
      </c>
      <c r="F265" s="15">
        <v>367</v>
      </c>
      <c r="G265" s="15">
        <v>367</v>
      </c>
    </row>
    <row r="266" spans="1:7">
      <c r="A266" s="14">
        <v>391</v>
      </c>
      <c r="B266" s="13" t="s">
        <v>12107</v>
      </c>
      <c r="C266" s="13" t="s">
        <v>12108</v>
      </c>
      <c r="D266" s="13" t="s">
        <v>11640</v>
      </c>
      <c r="E266" s="13" t="s">
        <v>1150</v>
      </c>
      <c r="F266" s="15">
        <v>367</v>
      </c>
      <c r="G266" s="15">
        <v>367</v>
      </c>
    </row>
    <row r="267" spans="1:7">
      <c r="A267" s="14">
        <v>392</v>
      </c>
      <c r="B267" s="13" t="s">
        <v>12109</v>
      </c>
      <c r="C267" s="13" t="s">
        <v>12110</v>
      </c>
      <c r="D267" s="13" t="s">
        <v>11640</v>
      </c>
      <c r="E267" s="13" t="s">
        <v>1150</v>
      </c>
      <c r="F267" s="15">
        <v>367</v>
      </c>
      <c r="G267" s="15">
        <v>367</v>
      </c>
    </row>
    <row r="268" spans="1:7">
      <c r="A268" s="14">
        <v>393</v>
      </c>
      <c r="B268" s="13" t="s">
        <v>12111</v>
      </c>
      <c r="C268" s="13" t="s">
        <v>12112</v>
      </c>
      <c r="D268" s="13" t="s">
        <v>11640</v>
      </c>
      <c r="E268" s="13" t="s">
        <v>1150</v>
      </c>
      <c r="F268" s="15">
        <v>367</v>
      </c>
      <c r="G268" s="15">
        <v>367</v>
      </c>
    </row>
    <row r="269" spans="1:7">
      <c r="A269" s="14">
        <v>394</v>
      </c>
      <c r="B269" s="13" t="s">
        <v>12113</v>
      </c>
      <c r="C269" s="13" t="s">
        <v>12114</v>
      </c>
      <c r="D269" s="13" t="s">
        <v>11640</v>
      </c>
      <c r="E269" s="13" t="s">
        <v>1150</v>
      </c>
      <c r="F269" s="15">
        <v>367</v>
      </c>
      <c r="G269" s="15">
        <v>367</v>
      </c>
    </row>
    <row r="270" spans="1:7">
      <c r="A270" s="14">
        <v>395</v>
      </c>
      <c r="B270" s="13" t="s">
        <v>12115</v>
      </c>
      <c r="C270" s="13" t="s">
        <v>12116</v>
      </c>
      <c r="D270" s="13" t="s">
        <v>11640</v>
      </c>
      <c r="E270" s="13" t="s">
        <v>1150</v>
      </c>
      <c r="F270" s="15">
        <v>367</v>
      </c>
      <c r="G270" s="15">
        <v>367</v>
      </c>
    </row>
    <row r="271" spans="1:7">
      <c r="A271" s="14">
        <v>396</v>
      </c>
      <c r="B271" s="13" t="s">
        <v>12117</v>
      </c>
      <c r="C271" s="13" t="s">
        <v>12118</v>
      </c>
      <c r="D271" s="13" t="s">
        <v>11640</v>
      </c>
      <c r="E271" s="13" t="s">
        <v>1150</v>
      </c>
      <c r="F271" s="15">
        <v>367</v>
      </c>
      <c r="G271" s="15">
        <v>367</v>
      </c>
    </row>
    <row r="272" spans="1:7">
      <c r="A272" s="14">
        <v>397</v>
      </c>
      <c r="B272" s="13" t="s">
        <v>12119</v>
      </c>
      <c r="C272" s="13" t="s">
        <v>12120</v>
      </c>
      <c r="D272" s="13" t="s">
        <v>11640</v>
      </c>
      <c r="E272" s="13" t="s">
        <v>1150</v>
      </c>
      <c r="F272" s="15">
        <v>367</v>
      </c>
      <c r="G272" s="15">
        <v>367</v>
      </c>
    </row>
    <row r="273" spans="1:7">
      <c r="A273" s="14">
        <v>398</v>
      </c>
      <c r="B273" s="13" t="s">
        <v>12121</v>
      </c>
      <c r="C273" s="13" t="s">
        <v>12122</v>
      </c>
      <c r="D273" s="13" t="s">
        <v>11640</v>
      </c>
      <c r="E273" s="13" t="s">
        <v>1150</v>
      </c>
      <c r="F273" s="15">
        <v>367</v>
      </c>
      <c r="G273" s="15">
        <v>367</v>
      </c>
    </row>
    <row r="274" spans="1:7">
      <c r="A274" s="14">
        <v>399</v>
      </c>
      <c r="B274" s="13" t="s">
        <v>12123</v>
      </c>
      <c r="C274" s="13" t="s">
        <v>11772</v>
      </c>
      <c r="D274" s="13" t="s">
        <v>11640</v>
      </c>
      <c r="E274" s="13" t="s">
        <v>1150</v>
      </c>
      <c r="F274" s="15">
        <v>367</v>
      </c>
      <c r="G274" s="15">
        <v>367</v>
      </c>
    </row>
    <row r="275" spans="1:7">
      <c r="A275" s="14">
        <v>400</v>
      </c>
      <c r="B275" s="13" t="s">
        <v>12124</v>
      </c>
      <c r="C275" s="13" t="s">
        <v>12125</v>
      </c>
      <c r="D275" s="13" t="s">
        <v>11640</v>
      </c>
      <c r="E275" s="13" t="s">
        <v>1150</v>
      </c>
      <c r="F275" s="15">
        <v>367</v>
      </c>
      <c r="G275" s="15">
        <v>367</v>
      </c>
    </row>
    <row r="276" spans="1:7">
      <c r="A276" s="14">
        <v>402</v>
      </c>
      <c r="B276" s="13" t="s">
        <v>12126</v>
      </c>
      <c r="C276" s="13" t="s">
        <v>12127</v>
      </c>
      <c r="D276" s="13" t="s">
        <v>11640</v>
      </c>
      <c r="E276" s="13" t="s">
        <v>1150</v>
      </c>
      <c r="F276" s="15">
        <v>367</v>
      </c>
      <c r="G276" s="15">
        <v>367</v>
      </c>
    </row>
    <row r="277" spans="1:7">
      <c r="A277" s="14">
        <v>404</v>
      </c>
      <c r="B277" s="13" t="s">
        <v>12128</v>
      </c>
      <c r="C277" s="13" t="s">
        <v>12129</v>
      </c>
      <c r="D277" s="13" t="s">
        <v>11640</v>
      </c>
      <c r="E277" s="13" t="s">
        <v>1150</v>
      </c>
      <c r="F277" s="15">
        <v>367</v>
      </c>
      <c r="G277" s="15">
        <v>367</v>
      </c>
    </row>
    <row r="278" spans="1:7">
      <c r="A278" s="14">
        <v>405</v>
      </c>
      <c r="B278" s="13" t="s">
        <v>12130</v>
      </c>
      <c r="C278" s="13" t="s">
        <v>12131</v>
      </c>
      <c r="D278" s="13" t="s">
        <v>11640</v>
      </c>
      <c r="E278" s="13" t="s">
        <v>1150</v>
      </c>
      <c r="F278" s="15">
        <v>367</v>
      </c>
      <c r="G278" s="15">
        <v>367</v>
      </c>
    </row>
    <row r="279" spans="1:7">
      <c r="A279" s="14">
        <v>407</v>
      </c>
      <c r="B279" s="13" t="s">
        <v>12132</v>
      </c>
      <c r="C279" s="13" t="s">
        <v>12133</v>
      </c>
      <c r="D279" s="13" t="s">
        <v>11640</v>
      </c>
      <c r="E279" s="13" t="s">
        <v>1150</v>
      </c>
      <c r="F279" s="15">
        <v>367</v>
      </c>
      <c r="G279" s="15">
        <v>367</v>
      </c>
    </row>
    <row r="280" spans="1:7">
      <c r="A280" s="14">
        <v>410</v>
      </c>
      <c r="B280" s="13" t="s">
        <v>12134</v>
      </c>
      <c r="C280" s="13" t="s">
        <v>12135</v>
      </c>
      <c r="D280" s="13" t="s">
        <v>11640</v>
      </c>
      <c r="E280" s="13" t="s">
        <v>1150</v>
      </c>
      <c r="F280" s="15">
        <v>367</v>
      </c>
      <c r="G280" s="15">
        <v>367</v>
      </c>
    </row>
    <row r="281" spans="1:7">
      <c r="A281" s="14">
        <v>411</v>
      </c>
      <c r="B281" s="13" t="s">
        <v>12136</v>
      </c>
      <c r="C281" s="13" t="s">
        <v>12137</v>
      </c>
      <c r="D281" s="13" t="s">
        <v>11640</v>
      </c>
      <c r="E281" s="13" t="s">
        <v>1150</v>
      </c>
      <c r="F281" s="15">
        <v>367</v>
      </c>
      <c r="G281" s="15">
        <v>367</v>
      </c>
    </row>
    <row r="282" spans="1:7">
      <c r="A282" s="14">
        <v>416</v>
      </c>
      <c r="B282" s="13" t="s">
        <v>12138</v>
      </c>
      <c r="C282" s="13" t="s">
        <v>12139</v>
      </c>
      <c r="D282" s="13" t="s">
        <v>11640</v>
      </c>
      <c r="E282" s="13" t="s">
        <v>1150</v>
      </c>
      <c r="F282" s="15">
        <v>367</v>
      </c>
      <c r="G282" s="15">
        <v>367</v>
      </c>
    </row>
    <row r="283" spans="1:7">
      <c r="A283" s="14">
        <v>419</v>
      </c>
      <c r="B283" s="13" t="s">
        <v>12140</v>
      </c>
      <c r="C283" s="13" t="s">
        <v>12141</v>
      </c>
      <c r="D283" s="13" t="s">
        <v>11640</v>
      </c>
      <c r="E283" s="13" t="s">
        <v>1150</v>
      </c>
      <c r="F283" s="15">
        <v>367</v>
      </c>
      <c r="G283" s="15">
        <v>367</v>
      </c>
    </row>
    <row r="284" spans="1:7">
      <c r="A284" s="14">
        <v>421</v>
      </c>
      <c r="B284" s="13" t="s">
        <v>12142</v>
      </c>
      <c r="C284" s="13" t="s">
        <v>12143</v>
      </c>
      <c r="D284" s="13" t="s">
        <v>11640</v>
      </c>
      <c r="E284" s="13" t="s">
        <v>1150</v>
      </c>
      <c r="F284" s="15">
        <v>367</v>
      </c>
      <c r="G284" s="15">
        <v>367</v>
      </c>
    </row>
    <row r="285" spans="1:7">
      <c r="A285" s="14">
        <v>423</v>
      </c>
      <c r="B285" s="13" t="s">
        <v>12144</v>
      </c>
      <c r="C285" s="13" t="s">
        <v>12145</v>
      </c>
      <c r="D285" s="13" t="s">
        <v>11640</v>
      </c>
      <c r="E285" s="13" t="s">
        <v>1150</v>
      </c>
      <c r="F285" s="15">
        <v>367</v>
      </c>
      <c r="G285" s="15">
        <v>367</v>
      </c>
    </row>
    <row r="286" spans="1:7">
      <c r="A286" s="14">
        <v>424</v>
      </c>
      <c r="B286" s="13" t="s">
        <v>12146</v>
      </c>
      <c r="C286" s="13" t="s">
        <v>12147</v>
      </c>
      <c r="D286" s="13" t="s">
        <v>11640</v>
      </c>
      <c r="E286" s="13" t="s">
        <v>1150</v>
      </c>
      <c r="F286" s="15">
        <v>367</v>
      </c>
      <c r="G286" s="15">
        <v>367</v>
      </c>
    </row>
    <row r="287" spans="1:7">
      <c r="A287" s="14">
        <v>426</v>
      </c>
      <c r="B287" s="13" t="s">
        <v>12148</v>
      </c>
      <c r="C287" s="13" t="s">
        <v>12149</v>
      </c>
      <c r="D287" s="13" t="s">
        <v>11640</v>
      </c>
      <c r="E287" s="13" t="s">
        <v>1150</v>
      </c>
      <c r="F287" s="15">
        <v>367</v>
      </c>
      <c r="G287" s="15">
        <v>367</v>
      </c>
    </row>
    <row r="288" spans="1:7">
      <c r="A288" s="14">
        <v>428</v>
      </c>
      <c r="B288" s="13" t="s">
        <v>12150</v>
      </c>
      <c r="C288" s="13" t="s">
        <v>12151</v>
      </c>
      <c r="D288" s="13" t="s">
        <v>11640</v>
      </c>
      <c r="E288" s="13" t="s">
        <v>1150</v>
      </c>
      <c r="F288" s="15">
        <v>367</v>
      </c>
      <c r="G288" s="15">
        <v>367</v>
      </c>
    </row>
    <row r="289" spans="1:7">
      <c r="A289" s="14">
        <v>431</v>
      </c>
      <c r="B289" s="13" t="s">
        <v>12152</v>
      </c>
      <c r="C289" s="13" t="s">
        <v>12153</v>
      </c>
      <c r="D289" s="13" t="s">
        <v>11640</v>
      </c>
      <c r="E289" s="13" t="s">
        <v>1150</v>
      </c>
      <c r="F289" s="15">
        <v>367</v>
      </c>
      <c r="G289" s="15">
        <v>367</v>
      </c>
    </row>
    <row r="290" spans="1:7">
      <c r="A290" s="14">
        <v>433</v>
      </c>
      <c r="B290" s="13" t="s">
        <v>12154</v>
      </c>
      <c r="C290" s="13" t="s">
        <v>12155</v>
      </c>
      <c r="D290" s="13" t="s">
        <v>11640</v>
      </c>
      <c r="E290" s="13" t="s">
        <v>1150</v>
      </c>
      <c r="F290" s="15">
        <v>367</v>
      </c>
      <c r="G290" s="15">
        <v>367</v>
      </c>
    </row>
    <row r="291" spans="1:7">
      <c r="A291" s="14">
        <v>435</v>
      </c>
      <c r="B291" s="13" t="s">
        <v>12156</v>
      </c>
      <c r="C291" s="13" t="s">
        <v>12157</v>
      </c>
      <c r="D291" s="13" t="s">
        <v>11640</v>
      </c>
      <c r="E291" s="13" t="s">
        <v>1150</v>
      </c>
      <c r="F291" s="15">
        <v>367</v>
      </c>
      <c r="G291" s="15">
        <v>367</v>
      </c>
    </row>
    <row r="292" spans="1:7">
      <c r="A292" s="14">
        <v>437</v>
      </c>
      <c r="B292" s="13" t="s">
        <v>12158</v>
      </c>
      <c r="C292" s="13" t="s">
        <v>12159</v>
      </c>
      <c r="D292" s="13" t="s">
        <v>11640</v>
      </c>
      <c r="E292" s="13" t="s">
        <v>1150</v>
      </c>
      <c r="F292" s="15">
        <v>367</v>
      </c>
      <c r="G292" s="15">
        <v>367</v>
      </c>
    </row>
    <row r="293" spans="1:7">
      <c r="A293" s="14">
        <v>450</v>
      </c>
      <c r="B293" s="13" t="s">
        <v>12160</v>
      </c>
      <c r="C293" s="13" t="s">
        <v>12161</v>
      </c>
      <c r="D293" s="13" t="s">
        <v>11640</v>
      </c>
      <c r="E293" s="13" t="s">
        <v>1150</v>
      </c>
      <c r="F293" s="15">
        <v>367</v>
      </c>
      <c r="G293" s="15">
        <v>367</v>
      </c>
    </row>
    <row r="294" spans="1:7">
      <c r="A294" s="14">
        <v>453</v>
      </c>
      <c r="B294" s="13" t="s">
        <v>12162</v>
      </c>
      <c r="C294" s="13" t="s">
        <v>12163</v>
      </c>
      <c r="D294" s="13" t="s">
        <v>11640</v>
      </c>
      <c r="E294" s="13" t="s">
        <v>1150</v>
      </c>
      <c r="F294" s="15">
        <v>367</v>
      </c>
      <c r="G294" s="15">
        <v>367</v>
      </c>
    </row>
    <row r="295" spans="1:7">
      <c r="A295" s="14">
        <v>454</v>
      </c>
      <c r="B295" s="13" t="s">
        <v>12164</v>
      </c>
      <c r="C295" s="13" t="s">
        <v>12165</v>
      </c>
      <c r="D295" s="13" t="s">
        <v>11640</v>
      </c>
      <c r="E295" s="13" t="s">
        <v>1150</v>
      </c>
      <c r="F295" s="15">
        <v>367</v>
      </c>
      <c r="G295" s="15">
        <v>367</v>
      </c>
    </row>
    <row r="296" spans="1:7">
      <c r="A296" s="14">
        <v>455</v>
      </c>
      <c r="B296" s="13" t="s">
        <v>12166</v>
      </c>
      <c r="C296" s="13" t="s">
        <v>12167</v>
      </c>
      <c r="D296" s="13" t="s">
        <v>11640</v>
      </c>
      <c r="E296" s="13" t="s">
        <v>1150</v>
      </c>
      <c r="F296" s="15">
        <v>367</v>
      </c>
      <c r="G296" s="15">
        <v>367</v>
      </c>
    </row>
    <row r="297" spans="1:7">
      <c r="A297" s="14">
        <v>456</v>
      </c>
      <c r="B297" s="13" t="s">
        <v>12168</v>
      </c>
      <c r="C297" s="13" t="s">
        <v>12169</v>
      </c>
      <c r="D297" s="13" t="s">
        <v>11640</v>
      </c>
      <c r="E297" s="13" t="s">
        <v>1150</v>
      </c>
      <c r="F297" s="15">
        <v>367</v>
      </c>
      <c r="G297" s="15">
        <v>367</v>
      </c>
    </row>
    <row r="298" spans="1:7">
      <c r="A298" s="14">
        <v>457</v>
      </c>
      <c r="B298" s="13" t="s">
        <v>12170</v>
      </c>
      <c r="C298" s="13" t="s">
        <v>12171</v>
      </c>
      <c r="D298" s="13" t="s">
        <v>11640</v>
      </c>
      <c r="E298" s="13" t="s">
        <v>1150</v>
      </c>
      <c r="F298" s="15">
        <v>367</v>
      </c>
      <c r="G298" s="15">
        <v>367</v>
      </c>
    </row>
    <row r="299" spans="1:7">
      <c r="A299" s="14">
        <v>460</v>
      </c>
      <c r="B299" s="13" t="s">
        <v>12172</v>
      </c>
      <c r="C299" s="13" t="s">
        <v>12173</v>
      </c>
      <c r="D299" s="13" t="s">
        <v>11640</v>
      </c>
      <c r="E299" s="13" t="s">
        <v>1150</v>
      </c>
      <c r="F299" s="15">
        <v>39965</v>
      </c>
      <c r="G299" s="15">
        <v>39965</v>
      </c>
    </row>
    <row r="300" spans="1:7">
      <c r="A300" s="14">
        <v>461</v>
      </c>
      <c r="B300" s="13" t="s">
        <v>12174</v>
      </c>
      <c r="C300" s="13" t="s">
        <v>12175</v>
      </c>
      <c r="D300" s="13" t="s">
        <v>11640</v>
      </c>
      <c r="E300" s="13" t="s">
        <v>1150</v>
      </c>
      <c r="F300" s="15">
        <v>39965</v>
      </c>
      <c r="G300" s="15">
        <v>39965</v>
      </c>
    </row>
    <row r="301" spans="1:7">
      <c r="A301" s="14">
        <v>462</v>
      </c>
      <c r="B301" s="13" t="s">
        <v>12176</v>
      </c>
      <c r="C301" s="13" t="s">
        <v>12177</v>
      </c>
      <c r="D301" s="13" t="s">
        <v>11640</v>
      </c>
      <c r="E301" s="13" t="s">
        <v>1150</v>
      </c>
      <c r="F301" s="15">
        <v>39965</v>
      </c>
      <c r="G301" s="15">
        <v>39965</v>
      </c>
    </row>
    <row r="302" spans="1:7">
      <c r="A302" s="14">
        <v>463</v>
      </c>
      <c r="B302" s="13" t="s">
        <v>12178</v>
      </c>
      <c r="C302" s="13" t="s">
        <v>12179</v>
      </c>
      <c r="D302" s="13" t="s">
        <v>11640</v>
      </c>
      <c r="E302" s="13" t="s">
        <v>1150</v>
      </c>
      <c r="F302" s="15">
        <v>39965</v>
      </c>
      <c r="G302" s="15">
        <v>39965</v>
      </c>
    </row>
    <row r="303" spans="1:7">
      <c r="A303" s="14">
        <v>464</v>
      </c>
      <c r="B303" s="13" t="s">
        <v>12180</v>
      </c>
      <c r="C303" s="13" t="s">
        <v>12181</v>
      </c>
      <c r="D303" s="13" t="s">
        <v>11640</v>
      </c>
      <c r="E303" s="13" t="s">
        <v>1150</v>
      </c>
      <c r="F303" s="15">
        <v>39965</v>
      </c>
      <c r="G303" s="15">
        <v>39965</v>
      </c>
    </row>
    <row r="304" spans="1:7">
      <c r="A304" s="14">
        <v>467</v>
      </c>
      <c r="B304" s="13" t="s">
        <v>12182</v>
      </c>
      <c r="C304" s="13" t="s">
        <v>12183</v>
      </c>
      <c r="D304" s="13" t="s">
        <v>11640</v>
      </c>
      <c r="E304" s="13" t="s">
        <v>1150</v>
      </c>
      <c r="F304" s="15">
        <v>39965</v>
      </c>
      <c r="G304" s="15">
        <v>39965</v>
      </c>
    </row>
    <row r="305" spans="1:7">
      <c r="A305" s="14">
        <v>468</v>
      </c>
      <c r="B305" s="13" t="s">
        <v>12184</v>
      </c>
      <c r="C305" s="13" t="s">
        <v>12185</v>
      </c>
      <c r="D305" s="13" t="s">
        <v>11640</v>
      </c>
      <c r="E305" s="13" t="s">
        <v>1150</v>
      </c>
      <c r="F305" s="15">
        <v>40144</v>
      </c>
      <c r="G305" s="15">
        <v>40144</v>
      </c>
    </row>
    <row r="306" spans="1:7">
      <c r="A306" s="14">
        <v>469</v>
      </c>
      <c r="B306" s="13" t="s">
        <v>12186</v>
      </c>
      <c r="C306" s="13" t="s">
        <v>12187</v>
      </c>
      <c r="D306" s="13" t="s">
        <v>11640</v>
      </c>
      <c r="E306" s="13" t="s">
        <v>1150</v>
      </c>
      <c r="F306" s="15">
        <v>39965</v>
      </c>
      <c r="G306" s="15">
        <v>39965</v>
      </c>
    </row>
    <row r="307" spans="1:7">
      <c r="A307" s="14">
        <v>501</v>
      </c>
      <c r="B307" s="13" t="s">
        <v>12188</v>
      </c>
      <c r="C307" s="13" t="s">
        <v>12189</v>
      </c>
      <c r="D307" s="13" t="s">
        <v>11640</v>
      </c>
      <c r="E307" s="13" t="s">
        <v>1150</v>
      </c>
      <c r="F307" s="15">
        <v>367</v>
      </c>
      <c r="G307" s="15">
        <v>367</v>
      </c>
    </row>
    <row r="308" spans="1:7">
      <c r="A308" s="14">
        <v>503</v>
      </c>
      <c r="B308" s="13" t="s">
        <v>12190</v>
      </c>
      <c r="C308" s="13" t="s">
        <v>12191</v>
      </c>
      <c r="D308" s="13" t="s">
        <v>11640</v>
      </c>
      <c r="E308" s="13" t="s">
        <v>1150</v>
      </c>
      <c r="F308" s="15">
        <v>367</v>
      </c>
      <c r="G308" s="15">
        <v>367</v>
      </c>
    </row>
    <row r="309" spans="1:7">
      <c r="A309" s="14">
        <v>504</v>
      </c>
      <c r="B309" s="13" t="s">
        <v>12192</v>
      </c>
      <c r="C309" s="13" t="s">
        <v>12193</v>
      </c>
      <c r="D309" s="13" t="s">
        <v>11640</v>
      </c>
      <c r="E309" s="13" t="s">
        <v>1150</v>
      </c>
      <c r="F309" s="15">
        <v>367</v>
      </c>
      <c r="G309" s="15">
        <v>367</v>
      </c>
    </row>
    <row r="310" spans="1:7">
      <c r="A310" s="14">
        <v>505</v>
      </c>
      <c r="B310" s="13" t="s">
        <v>12194</v>
      </c>
      <c r="C310" s="13" t="s">
        <v>12195</v>
      </c>
      <c r="D310" s="13" t="s">
        <v>11640</v>
      </c>
      <c r="E310" s="13" t="s">
        <v>1150</v>
      </c>
      <c r="F310" s="15">
        <v>367</v>
      </c>
      <c r="G310" s="15">
        <v>367</v>
      </c>
    </row>
    <row r="311" spans="1:7">
      <c r="A311" s="14">
        <v>506</v>
      </c>
      <c r="B311" s="13" t="s">
        <v>12196</v>
      </c>
      <c r="C311" s="13" t="s">
        <v>12197</v>
      </c>
      <c r="D311" s="13" t="s">
        <v>11640</v>
      </c>
      <c r="E311" s="13" t="s">
        <v>1150</v>
      </c>
      <c r="F311" s="15">
        <v>367</v>
      </c>
      <c r="G311" s="15">
        <v>367</v>
      </c>
    </row>
    <row r="312" spans="1:7">
      <c r="A312" s="14">
        <v>507</v>
      </c>
      <c r="B312" s="13" t="s">
        <v>12198</v>
      </c>
      <c r="C312" s="13" t="s">
        <v>12199</v>
      </c>
      <c r="D312" s="13" t="s">
        <v>11640</v>
      </c>
      <c r="E312" s="13" t="s">
        <v>1150</v>
      </c>
      <c r="F312" s="15">
        <v>367</v>
      </c>
      <c r="G312" s="15">
        <v>367</v>
      </c>
    </row>
    <row r="313" spans="1:7">
      <c r="A313" s="14">
        <v>508</v>
      </c>
      <c r="B313" s="13" t="s">
        <v>12200</v>
      </c>
      <c r="C313" s="13" t="s">
        <v>12201</v>
      </c>
      <c r="D313" s="13" t="s">
        <v>11640</v>
      </c>
      <c r="E313" s="13" t="s">
        <v>1150</v>
      </c>
      <c r="F313" s="15">
        <v>367</v>
      </c>
      <c r="G313" s="15">
        <v>367</v>
      </c>
    </row>
    <row r="314" spans="1:7">
      <c r="A314" s="14">
        <v>509</v>
      </c>
      <c r="B314" s="13" t="s">
        <v>12202</v>
      </c>
      <c r="C314" s="13" t="s">
        <v>12203</v>
      </c>
      <c r="D314" s="13" t="s">
        <v>11640</v>
      </c>
      <c r="E314" s="13" t="s">
        <v>1150</v>
      </c>
      <c r="F314" s="15">
        <v>367</v>
      </c>
      <c r="G314" s="15">
        <v>367</v>
      </c>
    </row>
    <row r="315" spans="1:7">
      <c r="A315" s="14">
        <v>512</v>
      </c>
      <c r="B315" s="13" t="s">
        <v>12204</v>
      </c>
      <c r="C315" s="13" t="s">
        <v>12205</v>
      </c>
      <c r="D315" s="13" t="s">
        <v>11640</v>
      </c>
      <c r="E315" s="13" t="s">
        <v>1150</v>
      </c>
      <c r="F315" s="15">
        <v>367</v>
      </c>
      <c r="G315" s="15">
        <v>367</v>
      </c>
    </row>
    <row r="316" spans="1:7">
      <c r="A316" s="14">
        <v>513</v>
      </c>
      <c r="B316" s="13" t="s">
        <v>12206</v>
      </c>
      <c r="C316" s="13" t="s">
        <v>12207</v>
      </c>
      <c r="D316" s="13" t="s">
        <v>11640</v>
      </c>
      <c r="E316" s="13" t="s">
        <v>1150</v>
      </c>
      <c r="F316" s="15">
        <v>367</v>
      </c>
      <c r="G316" s="15">
        <v>367</v>
      </c>
    </row>
    <row r="317" spans="1:7">
      <c r="A317" s="14">
        <v>514</v>
      </c>
      <c r="B317" s="13" t="s">
        <v>12208</v>
      </c>
      <c r="C317" s="13" t="s">
        <v>12209</v>
      </c>
      <c r="D317" s="13" t="s">
        <v>11640</v>
      </c>
      <c r="E317" s="13" t="s">
        <v>1150</v>
      </c>
      <c r="F317" s="15">
        <v>367</v>
      </c>
      <c r="G317" s="15">
        <v>367</v>
      </c>
    </row>
    <row r="318" spans="1:7">
      <c r="A318" s="14">
        <v>515</v>
      </c>
      <c r="B318" s="13" t="s">
        <v>12210</v>
      </c>
      <c r="C318" s="13" t="s">
        <v>12211</v>
      </c>
      <c r="D318" s="13" t="s">
        <v>11640</v>
      </c>
      <c r="E318" s="13" t="s">
        <v>1150</v>
      </c>
      <c r="F318" s="15">
        <v>367</v>
      </c>
      <c r="G318" s="15">
        <v>367</v>
      </c>
    </row>
    <row r="319" spans="1:7">
      <c r="A319" s="14">
        <v>516</v>
      </c>
      <c r="B319" s="13" t="s">
        <v>12212</v>
      </c>
      <c r="C319" s="13" t="s">
        <v>12213</v>
      </c>
      <c r="D319" s="13" t="s">
        <v>11640</v>
      </c>
      <c r="E319" s="13" t="s">
        <v>1150</v>
      </c>
      <c r="F319" s="15">
        <v>367</v>
      </c>
      <c r="G319" s="15">
        <v>367</v>
      </c>
    </row>
    <row r="320" spans="1:7">
      <c r="A320" s="14">
        <v>518</v>
      </c>
      <c r="B320" s="13" t="s">
        <v>12214</v>
      </c>
      <c r="C320" s="13" t="s">
        <v>12215</v>
      </c>
      <c r="D320" s="13" t="s">
        <v>11640</v>
      </c>
      <c r="E320" s="13" t="s">
        <v>1150</v>
      </c>
      <c r="F320" s="15">
        <v>367</v>
      </c>
      <c r="G320" s="15">
        <v>367</v>
      </c>
    </row>
    <row r="321" spans="1:7">
      <c r="A321" s="14">
        <v>519</v>
      </c>
      <c r="B321" s="13" t="s">
        <v>12216</v>
      </c>
      <c r="C321" s="13" t="s">
        <v>12217</v>
      </c>
      <c r="D321" s="13" t="s">
        <v>11640</v>
      </c>
      <c r="E321" s="13" t="s">
        <v>1150</v>
      </c>
      <c r="F321" s="15">
        <v>367</v>
      </c>
      <c r="G321" s="15">
        <v>367</v>
      </c>
    </row>
    <row r="322" spans="1:7">
      <c r="A322" s="14">
        <v>522</v>
      </c>
      <c r="B322" s="13" t="s">
        <v>12218</v>
      </c>
      <c r="C322" s="13" t="s">
        <v>12219</v>
      </c>
      <c r="D322" s="13" t="s">
        <v>11640</v>
      </c>
      <c r="E322" s="13" t="s">
        <v>1150</v>
      </c>
      <c r="F322" s="15">
        <v>367</v>
      </c>
      <c r="G322" s="15">
        <v>367</v>
      </c>
    </row>
    <row r="323" spans="1:7">
      <c r="A323" s="14">
        <v>523</v>
      </c>
      <c r="B323" s="13" t="s">
        <v>12220</v>
      </c>
      <c r="C323" s="13" t="s">
        <v>12221</v>
      </c>
      <c r="D323" s="13" t="s">
        <v>11640</v>
      </c>
      <c r="E323" s="13" t="s">
        <v>1150</v>
      </c>
      <c r="F323" s="15">
        <v>367</v>
      </c>
      <c r="G323" s="15">
        <v>367</v>
      </c>
    </row>
    <row r="324" spans="1:7">
      <c r="A324" s="14">
        <v>525</v>
      </c>
      <c r="B324" s="13" t="s">
        <v>12222</v>
      </c>
      <c r="C324" s="13" t="s">
        <v>12223</v>
      </c>
      <c r="D324" s="13" t="s">
        <v>11640</v>
      </c>
      <c r="E324" s="13" t="s">
        <v>1150</v>
      </c>
      <c r="F324" s="15">
        <v>367</v>
      </c>
      <c r="G324" s="15">
        <v>367</v>
      </c>
    </row>
    <row r="325" spans="1:7">
      <c r="A325" s="14">
        <v>526</v>
      </c>
      <c r="B325" s="13" t="s">
        <v>12224</v>
      </c>
      <c r="C325" s="13" t="s">
        <v>12225</v>
      </c>
      <c r="D325" s="13" t="s">
        <v>11640</v>
      </c>
      <c r="E325" s="13" t="s">
        <v>1150</v>
      </c>
      <c r="F325" s="15">
        <v>367</v>
      </c>
      <c r="G325" s="15">
        <v>367</v>
      </c>
    </row>
    <row r="326" spans="1:7">
      <c r="A326" s="14">
        <v>527</v>
      </c>
      <c r="B326" s="13" t="s">
        <v>12226</v>
      </c>
      <c r="C326" s="13" t="s">
        <v>12227</v>
      </c>
      <c r="D326" s="13" t="s">
        <v>11640</v>
      </c>
      <c r="E326" s="13" t="s">
        <v>1150</v>
      </c>
      <c r="F326" s="15">
        <v>367</v>
      </c>
      <c r="G326" s="15">
        <v>367</v>
      </c>
    </row>
    <row r="327" spans="1:7">
      <c r="A327" s="14">
        <v>528</v>
      </c>
      <c r="B327" s="13" t="s">
        <v>12228</v>
      </c>
      <c r="C327" s="13" t="s">
        <v>12229</v>
      </c>
      <c r="D327" s="13" t="s">
        <v>11640</v>
      </c>
      <c r="E327" s="13" t="s">
        <v>1150</v>
      </c>
      <c r="F327" s="15">
        <v>367</v>
      </c>
      <c r="G327" s="15">
        <v>367</v>
      </c>
    </row>
    <row r="328" spans="1:7">
      <c r="A328" s="14">
        <v>529</v>
      </c>
      <c r="B328" s="13" t="s">
        <v>12230</v>
      </c>
      <c r="C328" s="13" t="s">
        <v>12231</v>
      </c>
      <c r="D328" s="13" t="s">
        <v>11640</v>
      </c>
      <c r="E328" s="13" t="s">
        <v>1150</v>
      </c>
      <c r="F328" s="15">
        <v>367</v>
      </c>
      <c r="G328" s="15">
        <v>367</v>
      </c>
    </row>
    <row r="329" spans="1:7">
      <c r="A329" s="14">
        <v>530</v>
      </c>
      <c r="B329" s="13" t="s">
        <v>12232</v>
      </c>
      <c r="C329" s="13" t="s">
        <v>12233</v>
      </c>
      <c r="D329" s="13" t="s">
        <v>11640</v>
      </c>
      <c r="E329" s="13" t="s">
        <v>1150</v>
      </c>
      <c r="F329" s="15">
        <v>367</v>
      </c>
      <c r="G329" s="15">
        <v>367</v>
      </c>
    </row>
    <row r="330" spans="1:7">
      <c r="A330" s="14">
        <v>531</v>
      </c>
      <c r="B330" s="13" t="s">
        <v>12234</v>
      </c>
      <c r="C330" s="13" t="s">
        <v>12235</v>
      </c>
      <c r="D330" s="13" t="s">
        <v>11640</v>
      </c>
      <c r="E330" s="13" t="s">
        <v>1150</v>
      </c>
      <c r="F330" s="15">
        <v>367</v>
      </c>
      <c r="G330" s="15">
        <v>367</v>
      </c>
    </row>
    <row r="331" spans="1:7">
      <c r="A331" s="14">
        <v>534</v>
      </c>
      <c r="B331" s="13" t="s">
        <v>12236</v>
      </c>
      <c r="C331" s="13" t="s">
        <v>12237</v>
      </c>
      <c r="D331" s="13" t="s">
        <v>11640</v>
      </c>
      <c r="E331" s="13" t="s">
        <v>1150</v>
      </c>
      <c r="F331" s="15">
        <v>367</v>
      </c>
      <c r="G331" s="15">
        <v>367</v>
      </c>
    </row>
    <row r="332" spans="1:7">
      <c r="A332" s="14">
        <v>535</v>
      </c>
      <c r="B332" s="13" t="s">
        <v>12238</v>
      </c>
      <c r="C332" s="13" t="s">
        <v>12239</v>
      </c>
      <c r="D332" s="13" t="s">
        <v>11640</v>
      </c>
      <c r="E332" s="13" t="s">
        <v>1150</v>
      </c>
      <c r="F332" s="15">
        <v>367</v>
      </c>
      <c r="G332" s="15">
        <v>367</v>
      </c>
    </row>
    <row r="333" spans="1:7">
      <c r="A333" s="14">
        <v>536</v>
      </c>
      <c r="B333" s="13" t="s">
        <v>12240</v>
      </c>
      <c r="C333" s="13" t="s">
        <v>12241</v>
      </c>
      <c r="D333" s="13" t="s">
        <v>11640</v>
      </c>
      <c r="E333" s="13" t="s">
        <v>1150</v>
      </c>
      <c r="F333" s="15">
        <v>367</v>
      </c>
      <c r="G333" s="15">
        <v>367</v>
      </c>
    </row>
    <row r="334" spans="1:7">
      <c r="A334" s="14">
        <v>537</v>
      </c>
      <c r="B334" s="13" t="s">
        <v>12242</v>
      </c>
      <c r="C334" s="13" t="s">
        <v>12243</v>
      </c>
      <c r="D334" s="13" t="s">
        <v>11640</v>
      </c>
      <c r="E334" s="13" t="s">
        <v>1150</v>
      </c>
      <c r="F334" s="15">
        <v>367</v>
      </c>
      <c r="G334" s="15">
        <v>367</v>
      </c>
    </row>
    <row r="335" spans="1:7">
      <c r="A335" s="14">
        <v>538</v>
      </c>
      <c r="B335" s="13" t="s">
        <v>12244</v>
      </c>
      <c r="C335" s="13" t="s">
        <v>12245</v>
      </c>
      <c r="D335" s="13" t="s">
        <v>11640</v>
      </c>
      <c r="E335" s="13" t="s">
        <v>1150</v>
      </c>
      <c r="F335" s="15">
        <v>367</v>
      </c>
      <c r="G335" s="15">
        <v>367</v>
      </c>
    </row>
    <row r="336" spans="1:7">
      <c r="A336" s="14">
        <v>539</v>
      </c>
      <c r="B336" s="13" t="s">
        <v>12246</v>
      </c>
      <c r="C336" s="13" t="s">
        <v>12247</v>
      </c>
      <c r="D336" s="13" t="s">
        <v>11640</v>
      </c>
      <c r="E336" s="13" t="s">
        <v>1150</v>
      </c>
      <c r="F336" s="15">
        <v>367</v>
      </c>
      <c r="G336" s="15">
        <v>367</v>
      </c>
    </row>
    <row r="337" spans="1:7">
      <c r="A337" s="14">
        <v>540</v>
      </c>
      <c r="B337" s="13" t="s">
        <v>12248</v>
      </c>
      <c r="C337" s="13" t="s">
        <v>12249</v>
      </c>
      <c r="D337" s="13" t="s">
        <v>11640</v>
      </c>
      <c r="E337" s="13" t="s">
        <v>1150</v>
      </c>
      <c r="F337" s="15">
        <v>367</v>
      </c>
      <c r="G337" s="15">
        <v>367</v>
      </c>
    </row>
    <row r="338" spans="1:7">
      <c r="A338" s="14">
        <v>541</v>
      </c>
      <c r="B338" s="13" t="s">
        <v>12250</v>
      </c>
      <c r="C338" s="13" t="s">
        <v>12251</v>
      </c>
      <c r="D338" s="13" t="s">
        <v>11640</v>
      </c>
      <c r="E338" s="13" t="s">
        <v>1150</v>
      </c>
      <c r="F338" s="15">
        <v>367</v>
      </c>
      <c r="G338" s="15">
        <v>367</v>
      </c>
    </row>
    <row r="339" spans="1:7">
      <c r="A339" s="14">
        <v>543</v>
      </c>
      <c r="B339" s="13" t="s">
        <v>12252</v>
      </c>
      <c r="C339" s="13" t="s">
        <v>12253</v>
      </c>
      <c r="D339" s="13" t="s">
        <v>11640</v>
      </c>
      <c r="E339" s="13" t="s">
        <v>1150</v>
      </c>
      <c r="F339" s="15">
        <v>367</v>
      </c>
      <c r="G339" s="15">
        <v>367</v>
      </c>
    </row>
    <row r="340" spans="1:7">
      <c r="A340" s="14">
        <v>544</v>
      </c>
      <c r="B340" s="13" t="s">
        <v>12254</v>
      </c>
      <c r="C340" s="13" t="s">
        <v>12255</v>
      </c>
      <c r="D340" s="13" t="s">
        <v>11640</v>
      </c>
      <c r="E340" s="13" t="s">
        <v>1150</v>
      </c>
      <c r="F340" s="15">
        <v>367</v>
      </c>
      <c r="G340" s="15">
        <v>367</v>
      </c>
    </row>
    <row r="341" spans="1:7">
      <c r="A341" s="14">
        <v>545</v>
      </c>
      <c r="B341" s="13" t="s">
        <v>12256</v>
      </c>
      <c r="C341" s="13" t="s">
        <v>12257</v>
      </c>
      <c r="D341" s="13" t="s">
        <v>11640</v>
      </c>
      <c r="E341" s="13" t="s">
        <v>1150</v>
      </c>
      <c r="F341" s="15">
        <v>367</v>
      </c>
      <c r="G341" s="15">
        <v>367</v>
      </c>
    </row>
    <row r="342" spans="1:7">
      <c r="A342" s="14">
        <v>546</v>
      </c>
      <c r="B342" s="13" t="s">
        <v>12258</v>
      </c>
      <c r="C342" s="13" t="s">
        <v>12259</v>
      </c>
      <c r="D342" s="13" t="s">
        <v>11640</v>
      </c>
      <c r="E342" s="13" t="s">
        <v>1150</v>
      </c>
      <c r="F342" s="15">
        <v>367</v>
      </c>
      <c r="G342" s="15">
        <v>367</v>
      </c>
    </row>
    <row r="343" spans="1:7">
      <c r="A343" s="14">
        <v>547</v>
      </c>
      <c r="B343" s="13" t="s">
        <v>12260</v>
      </c>
      <c r="C343" s="13" t="s">
        <v>12261</v>
      </c>
      <c r="D343" s="13" t="s">
        <v>11640</v>
      </c>
      <c r="E343" s="13" t="s">
        <v>1150</v>
      </c>
      <c r="F343" s="15">
        <v>367</v>
      </c>
      <c r="G343" s="15">
        <v>367</v>
      </c>
    </row>
    <row r="344" spans="1:7">
      <c r="A344" s="14">
        <v>548</v>
      </c>
      <c r="B344" s="13" t="s">
        <v>12262</v>
      </c>
      <c r="C344" s="13" t="s">
        <v>12263</v>
      </c>
      <c r="D344" s="13" t="s">
        <v>11640</v>
      </c>
      <c r="E344" s="13" t="s">
        <v>1150</v>
      </c>
      <c r="F344" s="15">
        <v>367</v>
      </c>
      <c r="G344" s="15">
        <v>367</v>
      </c>
    </row>
    <row r="345" spans="1:7">
      <c r="A345" s="14">
        <v>549</v>
      </c>
      <c r="B345" s="13" t="s">
        <v>12264</v>
      </c>
      <c r="C345" s="13" t="s">
        <v>12265</v>
      </c>
      <c r="D345" s="13" t="s">
        <v>11640</v>
      </c>
      <c r="E345" s="13" t="s">
        <v>1150</v>
      </c>
      <c r="F345" s="15">
        <v>367</v>
      </c>
      <c r="G345" s="15">
        <v>367</v>
      </c>
    </row>
    <row r="346" spans="1:7">
      <c r="A346" s="14">
        <v>550</v>
      </c>
      <c r="B346" s="13" t="s">
        <v>12266</v>
      </c>
      <c r="C346" s="13" t="s">
        <v>12267</v>
      </c>
      <c r="D346" s="13" t="s">
        <v>11640</v>
      </c>
      <c r="E346" s="13" t="s">
        <v>1150</v>
      </c>
      <c r="F346" s="15">
        <v>367</v>
      </c>
      <c r="G346" s="15">
        <v>367</v>
      </c>
    </row>
    <row r="347" spans="1:7">
      <c r="A347" s="14">
        <v>552</v>
      </c>
      <c r="B347" s="13" t="s">
        <v>12268</v>
      </c>
      <c r="C347" s="13" t="s">
        <v>12269</v>
      </c>
      <c r="D347" s="13" t="s">
        <v>11640</v>
      </c>
      <c r="E347" s="13" t="s">
        <v>1150</v>
      </c>
      <c r="F347" s="15">
        <v>367</v>
      </c>
      <c r="G347" s="15">
        <v>367</v>
      </c>
    </row>
    <row r="348" spans="1:7">
      <c r="A348" s="14">
        <v>555</v>
      </c>
      <c r="B348" s="13" t="s">
        <v>12270</v>
      </c>
      <c r="C348" s="13" t="s">
        <v>12271</v>
      </c>
      <c r="D348" s="13" t="s">
        <v>11640</v>
      </c>
      <c r="E348" s="13" t="s">
        <v>1150</v>
      </c>
      <c r="F348" s="15">
        <v>367</v>
      </c>
      <c r="G348" s="15">
        <v>367</v>
      </c>
    </row>
    <row r="349" spans="1:7">
      <c r="A349" s="14">
        <v>556</v>
      </c>
      <c r="B349" s="13" t="s">
        <v>12272</v>
      </c>
      <c r="C349" s="13" t="s">
        <v>12273</v>
      </c>
      <c r="D349" s="13" t="s">
        <v>11640</v>
      </c>
      <c r="E349" s="13" t="s">
        <v>1150</v>
      </c>
      <c r="F349" s="15">
        <v>367</v>
      </c>
      <c r="G349" s="15">
        <v>367</v>
      </c>
    </row>
    <row r="350" spans="1:7">
      <c r="A350" s="14">
        <v>557</v>
      </c>
      <c r="B350" s="13" t="s">
        <v>12274</v>
      </c>
      <c r="C350" s="13" t="s">
        <v>12275</v>
      </c>
      <c r="D350" s="13" t="s">
        <v>11640</v>
      </c>
      <c r="E350" s="13" t="s">
        <v>1150</v>
      </c>
      <c r="F350" s="15">
        <v>367</v>
      </c>
      <c r="G350" s="15">
        <v>367</v>
      </c>
    </row>
    <row r="351" spans="1:7">
      <c r="A351" s="14">
        <v>558</v>
      </c>
      <c r="B351" s="13" t="s">
        <v>12276</v>
      </c>
      <c r="C351" s="13" t="s">
        <v>12277</v>
      </c>
      <c r="D351" s="13" t="s">
        <v>11640</v>
      </c>
      <c r="E351" s="13" t="s">
        <v>1150</v>
      </c>
      <c r="F351" s="15">
        <v>367</v>
      </c>
      <c r="G351" s="15">
        <v>367</v>
      </c>
    </row>
    <row r="352" spans="1:7">
      <c r="A352" s="14">
        <v>559</v>
      </c>
      <c r="B352" s="13" t="s">
        <v>12278</v>
      </c>
      <c r="C352" s="13" t="s">
        <v>12279</v>
      </c>
      <c r="D352" s="13" t="s">
        <v>11640</v>
      </c>
      <c r="E352" s="13" t="s">
        <v>1150</v>
      </c>
      <c r="F352" s="15">
        <v>367</v>
      </c>
      <c r="G352" s="15">
        <v>367</v>
      </c>
    </row>
    <row r="353" spans="1:7">
      <c r="A353" s="14">
        <v>560</v>
      </c>
      <c r="B353" s="13" t="s">
        <v>12280</v>
      </c>
      <c r="C353" s="13" t="s">
        <v>12281</v>
      </c>
      <c r="D353" s="13" t="s">
        <v>11640</v>
      </c>
      <c r="E353" s="13" t="s">
        <v>1150</v>
      </c>
      <c r="F353" s="15">
        <v>367</v>
      </c>
      <c r="G353" s="15">
        <v>367</v>
      </c>
    </row>
    <row r="354" spans="1:7">
      <c r="A354" s="14">
        <v>561</v>
      </c>
      <c r="B354" s="13" t="s">
        <v>12282</v>
      </c>
      <c r="C354" s="13" t="s">
        <v>12283</v>
      </c>
      <c r="D354" s="13" t="s">
        <v>11640</v>
      </c>
      <c r="E354" s="13" t="s">
        <v>1150</v>
      </c>
      <c r="F354" s="15">
        <v>367</v>
      </c>
      <c r="G354" s="15">
        <v>367</v>
      </c>
    </row>
    <row r="355" spans="1:7">
      <c r="A355" s="14">
        <v>563</v>
      </c>
      <c r="B355" s="13" t="s">
        <v>12284</v>
      </c>
      <c r="C355" s="13" t="s">
        <v>12285</v>
      </c>
      <c r="D355" s="13" t="s">
        <v>11640</v>
      </c>
      <c r="E355" s="13" t="s">
        <v>1150</v>
      </c>
      <c r="F355" s="15">
        <v>367</v>
      </c>
      <c r="G355" s="15">
        <v>367</v>
      </c>
    </row>
    <row r="356" spans="1:7">
      <c r="A356" s="14">
        <v>564</v>
      </c>
      <c r="B356" s="13" t="s">
        <v>12286</v>
      </c>
      <c r="C356" s="13" t="s">
        <v>12287</v>
      </c>
      <c r="D356" s="13" t="s">
        <v>11640</v>
      </c>
      <c r="E356" s="13" t="s">
        <v>1150</v>
      </c>
      <c r="F356" s="15">
        <v>367</v>
      </c>
      <c r="G356" s="15">
        <v>367</v>
      </c>
    </row>
    <row r="357" spans="1:7">
      <c r="A357" s="14">
        <v>565</v>
      </c>
      <c r="B357" s="13" t="s">
        <v>12288</v>
      </c>
      <c r="C357" s="13" t="s">
        <v>12289</v>
      </c>
      <c r="D357" s="13" t="s">
        <v>11640</v>
      </c>
      <c r="E357" s="13" t="s">
        <v>1150</v>
      </c>
      <c r="F357" s="15">
        <v>367</v>
      </c>
      <c r="G357" s="15">
        <v>367</v>
      </c>
    </row>
    <row r="358" spans="1:7">
      <c r="A358" s="14">
        <v>567</v>
      </c>
      <c r="B358" s="13" t="s">
        <v>12290</v>
      </c>
      <c r="C358" s="13" t="s">
        <v>12291</v>
      </c>
      <c r="D358" s="13" t="s">
        <v>11640</v>
      </c>
      <c r="E358" s="13" t="s">
        <v>1150</v>
      </c>
      <c r="F358" s="15">
        <v>367</v>
      </c>
      <c r="G358" s="15">
        <v>367</v>
      </c>
    </row>
    <row r="359" spans="1:7">
      <c r="A359" s="14">
        <v>569</v>
      </c>
      <c r="B359" s="13" t="s">
        <v>12292</v>
      </c>
      <c r="C359" s="13" t="s">
        <v>12293</v>
      </c>
      <c r="D359" s="13" t="s">
        <v>11640</v>
      </c>
      <c r="E359" s="13" t="s">
        <v>1150</v>
      </c>
      <c r="F359" s="15">
        <v>367</v>
      </c>
      <c r="G359" s="15">
        <v>367</v>
      </c>
    </row>
    <row r="360" spans="1:7">
      <c r="A360" s="14">
        <v>570</v>
      </c>
      <c r="B360" s="13" t="s">
        <v>12294</v>
      </c>
      <c r="C360" s="13" t="s">
        <v>12295</v>
      </c>
      <c r="D360" s="13" t="s">
        <v>11640</v>
      </c>
      <c r="E360" s="13" t="s">
        <v>1150</v>
      </c>
      <c r="F360" s="15">
        <v>367</v>
      </c>
      <c r="G360" s="15">
        <v>367</v>
      </c>
    </row>
    <row r="361" spans="1:7">
      <c r="A361" s="14">
        <v>571</v>
      </c>
      <c r="B361" s="13" t="s">
        <v>12296</v>
      </c>
      <c r="C361" s="13" t="s">
        <v>12297</v>
      </c>
      <c r="D361" s="13" t="s">
        <v>11640</v>
      </c>
      <c r="E361" s="13" t="s">
        <v>1150</v>
      </c>
      <c r="F361" s="15">
        <v>367</v>
      </c>
      <c r="G361" s="15">
        <v>367</v>
      </c>
    </row>
    <row r="362" spans="1:7">
      <c r="A362" s="14">
        <v>572</v>
      </c>
      <c r="B362" s="13" t="s">
        <v>12298</v>
      </c>
      <c r="C362" s="13" t="s">
        <v>12299</v>
      </c>
      <c r="D362" s="13" t="s">
        <v>11640</v>
      </c>
      <c r="E362" s="13" t="s">
        <v>1150</v>
      </c>
      <c r="F362" s="15">
        <v>367</v>
      </c>
      <c r="G362" s="15">
        <v>367</v>
      </c>
    </row>
    <row r="363" spans="1:7">
      <c r="A363" s="14">
        <v>573</v>
      </c>
      <c r="B363" s="13" t="s">
        <v>12300</v>
      </c>
      <c r="C363" s="13" t="s">
        <v>12301</v>
      </c>
      <c r="D363" s="13" t="s">
        <v>11640</v>
      </c>
      <c r="E363" s="13" t="s">
        <v>1150</v>
      </c>
      <c r="F363" s="15">
        <v>367</v>
      </c>
      <c r="G363" s="15">
        <v>367</v>
      </c>
    </row>
    <row r="364" spans="1:7">
      <c r="A364" s="14">
        <v>574</v>
      </c>
      <c r="B364" s="13" t="s">
        <v>12302</v>
      </c>
      <c r="C364" s="13" t="s">
        <v>12303</v>
      </c>
      <c r="D364" s="13" t="s">
        <v>11640</v>
      </c>
      <c r="E364" s="13" t="s">
        <v>1150</v>
      </c>
      <c r="F364" s="15">
        <v>367</v>
      </c>
      <c r="G364" s="15">
        <v>367</v>
      </c>
    </row>
    <row r="365" spans="1:7">
      <c r="A365" s="14">
        <v>575</v>
      </c>
      <c r="B365" s="13" t="s">
        <v>12304</v>
      </c>
      <c r="C365" s="13" t="s">
        <v>12305</v>
      </c>
      <c r="D365" s="13" t="s">
        <v>11640</v>
      </c>
      <c r="E365" s="13" t="s">
        <v>1150</v>
      </c>
      <c r="F365" s="15">
        <v>367</v>
      </c>
      <c r="G365" s="15">
        <v>367</v>
      </c>
    </row>
    <row r="366" spans="1:7">
      <c r="A366" s="14">
        <v>576</v>
      </c>
      <c r="B366" s="13" t="s">
        <v>12306</v>
      </c>
      <c r="C366" s="13" t="s">
        <v>12307</v>
      </c>
      <c r="D366" s="13" t="s">
        <v>11640</v>
      </c>
      <c r="E366" s="13" t="s">
        <v>1150</v>
      </c>
      <c r="F366" s="15">
        <v>367</v>
      </c>
      <c r="G366" s="15">
        <v>367</v>
      </c>
    </row>
    <row r="367" spans="1:7">
      <c r="A367" s="14">
        <v>578</v>
      </c>
      <c r="B367" s="13" t="s">
        <v>12308</v>
      </c>
      <c r="C367" s="13" t="s">
        <v>12309</v>
      </c>
      <c r="D367" s="13" t="s">
        <v>11640</v>
      </c>
      <c r="E367" s="13" t="s">
        <v>1150</v>
      </c>
      <c r="F367" s="15">
        <v>367</v>
      </c>
      <c r="G367" s="15">
        <v>367</v>
      </c>
    </row>
    <row r="368" spans="1:7">
      <c r="A368" s="14">
        <v>579</v>
      </c>
      <c r="B368" s="13" t="s">
        <v>12310</v>
      </c>
      <c r="C368" s="13" t="s">
        <v>12311</v>
      </c>
      <c r="D368" s="13" t="s">
        <v>11640</v>
      </c>
      <c r="E368" s="13" t="s">
        <v>1150</v>
      </c>
      <c r="F368" s="15">
        <v>367</v>
      </c>
      <c r="G368" s="15">
        <v>367</v>
      </c>
    </row>
    <row r="369" spans="1:7">
      <c r="A369" s="14">
        <v>580</v>
      </c>
      <c r="B369" s="13" t="s">
        <v>12312</v>
      </c>
      <c r="C369" s="13" t="s">
        <v>12313</v>
      </c>
      <c r="D369" s="13" t="s">
        <v>11640</v>
      </c>
      <c r="E369" s="13" t="s">
        <v>1150</v>
      </c>
      <c r="F369" s="15">
        <v>367</v>
      </c>
      <c r="G369" s="15">
        <v>367</v>
      </c>
    </row>
    <row r="370" spans="1:7">
      <c r="A370" s="14">
        <v>581</v>
      </c>
      <c r="B370" s="13" t="s">
        <v>12314</v>
      </c>
      <c r="C370" s="13" t="s">
        <v>12315</v>
      </c>
      <c r="D370" s="13" t="s">
        <v>11640</v>
      </c>
      <c r="E370" s="13" t="s">
        <v>1150</v>
      </c>
      <c r="F370" s="15">
        <v>367</v>
      </c>
      <c r="G370" s="15">
        <v>367</v>
      </c>
    </row>
    <row r="371" spans="1:7">
      <c r="A371" s="14">
        <v>583</v>
      </c>
      <c r="B371" s="13" t="s">
        <v>12316</v>
      </c>
      <c r="C371" s="13" t="s">
        <v>12317</v>
      </c>
      <c r="D371" s="13" t="s">
        <v>11640</v>
      </c>
      <c r="E371" s="13" t="s">
        <v>1150</v>
      </c>
      <c r="F371" s="15">
        <v>367</v>
      </c>
      <c r="G371" s="15">
        <v>367</v>
      </c>
    </row>
    <row r="372" spans="1:7">
      <c r="A372" s="14">
        <v>584</v>
      </c>
      <c r="B372" s="13" t="s">
        <v>12318</v>
      </c>
      <c r="C372" s="13" t="s">
        <v>12319</v>
      </c>
      <c r="D372" s="13" t="s">
        <v>11640</v>
      </c>
      <c r="E372" s="13" t="s">
        <v>1150</v>
      </c>
      <c r="F372" s="15">
        <v>367</v>
      </c>
      <c r="G372" s="15">
        <v>367</v>
      </c>
    </row>
    <row r="373" spans="1:7">
      <c r="A373" s="14">
        <v>585</v>
      </c>
      <c r="B373" s="13" t="s">
        <v>12320</v>
      </c>
      <c r="C373" s="13" t="s">
        <v>12321</v>
      </c>
      <c r="D373" s="13" t="s">
        <v>11640</v>
      </c>
      <c r="E373" s="13" t="s">
        <v>1150</v>
      </c>
      <c r="F373" s="15">
        <v>367</v>
      </c>
      <c r="G373" s="15">
        <v>367</v>
      </c>
    </row>
    <row r="374" spans="1:7">
      <c r="A374" s="14">
        <v>587</v>
      </c>
      <c r="B374" s="13" t="s">
        <v>12322</v>
      </c>
      <c r="C374" s="13" t="s">
        <v>12323</v>
      </c>
      <c r="D374" s="13" t="s">
        <v>11640</v>
      </c>
      <c r="E374" s="13" t="s">
        <v>1150</v>
      </c>
      <c r="F374" s="15">
        <v>367</v>
      </c>
      <c r="G374" s="15">
        <v>367</v>
      </c>
    </row>
    <row r="375" spans="1:7">
      <c r="A375" s="14">
        <v>588</v>
      </c>
      <c r="B375" s="13" t="s">
        <v>12324</v>
      </c>
      <c r="C375" s="13" t="s">
        <v>12325</v>
      </c>
      <c r="D375" s="13" t="s">
        <v>11640</v>
      </c>
      <c r="E375" s="13" t="s">
        <v>1150</v>
      </c>
      <c r="F375" s="15">
        <v>367</v>
      </c>
      <c r="G375" s="15">
        <v>367</v>
      </c>
    </row>
    <row r="376" spans="1:7">
      <c r="A376" s="14">
        <v>590</v>
      </c>
      <c r="B376" s="13" t="s">
        <v>12326</v>
      </c>
      <c r="C376" s="13" t="s">
        <v>12327</v>
      </c>
      <c r="D376" s="13" t="s">
        <v>11640</v>
      </c>
      <c r="E376" s="13" t="s">
        <v>1150</v>
      </c>
      <c r="F376" s="15">
        <v>367</v>
      </c>
      <c r="G376" s="15">
        <v>367</v>
      </c>
    </row>
    <row r="377" spans="1:7">
      <c r="A377" s="14">
        <v>592</v>
      </c>
      <c r="B377" s="13" t="s">
        <v>12328</v>
      </c>
      <c r="C377" s="13" t="s">
        <v>12329</v>
      </c>
      <c r="D377" s="13" t="s">
        <v>11640</v>
      </c>
      <c r="E377" s="13" t="s">
        <v>1150</v>
      </c>
      <c r="F377" s="15">
        <v>367</v>
      </c>
      <c r="G377" s="15">
        <v>367</v>
      </c>
    </row>
    <row r="378" spans="1:7">
      <c r="A378" s="14">
        <v>593</v>
      </c>
      <c r="B378" s="13" t="s">
        <v>12330</v>
      </c>
      <c r="C378" s="13" t="s">
        <v>12331</v>
      </c>
      <c r="D378" s="13" t="s">
        <v>11640</v>
      </c>
      <c r="E378" s="13" t="s">
        <v>1150</v>
      </c>
      <c r="F378" s="15">
        <v>367</v>
      </c>
      <c r="G378" s="15">
        <v>367</v>
      </c>
    </row>
    <row r="379" spans="1:7">
      <c r="A379" s="14">
        <v>594</v>
      </c>
      <c r="B379" s="13" t="s">
        <v>12332</v>
      </c>
      <c r="C379" s="13" t="s">
        <v>12333</v>
      </c>
      <c r="D379" s="13" t="s">
        <v>11640</v>
      </c>
      <c r="E379" s="13" t="s">
        <v>1150</v>
      </c>
      <c r="F379" s="15">
        <v>367</v>
      </c>
      <c r="G379" s="15">
        <v>367</v>
      </c>
    </row>
    <row r="380" spans="1:7">
      <c r="A380" s="14">
        <v>596</v>
      </c>
      <c r="B380" s="13" t="s">
        <v>12334</v>
      </c>
      <c r="C380" s="13" t="s">
        <v>12335</v>
      </c>
      <c r="D380" s="13" t="s">
        <v>11640</v>
      </c>
      <c r="E380" s="13" t="s">
        <v>1150</v>
      </c>
      <c r="F380" s="15">
        <v>367</v>
      </c>
      <c r="G380" s="15">
        <v>367</v>
      </c>
    </row>
    <row r="381" spans="1:7">
      <c r="A381" s="14">
        <v>597</v>
      </c>
      <c r="B381" s="13" t="s">
        <v>12336</v>
      </c>
      <c r="C381" s="13" t="s">
        <v>12337</v>
      </c>
      <c r="D381" s="13" t="s">
        <v>11640</v>
      </c>
      <c r="E381" s="13" t="s">
        <v>1150</v>
      </c>
      <c r="F381" s="15">
        <v>367</v>
      </c>
      <c r="G381" s="15">
        <v>367</v>
      </c>
    </row>
    <row r="382" spans="1:7">
      <c r="A382" s="14">
        <v>598</v>
      </c>
      <c r="B382" s="13" t="s">
        <v>12338</v>
      </c>
      <c r="C382" s="13" t="s">
        <v>12339</v>
      </c>
      <c r="D382" s="13" t="s">
        <v>11640</v>
      </c>
      <c r="E382" s="13" t="s">
        <v>1150</v>
      </c>
      <c r="F382" s="15">
        <v>367</v>
      </c>
      <c r="G382" s="15">
        <v>367</v>
      </c>
    </row>
    <row r="383" spans="1:7">
      <c r="A383" s="14">
        <v>599</v>
      </c>
      <c r="B383" s="13" t="s">
        <v>12340</v>
      </c>
      <c r="C383" s="13" t="s">
        <v>12341</v>
      </c>
      <c r="D383" s="13" t="s">
        <v>11640</v>
      </c>
      <c r="E383" s="13" t="s">
        <v>1150</v>
      </c>
      <c r="F383" s="15">
        <v>367</v>
      </c>
      <c r="G383" s="15">
        <v>367</v>
      </c>
    </row>
    <row r="384" spans="1:7">
      <c r="A384" s="14">
        <v>600</v>
      </c>
      <c r="B384" s="13" t="s">
        <v>12342</v>
      </c>
      <c r="C384" s="13" t="s">
        <v>12343</v>
      </c>
      <c r="D384" s="13" t="s">
        <v>11640</v>
      </c>
      <c r="E384" s="13" t="s">
        <v>1150</v>
      </c>
      <c r="F384" s="15">
        <v>367</v>
      </c>
      <c r="G384" s="15">
        <v>367</v>
      </c>
    </row>
    <row r="385" spans="1:7">
      <c r="A385" s="14">
        <v>602</v>
      </c>
      <c r="B385" s="13" t="s">
        <v>12344</v>
      </c>
      <c r="C385" s="13" t="s">
        <v>12345</v>
      </c>
      <c r="D385" s="13" t="s">
        <v>11640</v>
      </c>
      <c r="E385" s="13" t="s">
        <v>1150</v>
      </c>
      <c r="F385" s="15">
        <v>367</v>
      </c>
      <c r="G385" s="15">
        <v>367</v>
      </c>
    </row>
    <row r="386" spans="1:7">
      <c r="A386" s="14">
        <v>603</v>
      </c>
      <c r="B386" s="13" t="s">
        <v>12346</v>
      </c>
      <c r="C386" s="13" t="s">
        <v>12347</v>
      </c>
      <c r="D386" s="13" t="s">
        <v>11640</v>
      </c>
      <c r="E386" s="13" t="s">
        <v>1150</v>
      </c>
      <c r="F386" s="15">
        <v>367</v>
      </c>
      <c r="G386" s="15">
        <v>367</v>
      </c>
    </row>
    <row r="387" spans="1:7">
      <c r="A387" s="14">
        <v>604</v>
      </c>
      <c r="B387" s="13" t="s">
        <v>12348</v>
      </c>
      <c r="C387" s="13" t="s">
        <v>12349</v>
      </c>
      <c r="D387" s="13" t="s">
        <v>11640</v>
      </c>
      <c r="E387" s="13" t="s">
        <v>1150</v>
      </c>
      <c r="F387" s="15">
        <v>367</v>
      </c>
      <c r="G387" s="15">
        <v>367</v>
      </c>
    </row>
    <row r="388" spans="1:7">
      <c r="A388" s="14">
        <v>605</v>
      </c>
      <c r="B388" s="13" t="s">
        <v>12350</v>
      </c>
      <c r="C388" s="13" t="s">
        <v>12351</v>
      </c>
      <c r="D388" s="13" t="s">
        <v>11640</v>
      </c>
      <c r="E388" s="13" t="s">
        <v>1150</v>
      </c>
      <c r="F388" s="15">
        <v>367</v>
      </c>
      <c r="G388" s="15">
        <v>367</v>
      </c>
    </row>
    <row r="389" spans="1:7">
      <c r="A389" s="14">
        <v>609</v>
      </c>
      <c r="B389" s="13" t="s">
        <v>12352</v>
      </c>
      <c r="C389" s="13" t="s">
        <v>12353</v>
      </c>
      <c r="D389" s="13" t="s">
        <v>11640</v>
      </c>
      <c r="E389" s="13" t="s">
        <v>1150</v>
      </c>
      <c r="F389" s="15">
        <v>367</v>
      </c>
      <c r="G389" s="15">
        <v>367</v>
      </c>
    </row>
    <row r="390" spans="1:7">
      <c r="A390" s="14">
        <v>610</v>
      </c>
      <c r="B390" s="13" t="s">
        <v>12354</v>
      </c>
      <c r="C390" s="13" t="s">
        <v>12355</v>
      </c>
      <c r="D390" s="13" t="s">
        <v>11640</v>
      </c>
      <c r="E390" s="13" t="s">
        <v>1150</v>
      </c>
      <c r="F390" s="15">
        <v>367</v>
      </c>
      <c r="G390" s="15">
        <v>367</v>
      </c>
    </row>
    <row r="391" spans="1:7">
      <c r="A391" s="14">
        <v>611</v>
      </c>
      <c r="B391" s="13" t="s">
        <v>12356</v>
      </c>
      <c r="C391" s="13" t="s">
        <v>12357</v>
      </c>
      <c r="D391" s="13" t="s">
        <v>11640</v>
      </c>
      <c r="E391" s="13" t="s">
        <v>1150</v>
      </c>
      <c r="F391" s="15">
        <v>367</v>
      </c>
      <c r="G391" s="15">
        <v>367</v>
      </c>
    </row>
    <row r="392" spans="1:7">
      <c r="A392" s="14">
        <v>612</v>
      </c>
      <c r="B392" s="13" t="s">
        <v>12358</v>
      </c>
      <c r="C392" s="13" t="s">
        <v>12359</v>
      </c>
      <c r="D392" s="13" t="s">
        <v>11640</v>
      </c>
      <c r="E392" s="13" t="s">
        <v>1150</v>
      </c>
      <c r="F392" s="15">
        <v>367</v>
      </c>
      <c r="G392" s="15">
        <v>367</v>
      </c>
    </row>
    <row r="393" spans="1:7">
      <c r="A393" s="14">
        <v>613</v>
      </c>
      <c r="B393" s="13" t="s">
        <v>12360</v>
      </c>
      <c r="C393" s="13" t="s">
        <v>12361</v>
      </c>
      <c r="D393" s="13" t="s">
        <v>11640</v>
      </c>
      <c r="E393" s="13" t="s">
        <v>1150</v>
      </c>
      <c r="F393" s="15">
        <v>367</v>
      </c>
      <c r="G393" s="15">
        <v>367</v>
      </c>
    </row>
    <row r="394" spans="1:7">
      <c r="A394" s="14">
        <v>615</v>
      </c>
      <c r="B394" s="13" t="s">
        <v>12362</v>
      </c>
      <c r="C394" s="13" t="s">
        <v>12363</v>
      </c>
      <c r="D394" s="13" t="s">
        <v>11640</v>
      </c>
      <c r="E394" s="13" t="s">
        <v>1150</v>
      </c>
      <c r="F394" s="15">
        <v>367</v>
      </c>
      <c r="G394" s="15">
        <v>367</v>
      </c>
    </row>
    <row r="395" spans="1:7">
      <c r="A395" s="14">
        <v>616</v>
      </c>
      <c r="B395" s="13" t="s">
        <v>12364</v>
      </c>
      <c r="C395" s="13" t="s">
        <v>12365</v>
      </c>
      <c r="D395" s="13" t="s">
        <v>11640</v>
      </c>
      <c r="E395" s="13" t="s">
        <v>1150</v>
      </c>
      <c r="F395" s="15">
        <v>367</v>
      </c>
      <c r="G395" s="15">
        <v>367</v>
      </c>
    </row>
    <row r="396" spans="1:7">
      <c r="A396" s="14">
        <v>617</v>
      </c>
      <c r="B396" s="13" t="s">
        <v>12366</v>
      </c>
      <c r="C396" s="13" t="s">
        <v>12367</v>
      </c>
      <c r="D396" s="13" t="s">
        <v>11640</v>
      </c>
      <c r="E396" s="13" t="s">
        <v>1150</v>
      </c>
      <c r="F396" s="15">
        <v>367</v>
      </c>
      <c r="G396" s="15">
        <v>367</v>
      </c>
    </row>
    <row r="397" spans="1:7">
      <c r="A397" s="14">
        <v>618</v>
      </c>
      <c r="B397" s="13" t="s">
        <v>12368</v>
      </c>
      <c r="C397" s="13" t="s">
        <v>12369</v>
      </c>
      <c r="D397" s="13" t="s">
        <v>11640</v>
      </c>
      <c r="E397" s="13" t="s">
        <v>1150</v>
      </c>
      <c r="F397" s="15">
        <v>367</v>
      </c>
      <c r="G397" s="15">
        <v>367</v>
      </c>
    </row>
    <row r="398" spans="1:7">
      <c r="A398" s="14">
        <v>620</v>
      </c>
      <c r="B398" s="13" t="s">
        <v>12370</v>
      </c>
      <c r="C398" s="13" t="s">
        <v>12371</v>
      </c>
      <c r="D398" s="13" t="s">
        <v>11640</v>
      </c>
      <c r="E398" s="13" t="s">
        <v>1150</v>
      </c>
      <c r="F398" s="15">
        <v>367</v>
      </c>
      <c r="G398" s="15">
        <v>367</v>
      </c>
    </row>
    <row r="399" spans="1:7">
      <c r="A399" s="14">
        <v>622</v>
      </c>
      <c r="B399" s="13" t="s">
        <v>12372</v>
      </c>
      <c r="C399" s="13" t="s">
        <v>12373</v>
      </c>
      <c r="D399" s="13" t="s">
        <v>11640</v>
      </c>
      <c r="E399" s="13" t="s">
        <v>1150</v>
      </c>
      <c r="F399" s="15">
        <v>367</v>
      </c>
      <c r="G399" s="15">
        <v>367</v>
      </c>
    </row>
    <row r="400" spans="1:7">
      <c r="A400" s="14">
        <v>623</v>
      </c>
      <c r="B400" s="13" t="s">
        <v>12374</v>
      </c>
      <c r="C400" s="13" t="s">
        <v>12375</v>
      </c>
      <c r="D400" s="13" t="s">
        <v>11640</v>
      </c>
      <c r="E400" s="13" t="s">
        <v>1150</v>
      </c>
      <c r="F400" s="15">
        <v>367</v>
      </c>
      <c r="G400" s="15">
        <v>367</v>
      </c>
    </row>
    <row r="401" spans="1:7">
      <c r="A401" s="14">
        <v>624</v>
      </c>
      <c r="B401" s="13" t="s">
        <v>12376</v>
      </c>
      <c r="C401" s="13" t="s">
        <v>12377</v>
      </c>
      <c r="D401" s="13" t="s">
        <v>11640</v>
      </c>
      <c r="E401" s="13" t="s">
        <v>1150</v>
      </c>
      <c r="F401" s="15">
        <v>367</v>
      </c>
      <c r="G401" s="15">
        <v>367</v>
      </c>
    </row>
    <row r="402" spans="1:7">
      <c r="A402" s="14">
        <v>625</v>
      </c>
      <c r="B402" s="13" t="s">
        <v>12378</v>
      </c>
      <c r="C402" s="13" t="s">
        <v>12379</v>
      </c>
      <c r="D402" s="13" t="s">
        <v>11640</v>
      </c>
      <c r="E402" s="13" t="s">
        <v>1150</v>
      </c>
      <c r="F402" s="15">
        <v>367</v>
      </c>
      <c r="G402" s="15">
        <v>367</v>
      </c>
    </row>
    <row r="403" spans="1:7">
      <c r="A403" s="14">
        <v>626</v>
      </c>
      <c r="B403" s="13" t="s">
        <v>12380</v>
      </c>
      <c r="C403" s="13" t="s">
        <v>12381</v>
      </c>
      <c r="D403" s="13" t="s">
        <v>11640</v>
      </c>
      <c r="E403" s="13" t="s">
        <v>1150</v>
      </c>
      <c r="F403" s="15">
        <v>367</v>
      </c>
      <c r="G403" s="15">
        <v>367</v>
      </c>
    </row>
    <row r="404" spans="1:7">
      <c r="A404" s="14">
        <v>627</v>
      </c>
      <c r="B404" s="13" t="s">
        <v>12382</v>
      </c>
      <c r="C404" s="13" t="s">
        <v>12383</v>
      </c>
      <c r="D404" s="13" t="s">
        <v>11640</v>
      </c>
      <c r="E404" s="13" t="s">
        <v>1150</v>
      </c>
      <c r="F404" s="15">
        <v>367</v>
      </c>
      <c r="G404" s="15">
        <v>367</v>
      </c>
    </row>
    <row r="405" spans="1:7">
      <c r="A405" s="14">
        <v>628</v>
      </c>
      <c r="B405" s="13" t="s">
        <v>12384</v>
      </c>
      <c r="C405" s="13" t="s">
        <v>12385</v>
      </c>
      <c r="D405" s="13" t="s">
        <v>11640</v>
      </c>
      <c r="E405" s="13" t="s">
        <v>1150</v>
      </c>
      <c r="F405" s="15">
        <v>367</v>
      </c>
      <c r="G405" s="15">
        <v>367</v>
      </c>
    </row>
    <row r="406" spans="1:7">
      <c r="A406" s="14">
        <v>629</v>
      </c>
      <c r="B406" s="13" t="s">
        <v>12386</v>
      </c>
      <c r="C406" s="13" t="s">
        <v>12387</v>
      </c>
      <c r="D406" s="13" t="s">
        <v>11640</v>
      </c>
      <c r="E406" s="13" t="s">
        <v>1150</v>
      </c>
      <c r="F406" s="15">
        <v>367</v>
      </c>
      <c r="G406" s="15">
        <v>367</v>
      </c>
    </row>
    <row r="407" spans="1:7">
      <c r="A407" s="14">
        <v>630</v>
      </c>
      <c r="B407" s="13" t="s">
        <v>12388</v>
      </c>
      <c r="C407" s="13" t="s">
        <v>12389</v>
      </c>
      <c r="D407" s="13" t="s">
        <v>11640</v>
      </c>
      <c r="E407" s="13" t="s">
        <v>1150</v>
      </c>
      <c r="F407" s="15">
        <v>367</v>
      </c>
      <c r="G407" s="15">
        <v>367</v>
      </c>
    </row>
    <row r="408" spans="1:7">
      <c r="A408" s="14">
        <v>631</v>
      </c>
      <c r="B408" s="13" t="s">
        <v>12390</v>
      </c>
      <c r="C408" s="13" t="s">
        <v>12391</v>
      </c>
      <c r="D408" s="13" t="s">
        <v>11640</v>
      </c>
      <c r="E408" s="13" t="s">
        <v>1150</v>
      </c>
      <c r="F408" s="15">
        <v>367</v>
      </c>
      <c r="G408" s="15">
        <v>367</v>
      </c>
    </row>
    <row r="409" spans="1:7">
      <c r="A409" s="14">
        <v>632</v>
      </c>
      <c r="B409" s="13" t="s">
        <v>12392</v>
      </c>
      <c r="C409" s="13" t="s">
        <v>12393</v>
      </c>
      <c r="D409" s="13" t="s">
        <v>11640</v>
      </c>
      <c r="E409" s="13" t="s">
        <v>1150</v>
      </c>
      <c r="F409" s="15">
        <v>367</v>
      </c>
      <c r="G409" s="15">
        <v>367</v>
      </c>
    </row>
    <row r="410" spans="1:7">
      <c r="A410" s="14">
        <v>633</v>
      </c>
      <c r="B410" s="13" t="s">
        <v>12394</v>
      </c>
      <c r="C410" s="13" t="s">
        <v>12395</v>
      </c>
      <c r="D410" s="13" t="s">
        <v>11640</v>
      </c>
      <c r="E410" s="13" t="s">
        <v>1150</v>
      </c>
      <c r="F410" s="15">
        <v>39965</v>
      </c>
      <c r="G410" s="15">
        <v>39965</v>
      </c>
    </row>
    <row r="411" spans="1:7">
      <c r="A411" s="14">
        <v>634</v>
      </c>
      <c r="B411" s="13" t="s">
        <v>12396</v>
      </c>
      <c r="C411" s="13" t="s">
        <v>12397</v>
      </c>
      <c r="D411" s="13" t="s">
        <v>11640</v>
      </c>
      <c r="E411" s="13" t="s">
        <v>1150</v>
      </c>
      <c r="F411" s="15">
        <v>39965</v>
      </c>
      <c r="G411" s="15">
        <v>39965</v>
      </c>
    </row>
    <row r="412" spans="1:7">
      <c r="A412" s="14">
        <v>635</v>
      </c>
      <c r="B412" s="13" t="s">
        <v>12398</v>
      </c>
      <c r="C412" s="13" t="s">
        <v>12399</v>
      </c>
      <c r="D412" s="13" t="s">
        <v>11640</v>
      </c>
      <c r="E412" s="13" t="s">
        <v>1150</v>
      </c>
      <c r="F412" s="15">
        <v>367</v>
      </c>
      <c r="G412" s="15">
        <v>367</v>
      </c>
    </row>
    <row r="413" spans="1:7">
      <c r="A413" s="14">
        <v>636</v>
      </c>
      <c r="B413" s="13" t="s">
        <v>12400</v>
      </c>
      <c r="C413" s="13" t="s">
        <v>12401</v>
      </c>
      <c r="D413" s="13" t="s">
        <v>11640</v>
      </c>
      <c r="E413" s="13" t="s">
        <v>1150</v>
      </c>
      <c r="F413" s="15">
        <v>367</v>
      </c>
      <c r="G413" s="15">
        <v>367</v>
      </c>
    </row>
    <row r="414" spans="1:7">
      <c r="A414" s="14">
        <v>637</v>
      </c>
      <c r="B414" s="13" t="s">
        <v>12402</v>
      </c>
      <c r="C414" s="13" t="s">
        <v>12403</v>
      </c>
      <c r="D414" s="13" t="s">
        <v>11640</v>
      </c>
      <c r="E414" s="13" t="s">
        <v>1150</v>
      </c>
      <c r="F414" s="15">
        <v>367</v>
      </c>
      <c r="G414" s="15">
        <v>367</v>
      </c>
    </row>
    <row r="415" spans="1:7">
      <c r="A415" s="14">
        <v>638</v>
      </c>
      <c r="B415" s="13" t="s">
        <v>12404</v>
      </c>
      <c r="C415" s="13" t="s">
        <v>12405</v>
      </c>
      <c r="D415" s="13" t="s">
        <v>11640</v>
      </c>
      <c r="E415" s="13" t="s">
        <v>1150</v>
      </c>
      <c r="F415" s="15">
        <v>367</v>
      </c>
      <c r="G415" s="15">
        <v>367</v>
      </c>
    </row>
    <row r="416" spans="1:7">
      <c r="A416" s="14">
        <v>639</v>
      </c>
      <c r="B416" s="13" t="s">
        <v>12406</v>
      </c>
      <c r="C416" s="13" t="s">
        <v>12407</v>
      </c>
      <c r="D416" s="13" t="s">
        <v>11640</v>
      </c>
      <c r="E416" s="13" t="s">
        <v>1150</v>
      </c>
      <c r="F416" s="15">
        <v>39965</v>
      </c>
      <c r="G416" s="15">
        <v>39965</v>
      </c>
    </row>
    <row r="417" spans="1:7">
      <c r="A417" s="14">
        <v>640</v>
      </c>
      <c r="B417" s="13" t="s">
        <v>12408</v>
      </c>
      <c r="C417" s="13" t="s">
        <v>12409</v>
      </c>
      <c r="D417" s="13" t="s">
        <v>11640</v>
      </c>
      <c r="E417" s="13" t="s">
        <v>1150</v>
      </c>
      <c r="F417" s="15">
        <v>367</v>
      </c>
      <c r="G417" s="15">
        <v>367</v>
      </c>
    </row>
    <row r="418" spans="1:7">
      <c r="A418" s="14">
        <v>641</v>
      </c>
      <c r="B418" s="13" t="s">
        <v>12410</v>
      </c>
      <c r="C418" s="13" t="s">
        <v>12411</v>
      </c>
      <c r="D418" s="13" t="s">
        <v>11640</v>
      </c>
      <c r="E418" s="13" t="s">
        <v>1150</v>
      </c>
      <c r="F418" s="15">
        <v>367</v>
      </c>
      <c r="G418" s="15">
        <v>367</v>
      </c>
    </row>
    <row r="419" spans="1:7">
      <c r="A419" s="14">
        <v>642</v>
      </c>
      <c r="B419" s="13" t="s">
        <v>12412</v>
      </c>
      <c r="C419" s="13" t="s">
        <v>12413</v>
      </c>
      <c r="D419" s="13" t="s">
        <v>11640</v>
      </c>
      <c r="E419" s="13" t="s">
        <v>1150</v>
      </c>
      <c r="F419" s="15">
        <v>367</v>
      </c>
      <c r="G419" s="15">
        <v>367</v>
      </c>
    </row>
    <row r="420" spans="1:7">
      <c r="A420" s="14">
        <v>643</v>
      </c>
      <c r="B420" s="13" t="s">
        <v>12414</v>
      </c>
      <c r="C420" s="13" t="s">
        <v>12415</v>
      </c>
      <c r="D420" s="13" t="s">
        <v>11640</v>
      </c>
      <c r="E420" s="13" t="s">
        <v>1150</v>
      </c>
      <c r="F420" s="15">
        <v>367</v>
      </c>
      <c r="G420" s="15">
        <v>367</v>
      </c>
    </row>
    <row r="421" spans="1:7">
      <c r="A421" s="14">
        <v>644</v>
      </c>
      <c r="B421" s="13" t="s">
        <v>12416</v>
      </c>
      <c r="C421" s="13" t="s">
        <v>12417</v>
      </c>
      <c r="D421" s="13" t="s">
        <v>11640</v>
      </c>
      <c r="E421" s="13" t="s">
        <v>1150</v>
      </c>
      <c r="F421" s="15">
        <v>367</v>
      </c>
      <c r="G421" s="15">
        <v>367</v>
      </c>
    </row>
    <row r="422" spans="1:7">
      <c r="A422" s="14">
        <v>645</v>
      </c>
      <c r="B422" s="13" t="s">
        <v>12418</v>
      </c>
      <c r="C422" s="13" t="s">
        <v>12419</v>
      </c>
      <c r="D422" s="13" t="s">
        <v>11640</v>
      </c>
      <c r="E422" s="13" t="s">
        <v>1150</v>
      </c>
      <c r="F422" s="15">
        <v>367</v>
      </c>
      <c r="G422" s="15">
        <v>367</v>
      </c>
    </row>
    <row r="423" spans="1:7">
      <c r="A423" s="14">
        <v>646</v>
      </c>
      <c r="B423" s="13" t="s">
        <v>12420</v>
      </c>
      <c r="C423" s="13" t="s">
        <v>12421</v>
      </c>
      <c r="D423" s="13" t="s">
        <v>11640</v>
      </c>
      <c r="E423" s="13" t="s">
        <v>1150</v>
      </c>
      <c r="F423" s="15">
        <v>367</v>
      </c>
      <c r="G423" s="15">
        <v>367</v>
      </c>
    </row>
    <row r="424" spans="1:7">
      <c r="A424" s="14">
        <v>647</v>
      </c>
      <c r="B424" s="13" t="s">
        <v>12422</v>
      </c>
      <c r="C424" s="13" t="s">
        <v>12423</v>
      </c>
      <c r="D424" s="13" t="s">
        <v>11640</v>
      </c>
      <c r="E424" s="13" t="s">
        <v>1150</v>
      </c>
      <c r="F424" s="15">
        <v>367</v>
      </c>
      <c r="G424" s="15">
        <v>367</v>
      </c>
    </row>
    <row r="425" spans="1:7">
      <c r="A425" s="14">
        <v>648</v>
      </c>
      <c r="B425" s="13" t="s">
        <v>12424</v>
      </c>
      <c r="C425" s="13" t="s">
        <v>12425</v>
      </c>
      <c r="D425" s="13" t="s">
        <v>11640</v>
      </c>
      <c r="E425" s="13" t="s">
        <v>1150</v>
      </c>
      <c r="F425" s="15">
        <v>367</v>
      </c>
      <c r="G425" s="15">
        <v>367</v>
      </c>
    </row>
    <row r="426" spans="1:7">
      <c r="A426" s="14">
        <v>649</v>
      </c>
      <c r="B426" s="13" t="s">
        <v>12426</v>
      </c>
      <c r="C426" s="13" t="s">
        <v>12427</v>
      </c>
      <c r="D426" s="13" t="s">
        <v>11640</v>
      </c>
      <c r="E426" s="13" t="s">
        <v>1150</v>
      </c>
      <c r="F426" s="15">
        <v>367</v>
      </c>
      <c r="G426" s="15">
        <v>367</v>
      </c>
    </row>
    <row r="427" spans="1:7">
      <c r="A427" s="14">
        <v>650</v>
      </c>
      <c r="B427" s="13" t="s">
        <v>12428</v>
      </c>
      <c r="C427" s="13" t="s">
        <v>12429</v>
      </c>
      <c r="D427" s="13" t="s">
        <v>11640</v>
      </c>
      <c r="E427" s="13" t="s">
        <v>1150</v>
      </c>
      <c r="F427" s="15">
        <v>367</v>
      </c>
      <c r="G427" s="15">
        <v>367</v>
      </c>
    </row>
    <row r="428" spans="1:7">
      <c r="A428" s="14">
        <v>651</v>
      </c>
      <c r="B428" s="13" t="s">
        <v>12430</v>
      </c>
      <c r="C428" s="13" t="s">
        <v>12431</v>
      </c>
      <c r="D428" s="13" t="s">
        <v>11640</v>
      </c>
      <c r="E428" s="13" t="s">
        <v>1150</v>
      </c>
      <c r="F428" s="15">
        <v>367</v>
      </c>
      <c r="G428" s="15">
        <v>367</v>
      </c>
    </row>
    <row r="429" spans="1:7">
      <c r="A429" s="14">
        <v>652</v>
      </c>
      <c r="B429" s="13" t="s">
        <v>12432</v>
      </c>
      <c r="C429" s="13" t="s">
        <v>12433</v>
      </c>
      <c r="D429" s="13" t="s">
        <v>11640</v>
      </c>
      <c r="E429" s="13" t="s">
        <v>1150</v>
      </c>
      <c r="F429" s="15">
        <v>367</v>
      </c>
      <c r="G429" s="15">
        <v>367</v>
      </c>
    </row>
    <row r="430" spans="1:7">
      <c r="A430" s="14">
        <v>653</v>
      </c>
      <c r="B430" s="13" t="s">
        <v>12434</v>
      </c>
      <c r="C430" s="13" t="s">
        <v>12435</v>
      </c>
      <c r="D430" s="13" t="s">
        <v>11640</v>
      </c>
      <c r="E430" s="13" t="s">
        <v>1150</v>
      </c>
      <c r="F430" s="15">
        <v>39965</v>
      </c>
      <c r="G430" s="15">
        <v>39965</v>
      </c>
    </row>
    <row r="431" spans="1:7">
      <c r="A431" s="14">
        <v>654</v>
      </c>
      <c r="B431" s="13" t="s">
        <v>12436</v>
      </c>
      <c r="C431" s="13" t="s">
        <v>12437</v>
      </c>
      <c r="D431" s="13" t="s">
        <v>11640</v>
      </c>
      <c r="E431" s="13" t="s">
        <v>1150</v>
      </c>
      <c r="F431" s="15">
        <v>39965</v>
      </c>
      <c r="G431" s="15">
        <v>39965</v>
      </c>
    </row>
    <row r="432" spans="1:7">
      <c r="A432" s="14">
        <v>655</v>
      </c>
      <c r="B432" s="13" t="s">
        <v>12438</v>
      </c>
      <c r="C432" s="13" t="s">
        <v>12439</v>
      </c>
      <c r="D432" s="13" t="s">
        <v>11640</v>
      </c>
      <c r="E432" s="13" t="s">
        <v>1150</v>
      </c>
      <c r="F432" s="15">
        <v>367</v>
      </c>
      <c r="G432" s="15">
        <v>367</v>
      </c>
    </row>
    <row r="433" spans="1:7">
      <c r="A433" s="14">
        <v>656</v>
      </c>
      <c r="B433" s="13" t="s">
        <v>12440</v>
      </c>
      <c r="C433" s="13" t="s">
        <v>12441</v>
      </c>
      <c r="D433" s="13" t="s">
        <v>11640</v>
      </c>
      <c r="E433" s="13" t="s">
        <v>1150</v>
      </c>
      <c r="F433" s="15">
        <v>367</v>
      </c>
      <c r="G433" s="15">
        <v>367</v>
      </c>
    </row>
    <row r="434" spans="1:7">
      <c r="A434" s="14">
        <v>657</v>
      </c>
      <c r="B434" s="13" t="s">
        <v>12442</v>
      </c>
      <c r="C434" s="13" t="s">
        <v>12443</v>
      </c>
      <c r="D434" s="13" t="s">
        <v>11640</v>
      </c>
      <c r="E434" s="13" t="s">
        <v>1150</v>
      </c>
      <c r="F434" s="15">
        <v>367</v>
      </c>
      <c r="G434" s="15">
        <v>367</v>
      </c>
    </row>
    <row r="435" spans="1:7">
      <c r="A435" s="14">
        <v>658</v>
      </c>
      <c r="B435" s="13" t="s">
        <v>12444</v>
      </c>
      <c r="C435" s="13" t="s">
        <v>12445</v>
      </c>
      <c r="D435" s="13" t="s">
        <v>11640</v>
      </c>
      <c r="E435" s="13" t="s">
        <v>1150</v>
      </c>
      <c r="F435" s="15">
        <v>367</v>
      </c>
      <c r="G435" s="15">
        <v>367</v>
      </c>
    </row>
    <row r="436" spans="1:7">
      <c r="A436" s="14">
        <v>659</v>
      </c>
      <c r="B436" s="13" t="s">
        <v>12446</v>
      </c>
      <c r="C436" s="13" t="s">
        <v>12447</v>
      </c>
      <c r="D436" s="13" t="s">
        <v>11640</v>
      </c>
      <c r="E436" s="13" t="s">
        <v>1150</v>
      </c>
      <c r="F436" s="15">
        <v>367</v>
      </c>
      <c r="G436" s="15">
        <v>367</v>
      </c>
    </row>
    <row r="437" spans="1:7">
      <c r="A437" s="14">
        <v>660</v>
      </c>
      <c r="B437" s="13" t="s">
        <v>12448</v>
      </c>
      <c r="C437" s="13" t="s">
        <v>12449</v>
      </c>
      <c r="D437" s="13" t="s">
        <v>11640</v>
      </c>
      <c r="E437" s="13" t="s">
        <v>1150</v>
      </c>
      <c r="F437" s="15">
        <v>367</v>
      </c>
      <c r="G437" s="15">
        <v>367</v>
      </c>
    </row>
    <row r="438" spans="1:7">
      <c r="A438" s="14">
        <v>661</v>
      </c>
      <c r="B438" s="13" t="s">
        <v>12450</v>
      </c>
      <c r="C438" s="13" t="s">
        <v>12451</v>
      </c>
      <c r="D438" s="13" t="s">
        <v>11640</v>
      </c>
      <c r="E438" s="13" t="s">
        <v>1150</v>
      </c>
      <c r="F438" s="15">
        <v>367</v>
      </c>
      <c r="G438" s="15">
        <v>367</v>
      </c>
    </row>
    <row r="439" spans="1:7">
      <c r="A439" s="14">
        <v>662</v>
      </c>
      <c r="B439" s="13" t="s">
        <v>12452</v>
      </c>
      <c r="C439" s="13" t="s">
        <v>12453</v>
      </c>
      <c r="D439" s="13" t="s">
        <v>11640</v>
      </c>
      <c r="E439" s="13" t="s">
        <v>1150</v>
      </c>
      <c r="F439" s="15">
        <v>367</v>
      </c>
      <c r="G439" s="15">
        <v>367</v>
      </c>
    </row>
    <row r="440" spans="1:7">
      <c r="A440" s="14">
        <v>663</v>
      </c>
      <c r="B440" s="13" t="s">
        <v>12454</v>
      </c>
      <c r="C440" s="13" t="s">
        <v>12455</v>
      </c>
      <c r="D440" s="13" t="s">
        <v>11640</v>
      </c>
      <c r="E440" s="13" t="s">
        <v>1150</v>
      </c>
      <c r="F440" s="15">
        <v>367</v>
      </c>
      <c r="G440" s="15">
        <v>367</v>
      </c>
    </row>
    <row r="441" spans="1:7">
      <c r="A441" s="14">
        <v>664</v>
      </c>
      <c r="B441" s="13" t="s">
        <v>12456</v>
      </c>
      <c r="C441" s="13" t="s">
        <v>12457</v>
      </c>
      <c r="D441" s="13" t="s">
        <v>11640</v>
      </c>
      <c r="E441" s="13" t="s">
        <v>1150</v>
      </c>
      <c r="F441" s="15">
        <v>367</v>
      </c>
      <c r="G441" s="15">
        <v>367</v>
      </c>
    </row>
    <row r="442" spans="1:7">
      <c r="A442" s="14">
        <v>665</v>
      </c>
      <c r="B442" s="13" t="s">
        <v>12458</v>
      </c>
      <c r="C442" s="13" t="s">
        <v>12459</v>
      </c>
      <c r="D442" s="13" t="s">
        <v>11640</v>
      </c>
      <c r="E442" s="13" t="s">
        <v>1150</v>
      </c>
      <c r="F442" s="15">
        <v>367</v>
      </c>
      <c r="G442" s="15">
        <v>367</v>
      </c>
    </row>
    <row r="443" spans="1:7">
      <c r="A443" s="14">
        <v>666</v>
      </c>
      <c r="B443" s="13" t="s">
        <v>12460</v>
      </c>
      <c r="C443" s="13" t="s">
        <v>12461</v>
      </c>
      <c r="D443" s="13" t="s">
        <v>11640</v>
      </c>
      <c r="E443" s="13" t="s">
        <v>1150</v>
      </c>
      <c r="F443" s="15">
        <v>367</v>
      </c>
      <c r="G443" s="15">
        <v>367</v>
      </c>
    </row>
    <row r="444" spans="1:7">
      <c r="A444" s="14">
        <v>667</v>
      </c>
      <c r="B444" s="13" t="s">
        <v>12462</v>
      </c>
      <c r="C444" s="13" t="s">
        <v>12463</v>
      </c>
      <c r="D444" s="13" t="s">
        <v>11640</v>
      </c>
      <c r="E444" s="13" t="s">
        <v>1150</v>
      </c>
      <c r="F444" s="15">
        <v>367</v>
      </c>
      <c r="G444" s="15">
        <v>367</v>
      </c>
    </row>
    <row r="445" spans="1:7">
      <c r="A445" s="14">
        <v>668</v>
      </c>
      <c r="B445" s="13" t="s">
        <v>12464</v>
      </c>
      <c r="C445" s="13" t="s">
        <v>12465</v>
      </c>
      <c r="D445" s="13" t="s">
        <v>11640</v>
      </c>
      <c r="E445" s="13" t="s">
        <v>1150</v>
      </c>
      <c r="F445" s="15">
        <v>367</v>
      </c>
      <c r="G445" s="15">
        <v>367</v>
      </c>
    </row>
    <row r="446" spans="1:7">
      <c r="A446" s="14">
        <v>669</v>
      </c>
      <c r="B446" s="13" t="s">
        <v>12466</v>
      </c>
      <c r="C446" s="13" t="s">
        <v>12467</v>
      </c>
      <c r="D446" s="13" t="s">
        <v>11640</v>
      </c>
      <c r="E446" s="13" t="s">
        <v>1150</v>
      </c>
      <c r="F446" s="15">
        <v>367</v>
      </c>
      <c r="G446" s="15">
        <v>367</v>
      </c>
    </row>
    <row r="447" spans="1:7">
      <c r="A447" s="14">
        <v>670</v>
      </c>
      <c r="B447" s="13" t="s">
        <v>12468</v>
      </c>
      <c r="C447" s="13" t="s">
        <v>12469</v>
      </c>
      <c r="D447" s="13" t="s">
        <v>11640</v>
      </c>
      <c r="E447" s="13" t="s">
        <v>1150</v>
      </c>
      <c r="F447" s="15">
        <v>39965</v>
      </c>
      <c r="G447" s="15">
        <v>39965</v>
      </c>
    </row>
    <row r="448" spans="1:7">
      <c r="A448" s="14">
        <v>671</v>
      </c>
      <c r="B448" s="13" t="s">
        <v>12470</v>
      </c>
      <c r="C448" s="13" t="s">
        <v>12471</v>
      </c>
      <c r="D448" s="13" t="s">
        <v>11640</v>
      </c>
      <c r="E448" s="13" t="s">
        <v>1150</v>
      </c>
      <c r="F448" s="15">
        <v>367</v>
      </c>
      <c r="G448" s="15">
        <v>367</v>
      </c>
    </row>
    <row r="449" spans="1:7">
      <c r="A449" s="14">
        <v>672</v>
      </c>
      <c r="B449" s="13" t="s">
        <v>12472</v>
      </c>
      <c r="C449" s="13" t="s">
        <v>12473</v>
      </c>
      <c r="D449" s="13" t="s">
        <v>11640</v>
      </c>
      <c r="E449" s="13" t="s">
        <v>1150</v>
      </c>
      <c r="F449" s="15">
        <v>39965</v>
      </c>
      <c r="G449" s="15">
        <v>39965</v>
      </c>
    </row>
    <row r="450" spans="1:7">
      <c r="A450" s="14">
        <v>673</v>
      </c>
      <c r="B450" s="13" t="s">
        <v>12474</v>
      </c>
      <c r="C450" s="13" t="s">
        <v>12475</v>
      </c>
      <c r="D450" s="13" t="s">
        <v>11640</v>
      </c>
      <c r="E450" s="13" t="s">
        <v>1150</v>
      </c>
      <c r="F450" s="15">
        <v>367</v>
      </c>
      <c r="G450" s="15">
        <v>367</v>
      </c>
    </row>
    <row r="451" spans="1:7">
      <c r="A451" s="14">
        <v>674</v>
      </c>
      <c r="B451" s="13" t="s">
        <v>12476</v>
      </c>
      <c r="C451" s="13" t="s">
        <v>12477</v>
      </c>
      <c r="D451" s="13" t="s">
        <v>11640</v>
      </c>
      <c r="E451" s="13" t="s">
        <v>1150</v>
      </c>
      <c r="F451" s="15">
        <v>367</v>
      </c>
      <c r="G451" s="15">
        <v>367</v>
      </c>
    </row>
    <row r="452" spans="1:7">
      <c r="A452" s="14">
        <v>675</v>
      </c>
      <c r="B452" s="13" t="s">
        <v>12478</v>
      </c>
      <c r="C452" s="13" t="s">
        <v>12479</v>
      </c>
      <c r="D452" s="13" t="s">
        <v>11640</v>
      </c>
      <c r="E452" s="13" t="s">
        <v>1150</v>
      </c>
      <c r="F452" s="15">
        <v>367</v>
      </c>
      <c r="G452" s="15">
        <v>367</v>
      </c>
    </row>
    <row r="453" spans="1:7">
      <c r="A453" s="14">
        <v>676</v>
      </c>
      <c r="B453" s="13" t="s">
        <v>12480</v>
      </c>
      <c r="C453" s="13" t="s">
        <v>12481</v>
      </c>
      <c r="D453" s="13" t="s">
        <v>11640</v>
      </c>
      <c r="E453" s="13" t="s">
        <v>1150</v>
      </c>
      <c r="F453" s="15">
        <v>367</v>
      </c>
      <c r="G453" s="15">
        <v>367</v>
      </c>
    </row>
    <row r="454" spans="1:7">
      <c r="A454" s="14">
        <v>677</v>
      </c>
      <c r="B454" s="13" t="s">
        <v>12482</v>
      </c>
      <c r="C454" s="13" t="s">
        <v>12483</v>
      </c>
      <c r="D454" s="13" t="s">
        <v>11640</v>
      </c>
      <c r="E454" s="13" t="s">
        <v>1150</v>
      </c>
      <c r="F454" s="15">
        <v>367</v>
      </c>
      <c r="G454" s="15">
        <v>367</v>
      </c>
    </row>
    <row r="455" spans="1:7">
      <c r="A455" s="14">
        <v>678</v>
      </c>
      <c r="B455" s="13" t="s">
        <v>12484</v>
      </c>
      <c r="C455" s="13" t="s">
        <v>12485</v>
      </c>
      <c r="D455" s="13" t="s">
        <v>11640</v>
      </c>
      <c r="E455" s="13" t="s">
        <v>1150</v>
      </c>
      <c r="F455" s="15">
        <v>37561</v>
      </c>
      <c r="G455" s="15">
        <v>37561</v>
      </c>
    </row>
    <row r="456" spans="1:7">
      <c r="A456" s="14">
        <v>679</v>
      </c>
      <c r="B456" s="13" t="s">
        <v>12486</v>
      </c>
      <c r="C456" s="13" t="s">
        <v>12487</v>
      </c>
      <c r="D456" s="13" t="s">
        <v>11640</v>
      </c>
      <c r="E456" s="13" t="s">
        <v>1150</v>
      </c>
      <c r="F456" s="15">
        <v>37436</v>
      </c>
      <c r="G456" s="15">
        <v>37436</v>
      </c>
    </row>
    <row r="457" spans="1:7">
      <c r="A457" s="14">
        <v>680</v>
      </c>
      <c r="B457" s="13" t="s">
        <v>12488</v>
      </c>
      <c r="C457" s="13" t="s">
        <v>12489</v>
      </c>
      <c r="D457" s="13" t="s">
        <v>11640</v>
      </c>
      <c r="E457" s="13" t="s">
        <v>1150</v>
      </c>
      <c r="F457" s="15">
        <v>367</v>
      </c>
      <c r="G457" s="15">
        <v>367</v>
      </c>
    </row>
    <row r="458" spans="1:7">
      <c r="A458" s="14">
        <v>681</v>
      </c>
      <c r="B458" s="13" t="s">
        <v>12490</v>
      </c>
      <c r="C458" s="13" t="s">
        <v>12491</v>
      </c>
      <c r="D458" s="13" t="s">
        <v>11640</v>
      </c>
      <c r="E458" s="13" t="s">
        <v>1150</v>
      </c>
      <c r="F458" s="15">
        <v>367</v>
      </c>
      <c r="G458" s="15">
        <v>367</v>
      </c>
    </row>
    <row r="459" spans="1:7">
      <c r="A459" s="14">
        <v>682</v>
      </c>
      <c r="B459" s="13" t="s">
        <v>12492</v>
      </c>
      <c r="C459" s="13" t="s">
        <v>12493</v>
      </c>
      <c r="D459" s="13" t="s">
        <v>11640</v>
      </c>
      <c r="E459" s="13" t="s">
        <v>1150</v>
      </c>
      <c r="F459" s="15">
        <v>367</v>
      </c>
      <c r="G459" s="15">
        <v>367</v>
      </c>
    </row>
    <row r="460" spans="1:7">
      <c r="A460" s="14">
        <v>683</v>
      </c>
      <c r="B460" s="13" t="s">
        <v>12494</v>
      </c>
      <c r="C460" s="13" t="s">
        <v>12495</v>
      </c>
      <c r="D460" s="13" t="s">
        <v>11640</v>
      </c>
      <c r="E460" s="13" t="s">
        <v>1150</v>
      </c>
      <c r="F460" s="15">
        <v>38170</v>
      </c>
      <c r="G460" s="15">
        <v>38170</v>
      </c>
    </row>
    <row r="461" spans="1:7">
      <c r="A461" s="14">
        <v>685</v>
      </c>
      <c r="B461" s="13" t="s">
        <v>12496</v>
      </c>
      <c r="C461" s="13" t="s">
        <v>12497</v>
      </c>
      <c r="D461" s="13" t="s">
        <v>11640</v>
      </c>
      <c r="E461" s="13" t="s">
        <v>1150</v>
      </c>
      <c r="F461" s="15">
        <v>39083</v>
      </c>
      <c r="G461" s="15">
        <v>39083</v>
      </c>
    </row>
    <row r="462" spans="1:7">
      <c r="A462" s="14">
        <v>686</v>
      </c>
      <c r="B462" s="13" t="s">
        <v>12498</v>
      </c>
      <c r="C462" s="13" t="s">
        <v>12499</v>
      </c>
      <c r="D462" s="13" t="s">
        <v>11640</v>
      </c>
      <c r="E462" s="13" t="s">
        <v>1150</v>
      </c>
      <c r="F462" s="15">
        <v>38322</v>
      </c>
      <c r="G462" s="15">
        <v>38322</v>
      </c>
    </row>
    <row r="463" spans="1:7">
      <c r="A463" s="14">
        <v>687</v>
      </c>
      <c r="B463" s="13" t="s">
        <v>12500</v>
      </c>
      <c r="C463" s="13" t="s">
        <v>12501</v>
      </c>
      <c r="D463" s="13" t="s">
        <v>11640</v>
      </c>
      <c r="E463" s="13" t="s">
        <v>1150</v>
      </c>
      <c r="F463" s="15">
        <v>39269</v>
      </c>
      <c r="G463" s="15">
        <v>39269</v>
      </c>
    </row>
    <row r="464" spans="1:7">
      <c r="A464" s="14">
        <v>688</v>
      </c>
      <c r="B464" s="13" t="s">
        <v>12502</v>
      </c>
      <c r="C464" s="13" t="s">
        <v>12503</v>
      </c>
      <c r="D464" s="13" t="s">
        <v>11640</v>
      </c>
      <c r="E464" s="13" t="s">
        <v>1150</v>
      </c>
      <c r="F464" s="15">
        <v>39392</v>
      </c>
      <c r="G464" s="15">
        <v>39392</v>
      </c>
    </row>
    <row r="465" spans="1:7">
      <c r="A465" s="14">
        <v>689</v>
      </c>
      <c r="B465" s="13" t="s">
        <v>12504</v>
      </c>
      <c r="C465" s="13" t="s">
        <v>12505</v>
      </c>
      <c r="D465" s="13" t="s">
        <v>11640</v>
      </c>
      <c r="E465" s="13" t="s">
        <v>1150</v>
      </c>
      <c r="F465" s="15">
        <v>39965</v>
      </c>
      <c r="G465" s="15">
        <v>39965</v>
      </c>
    </row>
    <row r="466" spans="1:7">
      <c r="A466" s="14">
        <v>690</v>
      </c>
      <c r="B466" s="13" t="s">
        <v>12506</v>
      </c>
      <c r="C466" s="13" t="s">
        <v>12507</v>
      </c>
      <c r="D466" s="13" t="s">
        <v>11640</v>
      </c>
      <c r="E466" s="13" t="s">
        <v>1150</v>
      </c>
      <c r="F466" s="15">
        <v>39965</v>
      </c>
      <c r="G466" s="15">
        <v>39965</v>
      </c>
    </row>
    <row r="467" spans="1:7">
      <c r="A467" s="14">
        <v>691</v>
      </c>
      <c r="B467" s="13" t="s">
        <v>12508</v>
      </c>
      <c r="C467" s="13" t="s">
        <v>12509</v>
      </c>
      <c r="D467" s="13" t="s">
        <v>11640</v>
      </c>
      <c r="E467" s="13" t="s">
        <v>1150</v>
      </c>
      <c r="F467" s="15">
        <v>39965</v>
      </c>
      <c r="G467" s="15">
        <v>39965</v>
      </c>
    </row>
    <row r="468" spans="1:7">
      <c r="A468" s="14">
        <v>692</v>
      </c>
      <c r="B468" s="13" t="s">
        <v>12510</v>
      </c>
      <c r="C468" s="13" t="s">
        <v>12511</v>
      </c>
      <c r="D468" s="13" t="s">
        <v>11640</v>
      </c>
      <c r="E468" s="13" t="s">
        <v>1150</v>
      </c>
      <c r="F468" s="15">
        <v>39965</v>
      </c>
      <c r="G468" s="15">
        <v>39965</v>
      </c>
    </row>
    <row r="469" spans="1:7">
      <c r="A469" s="14">
        <v>693</v>
      </c>
      <c r="B469" s="13" t="s">
        <v>12512</v>
      </c>
      <c r="C469" s="13" t="s">
        <v>12513</v>
      </c>
      <c r="D469" s="13" t="s">
        <v>11640</v>
      </c>
      <c r="E469" s="13" t="s">
        <v>1150</v>
      </c>
      <c r="F469" s="15">
        <v>40452</v>
      </c>
      <c r="G469" s="15">
        <v>40452</v>
      </c>
    </row>
    <row r="470" spans="1:7">
      <c r="A470" s="14">
        <v>694</v>
      </c>
      <c r="B470" s="13" t="s">
        <v>12514</v>
      </c>
      <c r="C470" s="13" t="s">
        <v>12515</v>
      </c>
      <c r="D470" s="13" t="s">
        <v>11640</v>
      </c>
      <c r="E470" s="13" t="s">
        <v>1150</v>
      </c>
      <c r="F470" s="15">
        <v>39965</v>
      </c>
      <c r="G470" s="15">
        <v>39965</v>
      </c>
    </row>
    <row r="471" spans="1:7">
      <c r="A471" s="14">
        <v>695</v>
      </c>
      <c r="B471" s="13" t="s">
        <v>12516</v>
      </c>
      <c r="C471" s="13" t="s">
        <v>12517</v>
      </c>
      <c r="D471" s="13" t="s">
        <v>11640</v>
      </c>
      <c r="E471" s="13" t="s">
        <v>1150</v>
      </c>
      <c r="F471" s="15">
        <v>41030</v>
      </c>
      <c r="G471" s="15">
        <v>41030</v>
      </c>
    </row>
    <row r="472" spans="1:7">
      <c r="A472" s="14">
        <v>697</v>
      </c>
      <c r="B472" s="13" t="s">
        <v>12518</v>
      </c>
      <c r="C472" s="13" t="s">
        <v>12519</v>
      </c>
      <c r="D472" s="13" t="s">
        <v>11640</v>
      </c>
      <c r="E472" s="13" t="s">
        <v>1150</v>
      </c>
      <c r="F472" s="15">
        <v>43405</v>
      </c>
      <c r="G472" s="15">
        <v>43405</v>
      </c>
    </row>
    <row r="473" spans="1:7">
      <c r="A473" s="14">
        <v>699</v>
      </c>
      <c r="B473" s="13" t="s">
        <v>12520</v>
      </c>
      <c r="C473" s="13" t="s">
        <v>12521</v>
      </c>
      <c r="D473" s="13" t="s">
        <v>11640</v>
      </c>
      <c r="E473" s="13" t="s">
        <v>1150</v>
      </c>
      <c r="F473" s="15">
        <v>42370</v>
      </c>
      <c r="G473" s="15">
        <v>42370</v>
      </c>
    </row>
    <row r="474" spans="1:7">
      <c r="A474" s="14">
        <v>701</v>
      </c>
      <c r="B474" s="13" t="s">
        <v>12522</v>
      </c>
      <c r="C474" s="13" t="s">
        <v>12523</v>
      </c>
      <c r="D474" s="13" t="s">
        <v>11640</v>
      </c>
      <c r="E474" s="13" t="s">
        <v>1150</v>
      </c>
      <c r="F474" s="15">
        <v>44013</v>
      </c>
      <c r="G474" s="15">
        <v>44013</v>
      </c>
    </row>
    <row r="475" spans="1:7">
      <c r="A475" s="14">
        <v>703</v>
      </c>
      <c r="B475" s="13" t="s">
        <v>12524</v>
      </c>
      <c r="C475" s="13" t="s">
        <v>12525</v>
      </c>
      <c r="D475" s="13" t="s">
        <v>11640</v>
      </c>
      <c r="E475" s="13" t="s">
        <v>1150</v>
      </c>
      <c r="F475" s="15">
        <v>44896</v>
      </c>
      <c r="G475" s="15">
        <v>44896</v>
      </c>
    </row>
    <row r="476" spans="1:7">
      <c r="A476" s="14">
        <v>704</v>
      </c>
      <c r="B476" s="13" t="s">
        <v>12526</v>
      </c>
      <c r="C476" s="13" t="s">
        <v>12527</v>
      </c>
      <c r="D476" s="13" t="s">
        <v>11640</v>
      </c>
      <c r="E476" s="13" t="s">
        <v>1150</v>
      </c>
      <c r="F476" s="15">
        <v>44927</v>
      </c>
      <c r="G476" s="15">
        <v>44927</v>
      </c>
    </row>
    <row r="477" spans="1:7">
      <c r="A477" s="14">
        <v>705</v>
      </c>
      <c r="B477" s="13" t="s">
        <v>12528</v>
      </c>
      <c r="C477" s="13" t="s">
        <v>12529</v>
      </c>
      <c r="D477" s="13" t="s">
        <v>11640</v>
      </c>
      <c r="E477" s="13" t="s">
        <v>1150</v>
      </c>
      <c r="F477" s="15">
        <v>44927</v>
      </c>
      <c r="G477" s="15">
        <v>44927</v>
      </c>
    </row>
    <row r="478" spans="1:7">
      <c r="A478" s="14">
        <v>706</v>
      </c>
      <c r="B478" s="13" t="s">
        <v>12530</v>
      </c>
      <c r="C478" s="13" t="s">
        <v>12531</v>
      </c>
      <c r="D478" s="13" t="s">
        <v>11640</v>
      </c>
      <c r="E478" s="13" t="s">
        <v>1150</v>
      </c>
      <c r="F478" s="15">
        <v>44927</v>
      </c>
      <c r="G478" s="15">
        <v>44927</v>
      </c>
    </row>
    <row r="479" spans="1:7">
      <c r="A479" s="14">
        <v>707</v>
      </c>
      <c r="B479" s="13" t="s">
        <v>12532</v>
      </c>
      <c r="C479" s="13" t="s">
        <v>12533</v>
      </c>
      <c r="D479" s="13" t="s">
        <v>11640</v>
      </c>
      <c r="E479" s="13" t="s">
        <v>1150</v>
      </c>
      <c r="F479" s="15">
        <v>44896</v>
      </c>
      <c r="G479" s="15">
        <v>44896</v>
      </c>
    </row>
    <row r="480" spans="1:7">
      <c r="A480" s="14">
        <v>1005</v>
      </c>
      <c r="B480" s="13" t="s">
        <v>12534</v>
      </c>
      <c r="C480" s="13" t="s">
        <v>12535</v>
      </c>
      <c r="D480" s="13" t="s">
        <v>12536</v>
      </c>
      <c r="E480" s="13" t="s">
        <v>1150</v>
      </c>
      <c r="F480" s="15">
        <v>367</v>
      </c>
      <c r="G480" s="15">
        <v>367</v>
      </c>
    </row>
    <row r="481" spans="1:7">
      <c r="A481" s="14">
        <v>1007</v>
      </c>
      <c r="B481" s="13" t="s">
        <v>12537</v>
      </c>
      <c r="C481" s="13" t="s">
        <v>12538</v>
      </c>
      <c r="D481" s="13" t="s">
        <v>12536</v>
      </c>
      <c r="E481" s="13" t="s">
        <v>1150</v>
      </c>
      <c r="F481" s="15">
        <v>367</v>
      </c>
      <c r="G481" s="15">
        <v>367</v>
      </c>
    </row>
    <row r="482" spans="1:7">
      <c r="A482" s="14">
        <v>1008</v>
      </c>
      <c r="B482" s="13" t="s">
        <v>12539</v>
      </c>
      <c r="C482" s="13" t="s">
        <v>12540</v>
      </c>
      <c r="D482" s="13" t="s">
        <v>12536</v>
      </c>
      <c r="E482" s="13" t="s">
        <v>1150</v>
      </c>
      <c r="F482" s="15">
        <v>367</v>
      </c>
      <c r="G482" s="15">
        <v>367</v>
      </c>
    </row>
    <row r="483" spans="1:7">
      <c r="A483" s="14">
        <v>1011</v>
      </c>
      <c r="B483" s="13" t="s">
        <v>12541</v>
      </c>
      <c r="C483" s="13" t="s">
        <v>12542</v>
      </c>
      <c r="D483" s="13" t="s">
        <v>12536</v>
      </c>
      <c r="E483" s="13" t="s">
        <v>1150</v>
      </c>
      <c r="F483" s="15">
        <v>367</v>
      </c>
      <c r="G483" s="15">
        <v>367</v>
      </c>
    </row>
    <row r="484" spans="1:7">
      <c r="A484" s="14">
        <v>1013</v>
      </c>
      <c r="B484" s="13" t="s">
        <v>12543</v>
      </c>
      <c r="C484" s="13" t="s">
        <v>12544</v>
      </c>
      <c r="D484" s="13" t="s">
        <v>12536</v>
      </c>
      <c r="E484" s="13" t="s">
        <v>1150</v>
      </c>
      <c r="F484" s="15">
        <v>367</v>
      </c>
      <c r="G484" s="15">
        <v>367</v>
      </c>
    </row>
    <row r="485" spans="1:7">
      <c r="A485" s="14">
        <v>1014</v>
      </c>
      <c r="B485" s="13" t="s">
        <v>12545</v>
      </c>
      <c r="C485" s="13" t="s">
        <v>12546</v>
      </c>
      <c r="D485" s="13" t="s">
        <v>12536</v>
      </c>
      <c r="E485" s="13" t="s">
        <v>1150</v>
      </c>
      <c r="F485" s="15">
        <v>367</v>
      </c>
      <c r="G485" s="15">
        <v>367</v>
      </c>
    </row>
    <row r="486" spans="1:7">
      <c r="A486" s="14">
        <v>1019</v>
      </c>
      <c r="B486" s="13" t="s">
        <v>12547</v>
      </c>
      <c r="C486" s="13" t="s">
        <v>12548</v>
      </c>
      <c r="D486" s="13" t="s">
        <v>12536</v>
      </c>
      <c r="E486" s="13" t="s">
        <v>1150</v>
      </c>
      <c r="F486" s="15">
        <v>367</v>
      </c>
      <c r="G486" s="15">
        <v>367</v>
      </c>
    </row>
    <row r="487" spans="1:7">
      <c r="A487" s="14">
        <v>1021</v>
      </c>
      <c r="B487" s="13" t="s">
        <v>12549</v>
      </c>
      <c r="C487" s="13" t="s">
        <v>12550</v>
      </c>
      <c r="D487" s="13" t="s">
        <v>12536</v>
      </c>
      <c r="E487" s="13" t="s">
        <v>1150</v>
      </c>
      <c r="F487" s="15">
        <v>367</v>
      </c>
      <c r="G487" s="15">
        <v>367</v>
      </c>
    </row>
    <row r="488" spans="1:7">
      <c r="A488" s="14">
        <v>1024</v>
      </c>
      <c r="B488" s="13" t="s">
        <v>12551</v>
      </c>
      <c r="C488" s="13" t="s">
        <v>12552</v>
      </c>
      <c r="D488" s="13" t="s">
        <v>12536</v>
      </c>
      <c r="E488" s="13" t="s">
        <v>1150</v>
      </c>
      <c r="F488" s="15">
        <v>367</v>
      </c>
      <c r="G488" s="15">
        <v>367</v>
      </c>
    </row>
    <row r="489" spans="1:7">
      <c r="A489" s="14">
        <v>1025</v>
      </c>
      <c r="B489" s="13" t="s">
        <v>12553</v>
      </c>
      <c r="C489" s="13" t="s">
        <v>12554</v>
      </c>
      <c r="D489" s="13" t="s">
        <v>12536</v>
      </c>
      <c r="E489" s="13" t="s">
        <v>1150</v>
      </c>
      <c r="F489" s="15">
        <v>367</v>
      </c>
      <c r="G489" s="15">
        <v>367</v>
      </c>
    </row>
    <row r="490" spans="1:7">
      <c r="A490" s="14">
        <v>1027</v>
      </c>
      <c r="B490" s="13" t="s">
        <v>12555</v>
      </c>
      <c r="C490" s="13" t="s">
        <v>12556</v>
      </c>
      <c r="D490" s="13" t="s">
        <v>12536</v>
      </c>
      <c r="E490" s="13" t="s">
        <v>1150</v>
      </c>
      <c r="F490" s="15">
        <v>367</v>
      </c>
      <c r="G490" s="15">
        <v>367</v>
      </c>
    </row>
    <row r="491" spans="1:7">
      <c r="A491" s="14">
        <v>1028</v>
      </c>
      <c r="B491" s="13" t="s">
        <v>12557</v>
      </c>
      <c r="C491" s="13" t="s">
        <v>12558</v>
      </c>
      <c r="D491" s="13" t="s">
        <v>12536</v>
      </c>
      <c r="E491" s="13" t="s">
        <v>1150</v>
      </c>
      <c r="F491" s="15">
        <v>367</v>
      </c>
      <c r="G491" s="15">
        <v>367</v>
      </c>
    </row>
    <row r="492" spans="1:7">
      <c r="A492" s="14">
        <v>1029</v>
      </c>
      <c r="B492" s="13" t="s">
        <v>12559</v>
      </c>
      <c r="C492" s="13" t="s">
        <v>12560</v>
      </c>
      <c r="D492" s="13" t="s">
        <v>12536</v>
      </c>
      <c r="E492" s="13" t="s">
        <v>1150</v>
      </c>
      <c r="F492" s="15">
        <v>367</v>
      </c>
      <c r="G492" s="15">
        <v>367</v>
      </c>
    </row>
    <row r="493" spans="1:7">
      <c r="A493" s="14">
        <v>1032</v>
      </c>
      <c r="B493" s="13" t="s">
        <v>12561</v>
      </c>
      <c r="C493" s="13" t="s">
        <v>12562</v>
      </c>
      <c r="D493" s="13" t="s">
        <v>12536</v>
      </c>
      <c r="E493" s="13" t="s">
        <v>1150</v>
      </c>
      <c r="F493" s="15">
        <v>367</v>
      </c>
      <c r="G493" s="15">
        <v>367</v>
      </c>
    </row>
    <row r="494" spans="1:7">
      <c r="A494" s="14">
        <v>1033</v>
      </c>
      <c r="B494" s="13" t="s">
        <v>12563</v>
      </c>
      <c r="C494" s="13" t="s">
        <v>12564</v>
      </c>
      <c r="D494" s="13" t="s">
        <v>12536</v>
      </c>
      <c r="E494" s="13" t="s">
        <v>1150</v>
      </c>
      <c r="F494" s="15">
        <v>367</v>
      </c>
      <c r="G494" s="15">
        <v>367</v>
      </c>
    </row>
    <row r="495" spans="1:7">
      <c r="A495" s="14">
        <v>1036</v>
      </c>
      <c r="B495" s="13" t="s">
        <v>12565</v>
      </c>
      <c r="C495" s="13" t="s">
        <v>12566</v>
      </c>
      <c r="D495" s="13" t="s">
        <v>12536</v>
      </c>
      <c r="E495" s="13" t="s">
        <v>1150</v>
      </c>
      <c r="F495" s="15">
        <v>367</v>
      </c>
      <c r="G495" s="15">
        <v>367</v>
      </c>
    </row>
    <row r="496" spans="1:7">
      <c r="A496" s="14">
        <v>1039</v>
      </c>
      <c r="B496" s="13" t="s">
        <v>12567</v>
      </c>
      <c r="C496" s="13" t="s">
        <v>12568</v>
      </c>
      <c r="D496" s="13" t="s">
        <v>12536</v>
      </c>
      <c r="E496" s="13" t="s">
        <v>1150</v>
      </c>
      <c r="F496" s="15">
        <v>367</v>
      </c>
      <c r="G496" s="15">
        <v>367</v>
      </c>
    </row>
    <row r="497" spans="1:7">
      <c r="A497" s="14">
        <v>1040</v>
      </c>
      <c r="B497" s="13" t="s">
        <v>12569</v>
      </c>
      <c r="C497" s="13" t="s">
        <v>12570</v>
      </c>
      <c r="D497" s="13" t="s">
        <v>12536</v>
      </c>
      <c r="E497" s="13" t="s">
        <v>1150</v>
      </c>
      <c r="F497" s="15">
        <v>367</v>
      </c>
      <c r="G497" s="15">
        <v>367</v>
      </c>
    </row>
    <row r="498" spans="1:7">
      <c r="A498" s="14">
        <v>1043</v>
      </c>
      <c r="B498" s="13" t="s">
        <v>12571</v>
      </c>
      <c r="C498" s="13" t="s">
        <v>12572</v>
      </c>
      <c r="D498" s="13" t="s">
        <v>12536</v>
      </c>
      <c r="E498" s="13" t="s">
        <v>1150</v>
      </c>
      <c r="F498" s="15">
        <v>367</v>
      </c>
      <c r="G498" s="15">
        <v>367</v>
      </c>
    </row>
    <row r="499" spans="1:7">
      <c r="A499" s="14">
        <v>1048</v>
      </c>
      <c r="B499" s="13" t="s">
        <v>12573</v>
      </c>
      <c r="C499" s="13" t="s">
        <v>12574</v>
      </c>
      <c r="D499" s="13" t="s">
        <v>12536</v>
      </c>
      <c r="E499" s="13" t="s">
        <v>1150</v>
      </c>
      <c r="F499" s="15">
        <v>367</v>
      </c>
      <c r="G499" s="15">
        <v>367</v>
      </c>
    </row>
    <row r="500" spans="1:7">
      <c r="A500" s="14">
        <v>1049</v>
      </c>
      <c r="B500" s="13" t="s">
        <v>12575</v>
      </c>
      <c r="C500" s="13" t="s">
        <v>12576</v>
      </c>
      <c r="D500" s="13" t="s">
        <v>12536</v>
      </c>
      <c r="E500" s="13" t="s">
        <v>1150</v>
      </c>
      <c r="F500" s="15">
        <v>367</v>
      </c>
      <c r="G500" s="15">
        <v>367</v>
      </c>
    </row>
    <row r="501" spans="1:7">
      <c r="A501" s="14">
        <v>1050</v>
      </c>
      <c r="B501" s="13" t="s">
        <v>12577</v>
      </c>
      <c r="C501" s="13" t="s">
        <v>12578</v>
      </c>
      <c r="D501" s="13" t="s">
        <v>12536</v>
      </c>
      <c r="E501" s="13" t="s">
        <v>1150</v>
      </c>
      <c r="F501" s="15">
        <v>367</v>
      </c>
      <c r="G501" s="15">
        <v>367</v>
      </c>
    </row>
    <row r="502" spans="1:7">
      <c r="A502" s="14">
        <v>1052</v>
      </c>
      <c r="B502" s="13" t="s">
        <v>12579</v>
      </c>
      <c r="C502" s="13" t="s">
        <v>12580</v>
      </c>
      <c r="D502" s="13" t="s">
        <v>12536</v>
      </c>
      <c r="E502" s="13" t="s">
        <v>1150</v>
      </c>
      <c r="F502" s="15">
        <v>367</v>
      </c>
      <c r="G502" s="15">
        <v>367</v>
      </c>
    </row>
    <row r="503" spans="1:7">
      <c r="A503" s="14">
        <v>1057</v>
      </c>
      <c r="B503" s="13" t="s">
        <v>12581</v>
      </c>
      <c r="C503" s="13" t="s">
        <v>12582</v>
      </c>
      <c r="D503" s="13" t="s">
        <v>12536</v>
      </c>
      <c r="E503" s="13" t="s">
        <v>1150</v>
      </c>
      <c r="F503" s="15">
        <v>367</v>
      </c>
      <c r="G503" s="15">
        <v>367</v>
      </c>
    </row>
    <row r="504" spans="1:7">
      <c r="A504" s="14">
        <v>1058</v>
      </c>
      <c r="B504" s="13" t="s">
        <v>12583</v>
      </c>
      <c r="C504" s="13" t="s">
        <v>12584</v>
      </c>
      <c r="D504" s="13" t="s">
        <v>12536</v>
      </c>
      <c r="E504" s="13" t="s">
        <v>1150</v>
      </c>
      <c r="F504" s="15">
        <v>367</v>
      </c>
      <c r="G504" s="15">
        <v>367</v>
      </c>
    </row>
    <row r="505" spans="1:7">
      <c r="A505" s="14">
        <v>1063</v>
      </c>
      <c r="B505" s="13" t="s">
        <v>12585</v>
      </c>
      <c r="C505" s="13" t="s">
        <v>12586</v>
      </c>
      <c r="D505" s="13" t="s">
        <v>12536</v>
      </c>
      <c r="E505" s="13" t="s">
        <v>1150</v>
      </c>
      <c r="F505" s="15">
        <v>367</v>
      </c>
      <c r="G505" s="15">
        <v>367</v>
      </c>
    </row>
    <row r="506" spans="1:7">
      <c r="A506" s="14">
        <v>1064</v>
      </c>
      <c r="B506" s="13" t="s">
        <v>12587</v>
      </c>
      <c r="C506" s="13" t="s">
        <v>12588</v>
      </c>
      <c r="D506" s="13" t="s">
        <v>12536</v>
      </c>
      <c r="E506" s="13" t="s">
        <v>1150</v>
      </c>
      <c r="F506" s="15">
        <v>367</v>
      </c>
      <c r="G506" s="15">
        <v>367</v>
      </c>
    </row>
    <row r="507" spans="1:7">
      <c r="A507" s="14">
        <v>1065</v>
      </c>
      <c r="B507" s="13" t="s">
        <v>12589</v>
      </c>
      <c r="C507" s="13" t="s">
        <v>12590</v>
      </c>
      <c r="D507" s="13" t="s">
        <v>12536</v>
      </c>
      <c r="E507" s="13" t="s">
        <v>1150</v>
      </c>
      <c r="F507" s="15">
        <v>367</v>
      </c>
      <c r="G507" s="15">
        <v>367</v>
      </c>
    </row>
    <row r="508" spans="1:7">
      <c r="A508" s="14">
        <v>1066</v>
      </c>
      <c r="B508" s="13" t="s">
        <v>12591</v>
      </c>
      <c r="C508" s="13" t="s">
        <v>12403</v>
      </c>
      <c r="D508" s="13" t="s">
        <v>12536</v>
      </c>
      <c r="E508" s="13" t="s">
        <v>1150</v>
      </c>
      <c r="F508" s="15">
        <v>367</v>
      </c>
      <c r="G508" s="15">
        <v>367</v>
      </c>
    </row>
    <row r="509" spans="1:7">
      <c r="A509" s="14">
        <v>1068</v>
      </c>
      <c r="B509" s="13" t="s">
        <v>12592</v>
      </c>
      <c r="C509" s="13" t="s">
        <v>12593</v>
      </c>
      <c r="D509" s="13" t="s">
        <v>12536</v>
      </c>
      <c r="E509" s="13" t="s">
        <v>1150</v>
      </c>
      <c r="F509" s="15">
        <v>367</v>
      </c>
      <c r="G509" s="15">
        <v>367</v>
      </c>
    </row>
    <row r="510" spans="1:7">
      <c r="A510" s="14">
        <v>1069</v>
      </c>
      <c r="B510" s="13" t="s">
        <v>12594</v>
      </c>
      <c r="C510" s="13" t="s">
        <v>12595</v>
      </c>
      <c r="D510" s="13" t="s">
        <v>12536</v>
      </c>
      <c r="E510" s="13" t="s">
        <v>1150</v>
      </c>
      <c r="F510" s="15">
        <v>367</v>
      </c>
      <c r="G510" s="15">
        <v>367</v>
      </c>
    </row>
    <row r="511" spans="1:7">
      <c r="A511" s="14">
        <v>1070</v>
      </c>
      <c r="B511" s="13" t="s">
        <v>12596</v>
      </c>
      <c r="C511" s="13" t="s">
        <v>12597</v>
      </c>
      <c r="D511" s="13" t="s">
        <v>12536</v>
      </c>
      <c r="E511" s="13" t="s">
        <v>1150</v>
      </c>
      <c r="F511" s="15">
        <v>367</v>
      </c>
      <c r="G511" s="15">
        <v>367</v>
      </c>
    </row>
    <row r="512" spans="1:7">
      <c r="A512" s="14">
        <v>1074</v>
      </c>
      <c r="B512" s="13" t="s">
        <v>12598</v>
      </c>
      <c r="C512" s="13" t="s">
        <v>12599</v>
      </c>
      <c r="D512" s="13" t="s">
        <v>12536</v>
      </c>
      <c r="E512" s="13" t="s">
        <v>1150</v>
      </c>
      <c r="F512" s="15">
        <v>367</v>
      </c>
      <c r="G512" s="15">
        <v>367</v>
      </c>
    </row>
    <row r="513" spans="1:7">
      <c r="A513" s="14">
        <v>1075</v>
      </c>
      <c r="B513" s="13" t="s">
        <v>12600</v>
      </c>
      <c r="C513" s="13" t="s">
        <v>12601</v>
      </c>
      <c r="D513" s="13" t="s">
        <v>12536</v>
      </c>
      <c r="E513" s="13" t="s">
        <v>1150</v>
      </c>
      <c r="F513" s="15">
        <v>367</v>
      </c>
      <c r="G513" s="15">
        <v>367</v>
      </c>
    </row>
    <row r="514" spans="1:7">
      <c r="A514" s="14">
        <v>1083</v>
      </c>
      <c r="B514" s="13" t="s">
        <v>12602</v>
      </c>
      <c r="C514" s="13" t="s">
        <v>12603</v>
      </c>
      <c r="D514" s="13" t="s">
        <v>12536</v>
      </c>
      <c r="E514" s="13" t="s">
        <v>1150</v>
      </c>
      <c r="F514" s="15">
        <v>367</v>
      </c>
      <c r="G514" s="15">
        <v>367</v>
      </c>
    </row>
    <row r="515" spans="1:7">
      <c r="A515" s="14">
        <v>1086</v>
      </c>
      <c r="B515" s="13" t="s">
        <v>12604</v>
      </c>
      <c r="C515" s="13" t="s">
        <v>12605</v>
      </c>
      <c r="D515" s="13" t="s">
        <v>12536</v>
      </c>
      <c r="E515" s="13" t="s">
        <v>1150</v>
      </c>
      <c r="F515" s="15">
        <v>367</v>
      </c>
      <c r="G515" s="15">
        <v>367</v>
      </c>
    </row>
    <row r="516" spans="1:7">
      <c r="A516" s="14">
        <v>1089</v>
      </c>
      <c r="B516" s="13" t="s">
        <v>12606</v>
      </c>
      <c r="C516" s="13" t="s">
        <v>12607</v>
      </c>
      <c r="D516" s="13" t="s">
        <v>12536</v>
      </c>
      <c r="E516" s="13" t="s">
        <v>1150</v>
      </c>
      <c r="F516" s="15">
        <v>367</v>
      </c>
      <c r="G516" s="15">
        <v>367</v>
      </c>
    </row>
    <row r="517" spans="1:7">
      <c r="A517" s="14">
        <v>1091</v>
      </c>
      <c r="B517" s="13" t="s">
        <v>12608</v>
      </c>
      <c r="C517" s="13" t="s">
        <v>12609</v>
      </c>
      <c r="D517" s="13" t="s">
        <v>12536</v>
      </c>
      <c r="E517" s="13" t="s">
        <v>1150</v>
      </c>
      <c r="F517" s="15">
        <v>367</v>
      </c>
      <c r="G517" s="15">
        <v>367</v>
      </c>
    </row>
    <row r="518" spans="1:7">
      <c r="A518" s="14">
        <v>1092</v>
      </c>
      <c r="B518" s="13" t="s">
        <v>12610</v>
      </c>
      <c r="C518" s="13" t="s">
        <v>12611</v>
      </c>
      <c r="D518" s="13" t="s">
        <v>12536</v>
      </c>
      <c r="E518" s="13" t="s">
        <v>1150</v>
      </c>
      <c r="F518" s="15">
        <v>367</v>
      </c>
      <c r="G518" s="15">
        <v>367</v>
      </c>
    </row>
    <row r="519" spans="1:7">
      <c r="A519" s="14">
        <v>1093</v>
      </c>
      <c r="B519" s="13" t="s">
        <v>12612</v>
      </c>
      <c r="C519" s="13" t="s">
        <v>12613</v>
      </c>
      <c r="D519" s="13" t="s">
        <v>12536</v>
      </c>
      <c r="E519" s="13" t="s">
        <v>1150</v>
      </c>
      <c r="F519" s="15">
        <v>367</v>
      </c>
      <c r="G519" s="15">
        <v>367</v>
      </c>
    </row>
    <row r="520" spans="1:7">
      <c r="A520" s="14">
        <v>1096</v>
      </c>
      <c r="B520" s="13" t="s">
        <v>12614</v>
      </c>
      <c r="C520" s="13" t="s">
        <v>12615</v>
      </c>
      <c r="D520" s="13" t="s">
        <v>12536</v>
      </c>
      <c r="E520" s="13" t="s">
        <v>1150</v>
      </c>
      <c r="F520" s="15">
        <v>367</v>
      </c>
      <c r="G520" s="15">
        <v>367</v>
      </c>
    </row>
    <row r="521" spans="1:7">
      <c r="A521" s="14">
        <v>1098</v>
      </c>
      <c r="B521" s="13" t="s">
        <v>12616</v>
      </c>
      <c r="C521" s="13" t="s">
        <v>12617</v>
      </c>
      <c r="D521" s="13" t="s">
        <v>12536</v>
      </c>
      <c r="E521" s="13" t="s">
        <v>1150</v>
      </c>
      <c r="F521" s="15">
        <v>367</v>
      </c>
      <c r="G521" s="15">
        <v>367</v>
      </c>
    </row>
    <row r="522" spans="1:7">
      <c r="A522" s="14">
        <v>1099</v>
      </c>
      <c r="B522" s="13" t="s">
        <v>12618</v>
      </c>
      <c r="C522" s="13" t="s">
        <v>12619</v>
      </c>
      <c r="D522" s="13" t="s">
        <v>12536</v>
      </c>
      <c r="E522" s="13" t="s">
        <v>1150</v>
      </c>
      <c r="F522" s="15">
        <v>367</v>
      </c>
      <c r="G522" s="15">
        <v>367</v>
      </c>
    </row>
    <row r="523" spans="1:7">
      <c r="A523" s="14">
        <v>1100</v>
      </c>
      <c r="B523" s="13" t="s">
        <v>12620</v>
      </c>
      <c r="C523" s="13" t="s">
        <v>12621</v>
      </c>
      <c r="D523" s="13" t="s">
        <v>12536</v>
      </c>
      <c r="E523" s="13" t="s">
        <v>1150</v>
      </c>
      <c r="F523" s="15">
        <v>367</v>
      </c>
      <c r="G523" s="15">
        <v>367</v>
      </c>
    </row>
    <row r="524" spans="1:7">
      <c r="A524" s="14">
        <v>1101</v>
      </c>
      <c r="B524" s="13" t="s">
        <v>12622</v>
      </c>
      <c r="C524" s="13" t="s">
        <v>12623</v>
      </c>
      <c r="D524" s="13" t="s">
        <v>12536</v>
      </c>
      <c r="E524" s="13" t="s">
        <v>1150</v>
      </c>
      <c r="F524" s="15">
        <v>367</v>
      </c>
      <c r="G524" s="15">
        <v>367</v>
      </c>
    </row>
    <row r="525" spans="1:7">
      <c r="A525" s="14">
        <v>1102</v>
      </c>
      <c r="B525" s="13" t="s">
        <v>12624</v>
      </c>
      <c r="C525" s="13" t="s">
        <v>12625</v>
      </c>
      <c r="D525" s="13" t="s">
        <v>12536</v>
      </c>
      <c r="E525" s="13" t="s">
        <v>1150</v>
      </c>
      <c r="F525" s="15">
        <v>37680</v>
      </c>
      <c r="G525" s="15">
        <v>37680</v>
      </c>
    </row>
    <row r="526" spans="1:7">
      <c r="A526" s="14">
        <v>1103</v>
      </c>
      <c r="B526" s="13" t="s">
        <v>12626</v>
      </c>
      <c r="C526" s="13" t="s">
        <v>12627</v>
      </c>
      <c r="D526" s="13" t="s">
        <v>12536</v>
      </c>
      <c r="E526" s="13" t="s">
        <v>1150</v>
      </c>
      <c r="F526" s="15">
        <v>37653</v>
      </c>
      <c r="G526" s="15">
        <v>37653</v>
      </c>
    </row>
    <row r="527" spans="1:7">
      <c r="A527" s="14">
        <v>1104</v>
      </c>
      <c r="B527" s="13" t="s">
        <v>12628</v>
      </c>
      <c r="C527" s="13" t="s">
        <v>12509</v>
      </c>
      <c r="D527" s="13" t="s">
        <v>12536</v>
      </c>
      <c r="E527" s="13" t="s">
        <v>1150</v>
      </c>
      <c r="F527" s="15">
        <v>39965</v>
      </c>
      <c r="G527" s="15">
        <v>39965</v>
      </c>
    </row>
    <row r="528" spans="1:7">
      <c r="A528" s="14">
        <v>1105</v>
      </c>
      <c r="B528" s="13" t="s">
        <v>12629</v>
      </c>
      <c r="C528" s="13" t="s">
        <v>12630</v>
      </c>
      <c r="D528" s="13" t="s">
        <v>12536</v>
      </c>
      <c r="E528" s="13" t="s">
        <v>1150</v>
      </c>
      <c r="F528" s="15">
        <v>39965</v>
      </c>
      <c r="G528" s="15">
        <v>39965</v>
      </c>
    </row>
    <row r="529" spans="1:7">
      <c r="A529" s="14">
        <v>1106</v>
      </c>
      <c r="B529" s="13" t="s">
        <v>12631</v>
      </c>
      <c r="C529" s="13" t="s">
        <v>12632</v>
      </c>
      <c r="D529" s="13" t="s">
        <v>12536</v>
      </c>
      <c r="E529" s="13" t="s">
        <v>1150</v>
      </c>
      <c r="F529" s="15">
        <v>39965</v>
      </c>
      <c r="G529" s="15">
        <v>39965</v>
      </c>
    </row>
    <row r="530" spans="1:7">
      <c r="A530" s="14">
        <v>1107</v>
      </c>
      <c r="B530" s="13" t="s">
        <v>12633</v>
      </c>
      <c r="C530" s="13" t="s">
        <v>12634</v>
      </c>
      <c r="D530" s="13" t="s">
        <v>12536</v>
      </c>
      <c r="E530" s="13" t="s">
        <v>1150</v>
      </c>
      <c r="F530" s="15">
        <v>39965</v>
      </c>
      <c r="G530" s="15">
        <v>39965</v>
      </c>
    </row>
    <row r="531" spans="1:7">
      <c r="A531" s="14">
        <v>1108</v>
      </c>
      <c r="B531" s="13" t="s">
        <v>12635</v>
      </c>
      <c r="C531" s="13" t="s">
        <v>12636</v>
      </c>
      <c r="D531" s="13" t="s">
        <v>12536</v>
      </c>
      <c r="E531" s="13" t="s">
        <v>1150</v>
      </c>
      <c r="F531" s="15">
        <v>39965</v>
      </c>
      <c r="G531" s="15">
        <v>39965</v>
      </c>
    </row>
    <row r="532" spans="1:7">
      <c r="A532" s="14">
        <v>1109</v>
      </c>
      <c r="B532" s="13" t="s">
        <v>12637</v>
      </c>
      <c r="C532" s="13" t="s">
        <v>12638</v>
      </c>
      <c r="D532" s="13" t="s">
        <v>12536</v>
      </c>
      <c r="E532" s="13" t="s">
        <v>1150</v>
      </c>
      <c r="F532" s="15">
        <v>39965</v>
      </c>
      <c r="G532" s="15">
        <v>39965</v>
      </c>
    </row>
    <row r="533" spans="1:7">
      <c r="A533" s="14">
        <v>1110</v>
      </c>
      <c r="B533" s="13" t="s">
        <v>12639</v>
      </c>
      <c r="C533" s="13" t="s">
        <v>12640</v>
      </c>
      <c r="D533" s="13" t="s">
        <v>12536</v>
      </c>
      <c r="E533" s="13" t="s">
        <v>1150</v>
      </c>
      <c r="F533" s="15">
        <v>39965</v>
      </c>
      <c r="G533" s="15">
        <v>39965</v>
      </c>
    </row>
    <row r="534" spans="1:7">
      <c r="A534" s="14">
        <v>1111</v>
      </c>
      <c r="B534" s="13" t="s">
        <v>12641</v>
      </c>
      <c r="C534" s="13" t="s">
        <v>12642</v>
      </c>
      <c r="D534" s="13" t="s">
        <v>12536</v>
      </c>
      <c r="E534" s="13" t="s">
        <v>1150</v>
      </c>
      <c r="F534" s="15">
        <v>39965</v>
      </c>
      <c r="G534" s="15">
        <v>39965</v>
      </c>
    </row>
    <row r="535" spans="1:7">
      <c r="A535" s="14">
        <v>1112</v>
      </c>
      <c r="B535" s="13" t="s">
        <v>12643</v>
      </c>
      <c r="C535" s="13" t="s">
        <v>12644</v>
      </c>
      <c r="D535" s="13" t="s">
        <v>12536</v>
      </c>
      <c r="E535" s="13" t="s">
        <v>1150</v>
      </c>
      <c r="F535" s="15">
        <v>39965</v>
      </c>
      <c r="G535" s="15">
        <v>39965</v>
      </c>
    </row>
    <row r="536" spans="1:7">
      <c r="A536" s="14">
        <v>1113</v>
      </c>
      <c r="B536" s="13" t="s">
        <v>12645</v>
      </c>
      <c r="C536" s="13" t="s">
        <v>12646</v>
      </c>
      <c r="D536" s="13" t="s">
        <v>12536</v>
      </c>
      <c r="E536" s="13" t="s">
        <v>1150</v>
      </c>
      <c r="F536" s="15">
        <v>39965</v>
      </c>
      <c r="G536" s="15">
        <v>39965</v>
      </c>
    </row>
    <row r="537" spans="1:7">
      <c r="A537" s="14">
        <v>1114</v>
      </c>
      <c r="B537" s="13" t="s">
        <v>12647</v>
      </c>
      <c r="C537" s="13" t="s">
        <v>12648</v>
      </c>
      <c r="D537" s="13" t="s">
        <v>12536</v>
      </c>
      <c r="E537" s="13" t="s">
        <v>1150</v>
      </c>
      <c r="F537" s="15">
        <v>39965</v>
      </c>
      <c r="G537" s="15">
        <v>39965</v>
      </c>
    </row>
    <row r="538" spans="1:7">
      <c r="A538" s="14">
        <v>1119</v>
      </c>
      <c r="B538" s="13" t="s">
        <v>12649</v>
      </c>
      <c r="C538" s="13" t="s">
        <v>12650</v>
      </c>
      <c r="D538" s="13" t="s">
        <v>12651</v>
      </c>
      <c r="E538" s="13" t="s">
        <v>1150</v>
      </c>
      <c r="F538" s="15">
        <v>44705</v>
      </c>
      <c r="G538" s="15">
        <v>44705</v>
      </c>
    </row>
    <row r="539" spans="1:7">
      <c r="A539" s="14">
        <v>1120</v>
      </c>
      <c r="B539" s="13" t="s">
        <v>12652</v>
      </c>
      <c r="C539" s="13" t="s">
        <v>12653</v>
      </c>
      <c r="D539" s="13" t="s">
        <v>12536</v>
      </c>
      <c r="E539" s="13" t="s">
        <v>1150</v>
      </c>
      <c r="F539" s="15">
        <v>44705</v>
      </c>
      <c r="G539" s="15">
        <v>44705</v>
      </c>
    </row>
    <row r="540" spans="1:7">
      <c r="A540" s="14">
        <v>1121</v>
      </c>
      <c r="B540" s="13" t="s">
        <v>12654</v>
      </c>
      <c r="C540" s="13" t="s">
        <v>12655</v>
      </c>
      <c r="D540" s="13" t="s">
        <v>12536</v>
      </c>
      <c r="E540" s="13" t="s">
        <v>1150</v>
      </c>
      <c r="F540" s="15">
        <v>44705</v>
      </c>
      <c r="G540" s="15">
        <v>44705</v>
      </c>
    </row>
    <row r="541" spans="1:7">
      <c r="A541" s="14">
        <v>1122</v>
      </c>
      <c r="B541" s="13" t="s">
        <v>12656</v>
      </c>
      <c r="C541" s="13" t="s">
        <v>12657</v>
      </c>
      <c r="D541" s="13" t="s">
        <v>12536</v>
      </c>
      <c r="E541" s="13" t="s">
        <v>1150</v>
      </c>
      <c r="F541" s="15">
        <v>44896</v>
      </c>
      <c r="G541" s="15">
        <v>44896</v>
      </c>
    </row>
    <row r="542" spans="1:7">
      <c r="A542" s="14">
        <v>1123</v>
      </c>
      <c r="B542" s="13" t="s">
        <v>12658</v>
      </c>
      <c r="C542" s="13" t="s">
        <v>12659</v>
      </c>
      <c r="D542" s="13" t="s">
        <v>12536</v>
      </c>
      <c r="E542" s="13" t="s">
        <v>1150</v>
      </c>
      <c r="F542" s="15">
        <v>44896</v>
      </c>
      <c r="G542" s="15">
        <v>44896</v>
      </c>
    </row>
    <row r="543" spans="1:7">
      <c r="A543" s="14">
        <v>1124</v>
      </c>
      <c r="B543" s="13" t="s">
        <v>12660</v>
      </c>
      <c r="C543" s="13" t="s">
        <v>12661</v>
      </c>
      <c r="D543" s="13" t="s">
        <v>12536</v>
      </c>
      <c r="E543" s="13" t="s">
        <v>1150</v>
      </c>
      <c r="F543" s="15">
        <v>44896</v>
      </c>
      <c r="G543" s="15">
        <v>44896</v>
      </c>
    </row>
    <row r="544" spans="1:7">
      <c r="A544" s="14">
        <v>1125</v>
      </c>
      <c r="B544" s="13" t="s">
        <v>12662</v>
      </c>
      <c r="C544" s="13" t="s">
        <v>12663</v>
      </c>
      <c r="D544" s="13" t="s">
        <v>12536</v>
      </c>
      <c r="E544" s="13" t="s">
        <v>1150</v>
      </c>
      <c r="F544" s="15">
        <v>44896</v>
      </c>
      <c r="G544" s="15">
        <v>44896</v>
      </c>
    </row>
    <row r="545" spans="1:7">
      <c r="A545" s="14">
        <v>1126</v>
      </c>
      <c r="B545" s="13" t="s">
        <v>12664</v>
      </c>
      <c r="C545" s="13" t="s">
        <v>12665</v>
      </c>
      <c r="D545" s="13" t="s">
        <v>12536</v>
      </c>
      <c r="E545" s="13" t="s">
        <v>1150</v>
      </c>
      <c r="F545" s="15">
        <v>44896</v>
      </c>
      <c r="G545" s="15">
        <v>44896</v>
      </c>
    </row>
    <row r="546" spans="1:7">
      <c r="A546" s="14">
        <v>1202</v>
      </c>
      <c r="B546" s="13" t="s">
        <v>12666</v>
      </c>
      <c r="C546" s="13" t="s">
        <v>12667</v>
      </c>
      <c r="D546" s="13" t="s">
        <v>12651</v>
      </c>
      <c r="E546" s="13" t="s">
        <v>1150</v>
      </c>
      <c r="F546" s="15">
        <v>367</v>
      </c>
      <c r="G546" s="15">
        <v>367</v>
      </c>
    </row>
    <row r="547" spans="1:7">
      <c r="A547" s="14">
        <v>1203</v>
      </c>
      <c r="B547" s="13" t="s">
        <v>12668</v>
      </c>
      <c r="C547" s="13" t="s">
        <v>12669</v>
      </c>
      <c r="D547" s="13" t="s">
        <v>12651</v>
      </c>
      <c r="E547" s="13" t="s">
        <v>1150</v>
      </c>
      <c r="F547" s="15">
        <v>367</v>
      </c>
      <c r="G547" s="15">
        <v>367</v>
      </c>
    </row>
    <row r="548" spans="1:7">
      <c r="A548" s="14">
        <v>1204</v>
      </c>
      <c r="B548" s="13" t="s">
        <v>12670</v>
      </c>
      <c r="C548" s="13" t="s">
        <v>12671</v>
      </c>
      <c r="D548" s="13" t="s">
        <v>12651</v>
      </c>
      <c r="E548" s="13" t="s">
        <v>1150</v>
      </c>
      <c r="F548" s="15">
        <v>367</v>
      </c>
      <c r="G548" s="15">
        <v>367</v>
      </c>
    </row>
    <row r="549" spans="1:7">
      <c r="A549" s="14">
        <v>1205</v>
      </c>
      <c r="B549" s="13" t="s">
        <v>12672</v>
      </c>
      <c r="C549" s="13" t="s">
        <v>12673</v>
      </c>
      <c r="D549" s="13" t="s">
        <v>12651</v>
      </c>
      <c r="E549" s="13" t="s">
        <v>1150</v>
      </c>
      <c r="F549" s="15">
        <v>367</v>
      </c>
      <c r="G549" s="15">
        <v>367</v>
      </c>
    </row>
    <row r="550" spans="1:7">
      <c r="A550" s="14">
        <v>1206</v>
      </c>
      <c r="B550" s="13" t="s">
        <v>12674</v>
      </c>
      <c r="C550" s="13" t="s">
        <v>12675</v>
      </c>
      <c r="D550" s="13" t="s">
        <v>12651</v>
      </c>
      <c r="E550" s="13" t="s">
        <v>1150</v>
      </c>
      <c r="F550" s="15">
        <v>367</v>
      </c>
      <c r="G550" s="15">
        <v>367</v>
      </c>
    </row>
    <row r="551" spans="1:7">
      <c r="A551" s="14">
        <v>1207</v>
      </c>
      <c r="B551" s="13" t="s">
        <v>12676</v>
      </c>
      <c r="C551" s="13" t="s">
        <v>12677</v>
      </c>
      <c r="D551" s="13" t="s">
        <v>12651</v>
      </c>
      <c r="E551" s="13" t="s">
        <v>1150</v>
      </c>
      <c r="F551" s="15">
        <v>367</v>
      </c>
      <c r="G551" s="15">
        <v>367</v>
      </c>
    </row>
    <row r="552" spans="1:7">
      <c r="A552" s="14">
        <v>1209</v>
      </c>
      <c r="B552" s="13" t="s">
        <v>12678</v>
      </c>
      <c r="C552" s="13" t="s">
        <v>12679</v>
      </c>
      <c r="D552" s="13" t="s">
        <v>12651</v>
      </c>
      <c r="E552" s="13" t="s">
        <v>1150</v>
      </c>
      <c r="F552" s="15">
        <v>367</v>
      </c>
      <c r="G552" s="15">
        <v>367</v>
      </c>
    </row>
    <row r="553" spans="1:7">
      <c r="A553" s="14">
        <v>1210</v>
      </c>
      <c r="B553" s="13" t="s">
        <v>12680</v>
      </c>
      <c r="C553" s="13" t="s">
        <v>12681</v>
      </c>
      <c r="D553" s="13" t="s">
        <v>12651</v>
      </c>
      <c r="E553" s="13" t="s">
        <v>1150</v>
      </c>
      <c r="F553" s="15">
        <v>367</v>
      </c>
      <c r="G553" s="15">
        <v>367</v>
      </c>
    </row>
    <row r="554" spans="1:7">
      <c r="A554" s="14">
        <v>1216</v>
      </c>
      <c r="B554" s="13" t="s">
        <v>12682</v>
      </c>
      <c r="C554" s="13" t="s">
        <v>12683</v>
      </c>
      <c r="D554" s="13" t="s">
        <v>12651</v>
      </c>
      <c r="E554" s="13" t="s">
        <v>1150</v>
      </c>
      <c r="F554" s="15">
        <v>367</v>
      </c>
      <c r="G554" s="15">
        <v>367</v>
      </c>
    </row>
    <row r="555" spans="1:7">
      <c r="A555" s="14">
        <v>1217</v>
      </c>
      <c r="B555" s="13" t="s">
        <v>12684</v>
      </c>
      <c r="C555" s="13" t="s">
        <v>12685</v>
      </c>
      <c r="D555" s="13" t="s">
        <v>12651</v>
      </c>
      <c r="E555" s="13" t="s">
        <v>1150</v>
      </c>
      <c r="F555" s="15">
        <v>367</v>
      </c>
      <c r="G555" s="15">
        <v>367</v>
      </c>
    </row>
    <row r="556" spans="1:7">
      <c r="A556" s="14">
        <v>1218</v>
      </c>
      <c r="B556" s="13" t="s">
        <v>12686</v>
      </c>
      <c r="C556" s="13" t="s">
        <v>12687</v>
      </c>
      <c r="D556" s="13" t="s">
        <v>12651</v>
      </c>
      <c r="E556" s="13" t="s">
        <v>1150</v>
      </c>
      <c r="F556" s="15">
        <v>367</v>
      </c>
      <c r="G556" s="15">
        <v>367</v>
      </c>
    </row>
    <row r="557" spans="1:7">
      <c r="A557" s="14">
        <v>1219</v>
      </c>
      <c r="B557" s="13" t="s">
        <v>12688</v>
      </c>
      <c r="C557" s="13" t="s">
        <v>12689</v>
      </c>
      <c r="D557" s="13" t="s">
        <v>12651</v>
      </c>
      <c r="E557" s="13" t="s">
        <v>1150</v>
      </c>
      <c r="F557" s="15">
        <v>367</v>
      </c>
      <c r="G557" s="15">
        <v>367</v>
      </c>
    </row>
    <row r="558" spans="1:7">
      <c r="A558" s="14">
        <v>1220</v>
      </c>
      <c r="B558" s="13" t="s">
        <v>12690</v>
      </c>
      <c r="C558" s="13" t="s">
        <v>12691</v>
      </c>
      <c r="D558" s="13" t="s">
        <v>12651</v>
      </c>
      <c r="E558" s="13" t="s">
        <v>1150</v>
      </c>
      <c r="F558" s="15">
        <v>367</v>
      </c>
      <c r="G558" s="15">
        <v>367</v>
      </c>
    </row>
    <row r="559" spans="1:7">
      <c r="A559" s="14">
        <v>1221</v>
      </c>
      <c r="B559" s="13" t="s">
        <v>12692</v>
      </c>
      <c r="C559" s="13" t="s">
        <v>12693</v>
      </c>
      <c r="D559" s="13" t="s">
        <v>12651</v>
      </c>
      <c r="E559" s="13" t="s">
        <v>1150</v>
      </c>
      <c r="F559" s="15">
        <v>367</v>
      </c>
      <c r="G559" s="15">
        <v>367</v>
      </c>
    </row>
    <row r="560" spans="1:7">
      <c r="A560" s="14">
        <v>1225</v>
      </c>
      <c r="B560" s="13" t="s">
        <v>12694</v>
      </c>
      <c r="C560" s="13" t="s">
        <v>12695</v>
      </c>
      <c r="D560" s="13" t="s">
        <v>12651</v>
      </c>
      <c r="E560" s="13" t="s">
        <v>1150</v>
      </c>
      <c r="F560" s="15">
        <v>367</v>
      </c>
      <c r="G560" s="15">
        <v>367</v>
      </c>
    </row>
    <row r="561" spans="1:7">
      <c r="A561" s="14">
        <v>1226</v>
      </c>
      <c r="B561" s="13" t="s">
        <v>12696</v>
      </c>
      <c r="C561" s="13" t="s">
        <v>12697</v>
      </c>
      <c r="D561" s="13" t="s">
        <v>12651</v>
      </c>
      <c r="E561" s="13" t="s">
        <v>1150</v>
      </c>
      <c r="F561" s="15">
        <v>367</v>
      </c>
      <c r="G561" s="15">
        <v>367</v>
      </c>
    </row>
    <row r="562" spans="1:7">
      <c r="A562" s="14">
        <v>1227</v>
      </c>
      <c r="B562" s="13" t="s">
        <v>12698</v>
      </c>
      <c r="C562" s="13" t="s">
        <v>12699</v>
      </c>
      <c r="D562" s="13" t="s">
        <v>12651</v>
      </c>
      <c r="E562" s="13" t="s">
        <v>1150</v>
      </c>
      <c r="F562" s="15">
        <v>367</v>
      </c>
      <c r="G562" s="15">
        <v>367</v>
      </c>
    </row>
    <row r="563" spans="1:7">
      <c r="A563" s="14">
        <v>1231</v>
      </c>
      <c r="B563" s="13" t="s">
        <v>12700</v>
      </c>
      <c r="C563" s="13" t="s">
        <v>12701</v>
      </c>
      <c r="D563" s="13" t="s">
        <v>12651</v>
      </c>
      <c r="E563" s="13" t="s">
        <v>1150</v>
      </c>
      <c r="F563" s="15">
        <v>367</v>
      </c>
      <c r="G563" s="15">
        <v>367</v>
      </c>
    </row>
    <row r="564" spans="1:7">
      <c r="A564" s="14">
        <v>1233</v>
      </c>
      <c r="B564" s="13" t="s">
        <v>12702</v>
      </c>
      <c r="C564" s="13" t="s">
        <v>12703</v>
      </c>
      <c r="D564" s="13" t="s">
        <v>12651</v>
      </c>
      <c r="E564" s="13" t="s">
        <v>1150</v>
      </c>
      <c r="F564" s="15">
        <v>367</v>
      </c>
      <c r="G564" s="15">
        <v>367</v>
      </c>
    </row>
    <row r="565" spans="1:7">
      <c r="A565" s="14">
        <v>1235</v>
      </c>
      <c r="B565" s="13" t="s">
        <v>12704</v>
      </c>
      <c r="C565" s="13" t="s">
        <v>12705</v>
      </c>
      <c r="D565" s="13" t="s">
        <v>12651</v>
      </c>
      <c r="E565" s="13" t="s">
        <v>1150</v>
      </c>
      <c r="F565" s="15">
        <v>367</v>
      </c>
      <c r="G565" s="15">
        <v>367</v>
      </c>
    </row>
    <row r="566" spans="1:7">
      <c r="A566" s="14">
        <v>1239</v>
      </c>
      <c r="B566" s="13" t="s">
        <v>12706</v>
      </c>
      <c r="C566" s="13" t="s">
        <v>12707</v>
      </c>
      <c r="D566" s="13" t="s">
        <v>12651</v>
      </c>
      <c r="E566" s="13" t="s">
        <v>1150</v>
      </c>
      <c r="F566" s="15">
        <v>367</v>
      </c>
      <c r="G566" s="15">
        <v>367</v>
      </c>
    </row>
    <row r="567" spans="1:7">
      <c r="A567" s="14">
        <v>1245</v>
      </c>
      <c r="B567" s="13" t="s">
        <v>12708</v>
      </c>
      <c r="C567" s="13" t="s">
        <v>12709</v>
      </c>
      <c r="D567" s="13" t="s">
        <v>12651</v>
      </c>
      <c r="E567" s="13" t="s">
        <v>1150</v>
      </c>
      <c r="F567" s="15">
        <v>367</v>
      </c>
      <c r="G567" s="15">
        <v>367</v>
      </c>
    </row>
    <row r="568" spans="1:7">
      <c r="A568" s="14">
        <v>1250</v>
      </c>
      <c r="B568" s="13" t="s">
        <v>12710</v>
      </c>
      <c r="C568" s="13" t="s">
        <v>12711</v>
      </c>
      <c r="D568" s="13" t="s">
        <v>12651</v>
      </c>
      <c r="E568" s="13" t="s">
        <v>1150</v>
      </c>
      <c r="F568" s="15">
        <v>367</v>
      </c>
      <c r="G568" s="15">
        <v>367</v>
      </c>
    </row>
    <row r="569" spans="1:7">
      <c r="A569" s="14">
        <v>1252</v>
      </c>
      <c r="B569" s="13" t="s">
        <v>12712</v>
      </c>
      <c r="C569" s="13" t="s">
        <v>12713</v>
      </c>
      <c r="D569" s="13" t="s">
        <v>12651</v>
      </c>
      <c r="E569" s="13" t="s">
        <v>1150</v>
      </c>
      <c r="F569" s="15">
        <v>367</v>
      </c>
      <c r="G569" s="15">
        <v>367</v>
      </c>
    </row>
    <row r="570" spans="1:7">
      <c r="A570" s="14">
        <v>1253</v>
      </c>
      <c r="B570" s="13" t="s">
        <v>12714</v>
      </c>
      <c r="C570" s="13" t="s">
        <v>12715</v>
      </c>
      <c r="D570" s="13" t="s">
        <v>12651</v>
      </c>
      <c r="E570" s="13" t="s">
        <v>1150</v>
      </c>
      <c r="F570" s="15">
        <v>367</v>
      </c>
      <c r="G570" s="15">
        <v>367</v>
      </c>
    </row>
    <row r="571" spans="1:7">
      <c r="A571" s="14">
        <v>1255</v>
      </c>
      <c r="B571" s="13" t="s">
        <v>12716</v>
      </c>
      <c r="C571" s="13" t="s">
        <v>12717</v>
      </c>
      <c r="D571" s="13" t="s">
        <v>12651</v>
      </c>
      <c r="E571" s="13" t="s">
        <v>1150</v>
      </c>
      <c r="F571" s="15">
        <v>367</v>
      </c>
      <c r="G571" s="15">
        <v>367</v>
      </c>
    </row>
    <row r="572" spans="1:7">
      <c r="A572" s="14">
        <v>1256</v>
      </c>
      <c r="B572" s="13" t="s">
        <v>12718</v>
      </c>
      <c r="C572" s="13" t="s">
        <v>12719</v>
      </c>
      <c r="D572" s="13" t="s">
        <v>12651</v>
      </c>
      <c r="E572" s="13" t="s">
        <v>1150</v>
      </c>
      <c r="F572" s="15">
        <v>367</v>
      </c>
      <c r="G572" s="15">
        <v>367</v>
      </c>
    </row>
    <row r="573" spans="1:7">
      <c r="A573" s="14">
        <v>1257</v>
      </c>
      <c r="B573" s="13" t="s">
        <v>12720</v>
      </c>
      <c r="C573" s="13" t="s">
        <v>12721</v>
      </c>
      <c r="D573" s="13" t="s">
        <v>12651</v>
      </c>
      <c r="E573" s="13" t="s">
        <v>1150</v>
      </c>
      <c r="F573" s="15">
        <v>44896</v>
      </c>
      <c r="G573" s="15">
        <v>44896</v>
      </c>
    </row>
    <row r="574" spans="1:7">
      <c r="A574" s="14">
        <v>1258</v>
      </c>
      <c r="B574" s="13" t="s">
        <v>12722</v>
      </c>
      <c r="C574" s="13" t="s">
        <v>12723</v>
      </c>
      <c r="D574" s="13" t="s">
        <v>12651</v>
      </c>
      <c r="E574" s="13" t="s">
        <v>1150</v>
      </c>
      <c r="F574" s="15">
        <v>44896</v>
      </c>
      <c r="G574" s="15">
        <v>44896</v>
      </c>
    </row>
    <row r="575" spans="1:7">
      <c r="A575" s="14">
        <v>1401</v>
      </c>
      <c r="B575" s="13" t="s">
        <v>12724</v>
      </c>
      <c r="C575" s="13" t="s">
        <v>12725</v>
      </c>
      <c r="D575" s="13" t="s">
        <v>12726</v>
      </c>
      <c r="E575" s="13" t="s">
        <v>1150</v>
      </c>
      <c r="F575" s="15">
        <v>367</v>
      </c>
      <c r="G575" s="15">
        <v>367</v>
      </c>
    </row>
    <row r="576" spans="1:7">
      <c r="A576" s="14">
        <v>1402</v>
      </c>
      <c r="B576" s="13" t="s">
        <v>12727</v>
      </c>
      <c r="C576" s="13" t="s">
        <v>12728</v>
      </c>
      <c r="D576" s="13" t="s">
        <v>12726</v>
      </c>
      <c r="E576" s="13" t="s">
        <v>1150</v>
      </c>
      <c r="F576" s="15">
        <v>367</v>
      </c>
      <c r="G576" s="15">
        <v>367</v>
      </c>
    </row>
    <row r="577" spans="1:7">
      <c r="A577" s="14">
        <v>1403</v>
      </c>
      <c r="B577" s="13" t="s">
        <v>12729</v>
      </c>
      <c r="C577" s="13" t="s">
        <v>12730</v>
      </c>
      <c r="D577" s="13" t="s">
        <v>12726</v>
      </c>
      <c r="E577" s="13" t="s">
        <v>1150</v>
      </c>
      <c r="F577" s="15">
        <v>367</v>
      </c>
      <c r="G577" s="15">
        <v>367</v>
      </c>
    </row>
    <row r="578" spans="1:7">
      <c r="A578" s="14">
        <v>1404</v>
      </c>
      <c r="B578" s="13" t="s">
        <v>12731</v>
      </c>
      <c r="C578" s="13" t="s">
        <v>12732</v>
      </c>
      <c r="D578" s="13" t="s">
        <v>12726</v>
      </c>
      <c r="E578" s="13" t="s">
        <v>1150</v>
      </c>
      <c r="F578" s="15">
        <v>367</v>
      </c>
      <c r="G578" s="15">
        <v>367</v>
      </c>
    </row>
    <row r="579" spans="1:7">
      <c r="A579" s="14">
        <v>1405</v>
      </c>
      <c r="B579" s="13" t="s">
        <v>12733</v>
      </c>
      <c r="C579" s="13" t="s">
        <v>12734</v>
      </c>
      <c r="D579" s="13" t="s">
        <v>12726</v>
      </c>
      <c r="E579" s="13" t="s">
        <v>1150</v>
      </c>
      <c r="F579" s="15">
        <v>367</v>
      </c>
      <c r="G579" s="15">
        <v>367</v>
      </c>
    </row>
    <row r="580" spans="1:7">
      <c r="A580" s="14">
        <v>1406</v>
      </c>
      <c r="B580" s="13" t="s">
        <v>12735</v>
      </c>
      <c r="C580" s="13" t="s">
        <v>12736</v>
      </c>
      <c r="D580" s="13" t="s">
        <v>12726</v>
      </c>
      <c r="E580" s="13" t="s">
        <v>1150</v>
      </c>
      <c r="F580" s="15">
        <v>367</v>
      </c>
      <c r="G580" s="15">
        <v>367</v>
      </c>
    </row>
    <row r="581" spans="1:7">
      <c r="A581" s="14">
        <v>1407</v>
      </c>
      <c r="B581" s="13" t="s">
        <v>12737</v>
      </c>
      <c r="C581" s="13" t="s">
        <v>12738</v>
      </c>
      <c r="D581" s="13" t="s">
        <v>12726</v>
      </c>
      <c r="E581" s="13" t="s">
        <v>1150</v>
      </c>
      <c r="F581" s="15">
        <v>367</v>
      </c>
      <c r="G581" s="15">
        <v>367</v>
      </c>
    </row>
    <row r="582" spans="1:7">
      <c r="A582" s="14">
        <v>1408</v>
      </c>
      <c r="B582" s="13" t="s">
        <v>12739</v>
      </c>
      <c r="C582" s="13" t="s">
        <v>12740</v>
      </c>
      <c r="D582" s="13" t="s">
        <v>12726</v>
      </c>
      <c r="E582" s="13" t="s">
        <v>1150</v>
      </c>
      <c r="F582" s="15">
        <v>367</v>
      </c>
      <c r="G582" s="15">
        <v>367</v>
      </c>
    </row>
    <row r="583" spans="1:7">
      <c r="A583" s="14">
        <v>1409</v>
      </c>
      <c r="B583" s="13" t="s">
        <v>12741</v>
      </c>
      <c r="C583" s="13" t="s">
        <v>12742</v>
      </c>
      <c r="D583" s="13" t="s">
        <v>12726</v>
      </c>
      <c r="E583" s="13" t="s">
        <v>1150</v>
      </c>
      <c r="F583" s="15">
        <v>367</v>
      </c>
      <c r="G583" s="15">
        <v>367</v>
      </c>
    </row>
    <row r="584" spans="1:7">
      <c r="A584" s="14">
        <v>1410</v>
      </c>
      <c r="B584" s="13" t="s">
        <v>12743</v>
      </c>
      <c r="C584" s="13" t="s">
        <v>12744</v>
      </c>
      <c r="D584" s="13" t="s">
        <v>12726</v>
      </c>
      <c r="E584" s="13" t="s">
        <v>1150</v>
      </c>
      <c r="F584" s="15">
        <v>367</v>
      </c>
      <c r="G584" s="15">
        <v>367</v>
      </c>
    </row>
    <row r="585" spans="1:7">
      <c r="A585" s="14">
        <v>1411</v>
      </c>
      <c r="B585" s="13" t="s">
        <v>12745</v>
      </c>
      <c r="C585" s="13" t="s">
        <v>12746</v>
      </c>
      <c r="D585" s="13" t="s">
        <v>12726</v>
      </c>
      <c r="E585" s="13" t="s">
        <v>1150</v>
      </c>
      <c r="F585" s="15">
        <v>367</v>
      </c>
      <c r="G585" s="15">
        <v>367</v>
      </c>
    </row>
    <row r="586" spans="1:7">
      <c r="A586" s="14">
        <v>1414</v>
      </c>
      <c r="B586" s="13" t="s">
        <v>12747</v>
      </c>
      <c r="C586" s="13" t="s">
        <v>12748</v>
      </c>
      <c r="D586" s="13" t="s">
        <v>12726</v>
      </c>
      <c r="E586" s="13" t="s">
        <v>1150</v>
      </c>
      <c r="F586" s="15">
        <v>367</v>
      </c>
      <c r="G586" s="15">
        <v>367</v>
      </c>
    </row>
    <row r="587" spans="1:7">
      <c r="A587" s="14">
        <v>1415</v>
      </c>
      <c r="B587" s="13" t="s">
        <v>12749</v>
      </c>
      <c r="C587" s="13" t="s">
        <v>12750</v>
      </c>
      <c r="D587" s="13" t="s">
        <v>12726</v>
      </c>
      <c r="E587" s="13" t="s">
        <v>1150</v>
      </c>
      <c r="F587" s="15">
        <v>367</v>
      </c>
      <c r="G587" s="15">
        <v>367</v>
      </c>
    </row>
    <row r="588" spans="1:7">
      <c r="A588" s="14">
        <v>1416</v>
      </c>
      <c r="B588" s="13" t="s">
        <v>12751</v>
      </c>
      <c r="C588" s="13" t="s">
        <v>12752</v>
      </c>
      <c r="D588" s="13" t="s">
        <v>12726</v>
      </c>
      <c r="E588" s="13" t="s">
        <v>1150</v>
      </c>
      <c r="F588" s="15">
        <v>367</v>
      </c>
      <c r="G588" s="15">
        <v>367</v>
      </c>
    </row>
    <row r="589" spans="1:7">
      <c r="A589" s="14">
        <v>1417</v>
      </c>
      <c r="B589" s="13" t="s">
        <v>12753</v>
      </c>
      <c r="C589" s="13" t="s">
        <v>12754</v>
      </c>
      <c r="D589" s="13" t="s">
        <v>12726</v>
      </c>
      <c r="E589" s="13" t="s">
        <v>1150</v>
      </c>
      <c r="F589" s="15">
        <v>367</v>
      </c>
      <c r="G589" s="15">
        <v>367</v>
      </c>
    </row>
    <row r="590" spans="1:7">
      <c r="A590" s="14">
        <v>1418</v>
      </c>
      <c r="B590" s="13" t="s">
        <v>12755</v>
      </c>
      <c r="C590" s="13" t="s">
        <v>12756</v>
      </c>
      <c r="D590" s="13" t="s">
        <v>12726</v>
      </c>
      <c r="E590" s="13" t="s">
        <v>1150</v>
      </c>
      <c r="F590" s="15">
        <v>367</v>
      </c>
      <c r="G590" s="15">
        <v>367</v>
      </c>
    </row>
    <row r="591" spans="1:7">
      <c r="A591" s="14">
        <v>1419</v>
      </c>
      <c r="B591" s="13" t="s">
        <v>12757</v>
      </c>
      <c r="C591" s="13" t="s">
        <v>12758</v>
      </c>
      <c r="D591" s="13" t="s">
        <v>12726</v>
      </c>
      <c r="E591" s="13" t="s">
        <v>1150</v>
      </c>
      <c r="F591" s="15">
        <v>37602</v>
      </c>
      <c r="G591" s="15">
        <v>37602</v>
      </c>
    </row>
    <row r="592" spans="1:7">
      <c r="A592" s="14">
        <v>1420</v>
      </c>
      <c r="B592" s="13" t="s">
        <v>12759</v>
      </c>
      <c r="C592" s="13" t="s">
        <v>12760</v>
      </c>
      <c r="D592" s="13" t="s">
        <v>12726</v>
      </c>
      <c r="E592" s="13" t="s">
        <v>1150</v>
      </c>
      <c r="F592" s="15">
        <v>367</v>
      </c>
      <c r="G592" s="15">
        <v>367</v>
      </c>
    </row>
    <row r="593" spans="1:7">
      <c r="A593" s="14">
        <v>1421</v>
      </c>
      <c r="B593" s="13" t="s">
        <v>12761</v>
      </c>
      <c r="C593" s="13" t="s">
        <v>12762</v>
      </c>
      <c r="D593" s="13" t="s">
        <v>12726</v>
      </c>
      <c r="E593" s="13" t="s">
        <v>1150</v>
      </c>
      <c r="F593" s="15">
        <v>367</v>
      </c>
      <c r="G593" s="15">
        <v>367</v>
      </c>
    </row>
    <row r="594" spans="1:7">
      <c r="A594" s="14">
        <v>1423</v>
      </c>
      <c r="B594" s="13" t="s">
        <v>12763</v>
      </c>
      <c r="C594" s="13" t="s">
        <v>12764</v>
      </c>
      <c r="D594" s="13" t="s">
        <v>12726</v>
      </c>
      <c r="E594" s="13" t="s">
        <v>1150</v>
      </c>
      <c r="F594" s="15">
        <v>367</v>
      </c>
      <c r="G594" s="15">
        <v>367</v>
      </c>
    </row>
    <row r="595" spans="1:7">
      <c r="A595" s="14">
        <v>1424</v>
      </c>
      <c r="B595" s="13" t="s">
        <v>12765</v>
      </c>
      <c r="C595" s="13" t="s">
        <v>12766</v>
      </c>
      <c r="D595" s="13" t="s">
        <v>12726</v>
      </c>
      <c r="E595" s="13" t="s">
        <v>1150</v>
      </c>
      <c r="F595" s="15">
        <v>367</v>
      </c>
      <c r="G595" s="15">
        <v>367</v>
      </c>
    </row>
    <row r="596" spans="1:7">
      <c r="A596" s="14">
        <v>1426</v>
      </c>
      <c r="B596" s="13" t="s">
        <v>12767</v>
      </c>
      <c r="C596" s="13" t="s">
        <v>12768</v>
      </c>
      <c r="D596" s="13" t="s">
        <v>12726</v>
      </c>
      <c r="E596" s="13" t="s">
        <v>1150</v>
      </c>
      <c r="F596" s="15">
        <v>367</v>
      </c>
      <c r="G596" s="15">
        <v>367</v>
      </c>
    </row>
    <row r="597" spans="1:7">
      <c r="A597" s="14">
        <v>1428</v>
      </c>
      <c r="B597" s="13" t="s">
        <v>12769</v>
      </c>
      <c r="C597" s="13" t="s">
        <v>12770</v>
      </c>
      <c r="D597" s="13" t="s">
        <v>12726</v>
      </c>
      <c r="E597" s="13" t="s">
        <v>1150</v>
      </c>
      <c r="F597" s="15">
        <v>367</v>
      </c>
      <c r="G597" s="15">
        <v>367</v>
      </c>
    </row>
    <row r="598" spans="1:7">
      <c r="A598" s="14">
        <v>1431</v>
      </c>
      <c r="B598" s="13" t="s">
        <v>12771</v>
      </c>
      <c r="C598" s="13" t="s">
        <v>12772</v>
      </c>
      <c r="D598" s="13" t="s">
        <v>12726</v>
      </c>
      <c r="E598" s="13" t="s">
        <v>1150</v>
      </c>
      <c r="F598" s="15">
        <v>367</v>
      </c>
      <c r="G598" s="15">
        <v>367</v>
      </c>
    </row>
    <row r="599" spans="1:7">
      <c r="A599" s="14">
        <v>1433</v>
      </c>
      <c r="B599" s="13" t="s">
        <v>12773</v>
      </c>
      <c r="C599" s="13" t="s">
        <v>12774</v>
      </c>
      <c r="D599" s="13" t="s">
        <v>12726</v>
      </c>
      <c r="E599" s="13" t="s">
        <v>1150</v>
      </c>
      <c r="F599" s="15">
        <v>367</v>
      </c>
      <c r="G599" s="15">
        <v>367</v>
      </c>
    </row>
    <row r="600" spans="1:7">
      <c r="A600" s="14">
        <v>1434</v>
      </c>
      <c r="B600" s="13" t="s">
        <v>12775</v>
      </c>
      <c r="C600" s="13" t="s">
        <v>12776</v>
      </c>
      <c r="D600" s="13" t="s">
        <v>12726</v>
      </c>
      <c r="E600" s="13" t="s">
        <v>1150</v>
      </c>
      <c r="F600" s="15">
        <v>367</v>
      </c>
      <c r="G600" s="15">
        <v>367</v>
      </c>
    </row>
    <row r="601" spans="1:7">
      <c r="A601" s="14">
        <v>1435</v>
      </c>
      <c r="B601" s="13" t="s">
        <v>12777</v>
      </c>
      <c r="C601" s="13" t="s">
        <v>12778</v>
      </c>
      <c r="D601" s="13" t="s">
        <v>12726</v>
      </c>
      <c r="E601" s="13" t="s">
        <v>1150</v>
      </c>
      <c r="F601" s="15">
        <v>367</v>
      </c>
      <c r="G601" s="15">
        <v>367</v>
      </c>
    </row>
    <row r="602" spans="1:7">
      <c r="A602" s="14">
        <v>1436</v>
      </c>
      <c r="B602" s="13" t="s">
        <v>12779</v>
      </c>
      <c r="C602" s="13" t="s">
        <v>12780</v>
      </c>
      <c r="D602" s="13" t="s">
        <v>12726</v>
      </c>
      <c r="E602" s="13" t="s">
        <v>1150</v>
      </c>
      <c r="F602" s="15">
        <v>367</v>
      </c>
      <c r="G602" s="15">
        <v>367</v>
      </c>
    </row>
    <row r="603" spans="1:7">
      <c r="A603" s="14">
        <v>1437</v>
      </c>
      <c r="B603" s="13" t="s">
        <v>12781</v>
      </c>
      <c r="C603" s="13" t="s">
        <v>12782</v>
      </c>
      <c r="D603" s="13" t="s">
        <v>12726</v>
      </c>
      <c r="E603" s="13" t="s">
        <v>1150</v>
      </c>
      <c r="F603" s="15">
        <v>367</v>
      </c>
      <c r="G603" s="15">
        <v>367</v>
      </c>
    </row>
    <row r="604" spans="1:7">
      <c r="A604" s="14">
        <v>1439</v>
      </c>
      <c r="B604" s="13" t="s">
        <v>12783</v>
      </c>
      <c r="C604" s="13" t="s">
        <v>12784</v>
      </c>
      <c r="D604" s="13" t="s">
        <v>12726</v>
      </c>
      <c r="E604" s="13" t="s">
        <v>1150</v>
      </c>
      <c r="F604" s="15">
        <v>367</v>
      </c>
      <c r="G604" s="15">
        <v>367</v>
      </c>
    </row>
    <row r="605" spans="1:7">
      <c r="A605" s="14">
        <v>1440</v>
      </c>
      <c r="B605" s="13" t="s">
        <v>12785</v>
      </c>
      <c r="C605" s="13" t="s">
        <v>12786</v>
      </c>
      <c r="D605" s="13" t="s">
        <v>12726</v>
      </c>
      <c r="E605" s="13" t="s">
        <v>1150</v>
      </c>
      <c r="F605" s="15">
        <v>367</v>
      </c>
      <c r="G605" s="15">
        <v>367</v>
      </c>
    </row>
    <row r="606" spans="1:7">
      <c r="A606" s="14">
        <v>1441</v>
      </c>
      <c r="B606" s="13" t="s">
        <v>12787</v>
      </c>
      <c r="C606" s="13" t="s">
        <v>12788</v>
      </c>
      <c r="D606" s="13" t="s">
        <v>12726</v>
      </c>
      <c r="E606" s="13" t="s">
        <v>1150</v>
      </c>
      <c r="F606" s="15">
        <v>367</v>
      </c>
      <c r="G606" s="15">
        <v>367</v>
      </c>
    </row>
    <row r="607" spans="1:7">
      <c r="A607" s="14">
        <v>1442</v>
      </c>
      <c r="B607" s="13" t="s">
        <v>12789</v>
      </c>
      <c r="C607" s="13" t="s">
        <v>12790</v>
      </c>
      <c r="D607" s="13" t="s">
        <v>12726</v>
      </c>
      <c r="E607" s="13" t="s">
        <v>1150</v>
      </c>
      <c r="F607" s="15">
        <v>367</v>
      </c>
      <c r="G607" s="15">
        <v>367</v>
      </c>
    </row>
    <row r="608" spans="1:7">
      <c r="A608" s="14">
        <v>1443</v>
      </c>
      <c r="B608" s="13" t="s">
        <v>12791</v>
      </c>
      <c r="C608" s="13" t="s">
        <v>12792</v>
      </c>
      <c r="D608" s="13" t="s">
        <v>12726</v>
      </c>
      <c r="E608" s="13" t="s">
        <v>1150</v>
      </c>
      <c r="F608" s="15">
        <v>367</v>
      </c>
      <c r="G608" s="15">
        <v>367</v>
      </c>
    </row>
    <row r="609" spans="1:7">
      <c r="A609" s="14">
        <v>1446</v>
      </c>
      <c r="B609" s="13" t="s">
        <v>12793</v>
      </c>
      <c r="C609" s="13" t="s">
        <v>12794</v>
      </c>
      <c r="D609" s="13" t="s">
        <v>12726</v>
      </c>
      <c r="E609" s="13" t="s">
        <v>1150</v>
      </c>
      <c r="F609" s="15">
        <v>367</v>
      </c>
      <c r="G609" s="15">
        <v>367</v>
      </c>
    </row>
    <row r="610" spans="1:7">
      <c r="A610" s="14">
        <v>1447</v>
      </c>
      <c r="B610" s="13" t="s">
        <v>12795</v>
      </c>
      <c r="C610" s="13" t="s">
        <v>12796</v>
      </c>
      <c r="D610" s="13" t="s">
        <v>12726</v>
      </c>
      <c r="E610" s="13" t="s">
        <v>1150</v>
      </c>
      <c r="F610" s="15">
        <v>368</v>
      </c>
      <c r="G610" s="15">
        <v>368</v>
      </c>
    </row>
    <row r="611" spans="1:7">
      <c r="A611" s="14">
        <v>1449</v>
      </c>
      <c r="B611" s="13" t="s">
        <v>12797</v>
      </c>
      <c r="C611" s="13" t="s">
        <v>12798</v>
      </c>
      <c r="D611" s="13" t="s">
        <v>12726</v>
      </c>
      <c r="E611" s="13" t="s">
        <v>1150</v>
      </c>
      <c r="F611" s="15">
        <v>367</v>
      </c>
      <c r="G611" s="15">
        <v>367</v>
      </c>
    </row>
    <row r="612" spans="1:7">
      <c r="A612" s="14">
        <v>1450</v>
      </c>
      <c r="B612" s="13" t="s">
        <v>12799</v>
      </c>
      <c r="C612" s="13" t="s">
        <v>12800</v>
      </c>
      <c r="D612" s="13" t="s">
        <v>12726</v>
      </c>
      <c r="E612" s="13" t="s">
        <v>1150</v>
      </c>
      <c r="F612" s="15">
        <v>367</v>
      </c>
      <c r="G612" s="15">
        <v>367</v>
      </c>
    </row>
    <row r="613" spans="1:7">
      <c r="A613" s="14">
        <v>1902</v>
      </c>
      <c r="B613" s="13" t="s">
        <v>12801</v>
      </c>
      <c r="C613" s="13" t="s">
        <v>12802</v>
      </c>
      <c r="D613" s="13" t="s">
        <v>12803</v>
      </c>
      <c r="E613" s="13" t="s">
        <v>1150</v>
      </c>
      <c r="F613" s="15">
        <v>367</v>
      </c>
      <c r="G613" s="15">
        <v>367</v>
      </c>
    </row>
    <row r="614" spans="1:7">
      <c r="A614" s="14">
        <v>1903</v>
      </c>
      <c r="B614" s="13" t="s">
        <v>12804</v>
      </c>
      <c r="C614" s="13" t="s">
        <v>12805</v>
      </c>
      <c r="D614" s="13" t="s">
        <v>12803</v>
      </c>
      <c r="E614" s="13" t="s">
        <v>1150</v>
      </c>
      <c r="F614" s="15">
        <v>367</v>
      </c>
      <c r="G614" s="15">
        <v>367</v>
      </c>
    </row>
    <row r="615" spans="1:7">
      <c r="A615" s="14">
        <v>1904</v>
      </c>
      <c r="B615" s="13" t="s">
        <v>12806</v>
      </c>
      <c r="C615" s="13" t="s">
        <v>12807</v>
      </c>
      <c r="D615" s="13" t="s">
        <v>12803</v>
      </c>
      <c r="E615" s="13" t="s">
        <v>1150</v>
      </c>
      <c r="F615" s="15">
        <v>367</v>
      </c>
      <c r="G615" s="15">
        <v>367</v>
      </c>
    </row>
    <row r="616" spans="1:7">
      <c r="A616" s="14">
        <v>1905</v>
      </c>
      <c r="B616" s="13" t="s">
        <v>12808</v>
      </c>
      <c r="C616" s="13" t="s">
        <v>12809</v>
      </c>
      <c r="D616" s="13" t="s">
        <v>12803</v>
      </c>
      <c r="E616" s="13" t="s">
        <v>1150</v>
      </c>
      <c r="F616" s="15">
        <v>367</v>
      </c>
      <c r="G616" s="15">
        <v>367</v>
      </c>
    </row>
    <row r="617" spans="1:7">
      <c r="A617" s="14">
        <v>1906</v>
      </c>
      <c r="B617" s="13" t="s">
        <v>12810</v>
      </c>
      <c r="C617" s="13" t="s">
        <v>12811</v>
      </c>
      <c r="D617" s="13" t="s">
        <v>12803</v>
      </c>
      <c r="E617" s="13" t="s">
        <v>1150</v>
      </c>
      <c r="F617" s="15">
        <v>367</v>
      </c>
      <c r="G617" s="15">
        <v>367</v>
      </c>
    </row>
    <row r="618" spans="1:7">
      <c r="A618" s="14">
        <v>1907</v>
      </c>
      <c r="B618" s="13" t="s">
        <v>12812</v>
      </c>
      <c r="C618" s="13" t="s">
        <v>12813</v>
      </c>
      <c r="D618" s="13" t="s">
        <v>12803</v>
      </c>
      <c r="E618" s="13" t="s">
        <v>1150</v>
      </c>
      <c r="F618" s="15">
        <v>367</v>
      </c>
      <c r="G618" s="15">
        <v>367</v>
      </c>
    </row>
    <row r="619" spans="1:7">
      <c r="A619" s="14">
        <v>1908</v>
      </c>
      <c r="B619" s="13" t="s">
        <v>12814</v>
      </c>
      <c r="C619" s="13" t="s">
        <v>12815</v>
      </c>
      <c r="D619" s="13" t="s">
        <v>12803</v>
      </c>
      <c r="E619" s="13" t="s">
        <v>1150</v>
      </c>
      <c r="F619" s="15">
        <v>44013</v>
      </c>
      <c r="G619" s="15">
        <v>44013</v>
      </c>
    </row>
    <row r="620" spans="1:7">
      <c r="A620" s="14">
        <v>1909</v>
      </c>
      <c r="B620" s="13" t="s">
        <v>12816</v>
      </c>
      <c r="C620" s="13" t="s">
        <v>12817</v>
      </c>
      <c r="D620" s="13" t="s">
        <v>12803</v>
      </c>
      <c r="E620" s="13" t="s">
        <v>1150</v>
      </c>
      <c r="F620" s="15">
        <v>37638</v>
      </c>
      <c r="G620" s="15">
        <v>37638</v>
      </c>
    </row>
    <row r="621" spans="1:7">
      <c r="A621" s="14">
        <v>1910</v>
      </c>
      <c r="B621" s="13" t="s">
        <v>12818</v>
      </c>
      <c r="C621" s="13" t="s">
        <v>12819</v>
      </c>
      <c r="D621" s="13" t="s">
        <v>12803</v>
      </c>
      <c r="E621" s="13" t="s">
        <v>1150</v>
      </c>
      <c r="F621" s="15">
        <v>37602</v>
      </c>
      <c r="G621" s="15">
        <v>37602</v>
      </c>
    </row>
    <row r="622" spans="1:7">
      <c r="A622" s="14">
        <v>1911</v>
      </c>
      <c r="B622" s="13" t="s">
        <v>12820</v>
      </c>
      <c r="C622" s="13" t="s">
        <v>12821</v>
      </c>
      <c r="D622" s="13" t="s">
        <v>12803</v>
      </c>
      <c r="E622" s="13" t="s">
        <v>1150</v>
      </c>
      <c r="F622" s="15">
        <v>41589</v>
      </c>
      <c r="G622" s="15">
        <v>41589</v>
      </c>
    </row>
    <row r="623" spans="1:7">
      <c r="A623" s="14">
        <v>1912</v>
      </c>
      <c r="B623" s="13" t="s">
        <v>12822</v>
      </c>
      <c r="C623" s="13" t="s">
        <v>12823</v>
      </c>
      <c r="D623" s="13" t="s">
        <v>12803</v>
      </c>
      <c r="E623" s="13" t="s">
        <v>1150</v>
      </c>
      <c r="F623" s="15">
        <v>41791</v>
      </c>
      <c r="G623" s="15">
        <v>41791</v>
      </c>
    </row>
    <row r="624" spans="1:7">
      <c r="A624" s="14">
        <v>1992</v>
      </c>
      <c r="B624" s="13" t="s">
        <v>12824</v>
      </c>
      <c r="C624" s="13" t="s">
        <v>12825</v>
      </c>
      <c r="D624" s="13" t="s">
        <v>12803</v>
      </c>
      <c r="E624" s="13" t="s">
        <v>1150</v>
      </c>
      <c r="F624" s="15">
        <v>367</v>
      </c>
      <c r="G624" s="15">
        <v>367</v>
      </c>
    </row>
    <row r="625" spans="1:7">
      <c r="A625" s="14">
        <v>2001</v>
      </c>
      <c r="B625" s="13" t="s">
        <v>12826</v>
      </c>
      <c r="C625" s="13" t="s">
        <v>12827</v>
      </c>
      <c r="D625" s="13" t="s">
        <v>2179</v>
      </c>
      <c r="E625" s="13" t="s">
        <v>1150</v>
      </c>
      <c r="F625" s="15">
        <v>367</v>
      </c>
      <c r="G625" s="15">
        <v>367</v>
      </c>
    </row>
    <row r="626" spans="1:7">
      <c r="A626" s="14">
        <v>2002</v>
      </c>
      <c r="B626" s="13" t="s">
        <v>12828</v>
      </c>
      <c r="C626" s="13" t="s">
        <v>12829</v>
      </c>
      <c r="D626" s="13" t="s">
        <v>2179</v>
      </c>
      <c r="E626" s="13" t="s">
        <v>1150</v>
      </c>
      <c r="F626" s="15">
        <v>367</v>
      </c>
      <c r="G626" s="15">
        <v>367</v>
      </c>
    </row>
    <row r="627" spans="1:7">
      <c r="A627" s="14">
        <v>2003</v>
      </c>
      <c r="B627" s="13" t="s">
        <v>12830</v>
      </c>
      <c r="C627" s="13" t="s">
        <v>12831</v>
      </c>
      <c r="D627" s="13" t="s">
        <v>2179</v>
      </c>
      <c r="E627" s="13" t="s">
        <v>1150</v>
      </c>
      <c r="F627" s="15">
        <v>367</v>
      </c>
      <c r="G627" s="15">
        <v>367</v>
      </c>
    </row>
    <row r="628" spans="1:7">
      <c r="A628" s="14">
        <v>2004</v>
      </c>
      <c r="B628" s="13" t="s">
        <v>12832</v>
      </c>
      <c r="C628" s="13" t="s">
        <v>12833</v>
      </c>
      <c r="D628" s="13" t="s">
        <v>2179</v>
      </c>
      <c r="E628" s="13" t="s">
        <v>1150</v>
      </c>
      <c r="F628" s="15">
        <v>367</v>
      </c>
      <c r="G628" s="15">
        <v>367</v>
      </c>
    </row>
    <row r="629" spans="1:7">
      <c r="A629" s="14">
        <v>2006</v>
      </c>
      <c r="B629" s="13" t="s">
        <v>12834</v>
      </c>
      <c r="C629" s="13" t="s">
        <v>12835</v>
      </c>
      <c r="D629" s="13" t="s">
        <v>2179</v>
      </c>
      <c r="E629" s="13" t="s">
        <v>1150</v>
      </c>
      <c r="F629" s="15">
        <v>367</v>
      </c>
      <c r="G629" s="15">
        <v>367</v>
      </c>
    </row>
    <row r="630" spans="1:7">
      <c r="A630" s="14">
        <v>2008</v>
      </c>
      <c r="B630" s="13" t="s">
        <v>12836</v>
      </c>
      <c r="C630" s="13" t="s">
        <v>12837</v>
      </c>
      <c r="D630" s="13" t="s">
        <v>2179</v>
      </c>
      <c r="E630" s="13" t="s">
        <v>1150</v>
      </c>
      <c r="F630" s="15">
        <v>367</v>
      </c>
      <c r="G630" s="15">
        <v>367</v>
      </c>
    </row>
    <row r="631" spans="1:7">
      <c r="A631" s="14">
        <v>2009</v>
      </c>
      <c r="B631" s="13" t="s">
        <v>12838</v>
      </c>
      <c r="C631" s="13" t="s">
        <v>12839</v>
      </c>
      <c r="D631" s="13" t="s">
        <v>2179</v>
      </c>
      <c r="E631" s="13" t="s">
        <v>1150</v>
      </c>
      <c r="F631" s="15">
        <v>367</v>
      </c>
      <c r="G631" s="15">
        <v>367</v>
      </c>
    </row>
    <row r="632" spans="1:7">
      <c r="A632" s="14">
        <v>2010</v>
      </c>
      <c r="B632" s="13" t="s">
        <v>12840</v>
      </c>
      <c r="C632" s="13" t="s">
        <v>12841</v>
      </c>
      <c r="D632" s="13" t="s">
        <v>2179</v>
      </c>
      <c r="E632" s="13" t="s">
        <v>1150</v>
      </c>
      <c r="F632" s="15">
        <v>367</v>
      </c>
      <c r="G632" s="15">
        <v>367</v>
      </c>
    </row>
    <row r="633" spans="1:7">
      <c r="A633" s="14">
        <v>2012</v>
      </c>
      <c r="B633" s="13" t="s">
        <v>12842</v>
      </c>
      <c r="C633" s="13" t="s">
        <v>12843</v>
      </c>
      <c r="D633" s="13" t="s">
        <v>2179</v>
      </c>
      <c r="E633" s="13" t="s">
        <v>1150</v>
      </c>
      <c r="F633" s="15">
        <v>367</v>
      </c>
      <c r="G633" s="15">
        <v>367</v>
      </c>
    </row>
    <row r="634" spans="1:7">
      <c r="A634" s="14">
        <v>2015</v>
      </c>
      <c r="B634" s="13" t="s">
        <v>12844</v>
      </c>
      <c r="C634" s="13" t="s">
        <v>12845</v>
      </c>
      <c r="D634" s="13" t="s">
        <v>2179</v>
      </c>
      <c r="E634" s="13" t="s">
        <v>1150</v>
      </c>
      <c r="F634" s="15">
        <v>367</v>
      </c>
      <c r="G634" s="15">
        <v>367</v>
      </c>
    </row>
    <row r="635" spans="1:7">
      <c r="A635" s="14">
        <v>2017</v>
      </c>
      <c r="B635" s="13" t="s">
        <v>12846</v>
      </c>
      <c r="C635" s="13" t="s">
        <v>12847</v>
      </c>
      <c r="D635" s="13" t="s">
        <v>2179</v>
      </c>
      <c r="E635" s="13" t="s">
        <v>1150</v>
      </c>
      <c r="F635" s="15">
        <v>367</v>
      </c>
      <c r="G635" s="15">
        <v>367</v>
      </c>
    </row>
    <row r="636" spans="1:7">
      <c r="A636" s="14">
        <v>2018</v>
      </c>
      <c r="B636" s="13" t="s">
        <v>12848</v>
      </c>
      <c r="C636" s="13" t="s">
        <v>12849</v>
      </c>
      <c r="D636" s="13" t="s">
        <v>2179</v>
      </c>
      <c r="E636" s="13" t="s">
        <v>1150</v>
      </c>
      <c r="F636" s="15">
        <v>367</v>
      </c>
      <c r="G636" s="15">
        <v>367</v>
      </c>
    </row>
    <row r="637" spans="1:7">
      <c r="A637" s="14">
        <v>2022</v>
      </c>
      <c r="B637" s="13" t="s">
        <v>12850</v>
      </c>
      <c r="C637" s="13" t="s">
        <v>12851</v>
      </c>
      <c r="D637" s="13" t="s">
        <v>2179</v>
      </c>
      <c r="E637" s="13" t="s">
        <v>1150</v>
      </c>
      <c r="F637" s="15">
        <v>367</v>
      </c>
      <c r="G637" s="15">
        <v>367</v>
      </c>
    </row>
    <row r="638" spans="1:7">
      <c r="A638" s="14">
        <v>2023</v>
      </c>
      <c r="B638" s="13" t="s">
        <v>12852</v>
      </c>
      <c r="C638" s="13" t="s">
        <v>12853</v>
      </c>
      <c r="D638" s="13" t="s">
        <v>2179</v>
      </c>
      <c r="E638" s="13" t="s">
        <v>1150</v>
      </c>
      <c r="F638" s="15">
        <v>367</v>
      </c>
      <c r="G638" s="15">
        <v>367</v>
      </c>
    </row>
    <row r="639" spans="1:7">
      <c r="A639" s="14">
        <v>2030</v>
      </c>
      <c r="B639" s="13" t="s">
        <v>12854</v>
      </c>
      <c r="C639" s="13" t="s">
        <v>12855</v>
      </c>
      <c r="D639" s="13" t="s">
        <v>2179</v>
      </c>
      <c r="E639" s="13" t="s">
        <v>1150</v>
      </c>
      <c r="F639" s="15">
        <v>367</v>
      </c>
      <c r="G639" s="15">
        <v>367</v>
      </c>
    </row>
    <row r="640" spans="1:7">
      <c r="A640" s="14">
        <v>2031</v>
      </c>
      <c r="B640" s="13" t="s">
        <v>12856</v>
      </c>
      <c r="C640" s="13" t="s">
        <v>12857</v>
      </c>
      <c r="D640" s="13" t="s">
        <v>2179</v>
      </c>
      <c r="E640" s="13" t="s">
        <v>1150</v>
      </c>
      <c r="F640" s="15">
        <v>367</v>
      </c>
      <c r="G640" s="15">
        <v>367</v>
      </c>
    </row>
    <row r="641" spans="1:7">
      <c r="A641" s="14">
        <v>2035</v>
      </c>
      <c r="B641" s="13" t="s">
        <v>12858</v>
      </c>
      <c r="C641" s="13" t="s">
        <v>12859</v>
      </c>
      <c r="D641" s="13" t="s">
        <v>2179</v>
      </c>
      <c r="E641" s="13" t="s">
        <v>1150</v>
      </c>
      <c r="F641" s="15">
        <v>367</v>
      </c>
      <c r="G641" s="15">
        <v>367</v>
      </c>
    </row>
    <row r="642" spans="1:7">
      <c r="A642" s="14">
        <v>2037</v>
      </c>
      <c r="B642" s="13" t="s">
        <v>12860</v>
      </c>
      <c r="C642" s="13" t="s">
        <v>12861</v>
      </c>
      <c r="D642" s="13" t="s">
        <v>2179</v>
      </c>
      <c r="E642" s="13" t="s">
        <v>1150</v>
      </c>
      <c r="F642" s="15">
        <v>367</v>
      </c>
      <c r="G642" s="15">
        <v>367</v>
      </c>
    </row>
    <row r="643" spans="1:7">
      <c r="A643" s="14">
        <v>2038</v>
      </c>
      <c r="B643" s="13" t="s">
        <v>12862</v>
      </c>
      <c r="C643" s="13" t="s">
        <v>12863</v>
      </c>
      <c r="D643" s="13" t="s">
        <v>2179</v>
      </c>
      <c r="E643" s="13" t="s">
        <v>1150</v>
      </c>
      <c r="F643" s="15">
        <v>367</v>
      </c>
      <c r="G643" s="15">
        <v>367</v>
      </c>
    </row>
    <row r="644" spans="1:7">
      <c r="A644" s="14">
        <v>2044</v>
      </c>
      <c r="B644" s="13" t="s">
        <v>12864</v>
      </c>
      <c r="C644" s="13" t="s">
        <v>12865</v>
      </c>
      <c r="D644" s="13" t="s">
        <v>2179</v>
      </c>
      <c r="E644" s="13" t="s">
        <v>1150</v>
      </c>
      <c r="F644" s="15">
        <v>367</v>
      </c>
      <c r="G644" s="15">
        <v>367</v>
      </c>
    </row>
    <row r="645" spans="1:7">
      <c r="A645" s="14">
        <v>2045</v>
      </c>
      <c r="B645" s="13" t="s">
        <v>12866</v>
      </c>
      <c r="C645" s="13" t="s">
        <v>12867</v>
      </c>
      <c r="D645" s="13" t="s">
        <v>2179</v>
      </c>
      <c r="E645" s="13" t="s">
        <v>1150</v>
      </c>
      <c r="F645" s="15">
        <v>367</v>
      </c>
      <c r="G645" s="15">
        <v>367</v>
      </c>
    </row>
    <row r="646" spans="1:7">
      <c r="A646" s="14">
        <v>2047</v>
      </c>
      <c r="B646" s="13" t="s">
        <v>12868</v>
      </c>
      <c r="C646" s="13" t="s">
        <v>12869</v>
      </c>
      <c r="D646" s="13" t="s">
        <v>2179</v>
      </c>
      <c r="E646" s="13" t="s">
        <v>1150</v>
      </c>
      <c r="F646" s="15">
        <v>367</v>
      </c>
      <c r="G646" s="15">
        <v>367</v>
      </c>
    </row>
    <row r="647" spans="1:7">
      <c r="A647" s="14">
        <v>2048</v>
      </c>
      <c r="B647" s="13" t="s">
        <v>12870</v>
      </c>
      <c r="C647" s="13" t="s">
        <v>12871</v>
      </c>
      <c r="D647" s="13" t="s">
        <v>2179</v>
      </c>
      <c r="E647" s="13" t="s">
        <v>1150</v>
      </c>
      <c r="F647" s="15">
        <v>367</v>
      </c>
      <c r="G647" s="15">
        <v>367</v>
      </c>
    </row>
    <row r="648" spans="1:7">
      <c r="A648" s="14">
        <v>2051</v>
      </c>
      <c r="B648" s="13" t="s">
        <v>12872</v>
      </c>
      <c r="C648" s="13" t="s">
        <v>12873</v>
      </c>
      <c r="D648" s="13" t="s">
        <v>2179</v>
      </c>
      <c r="E648" s="13" t="s">
        <v>1150</v>
      </c>
      <c r="F648" s="15">
        <v>367</v>
      </c>
      <c r="G648" s="15">
        <v>367</v>
      </c>
    </row>
    <row r="649" spans="1:7">
      <c r="A649" s="14">
        <v>2053</v>
      </c>
      <c r="B649" s="13" t="s">
        <v>12874</v>
      </c>
      <c r="C649" s="13" t="s">
        <v>12875</v>
      </c>
      <c r="D649" s="13" t="s">
        <v>2179</v>
      </c>
      <c r="E649" s="13" t="s">
        <v>1150</v>
      </c>
      <c r="F649" s="15">
        <v>367</v>
      </c>
      <c r="G649" s="15">
        <v>367</v>
      </c>
    </row>
    <row r="650" spans="1:7">
      <c r="A650" s="14">
        <v>2054</v>
      </c>
      <c r="B650" s="13" t="s">
        <v>12876</v>
      </c>
      <c r="C650" s="13" t="s">
        <v>12877</v>
      </c>
      <c r="D650" s="13" t="s">
        <v>2179</v>
      </c>
      <c r="E650" s="13" t="s">
        <v>1150</v>
      </c>
      <c r="F650" s="15">
        <v>367</v>
      </c>
      <c r="G650" s="15">
        <v>367</v>
      </c>
    </row>
    <row r="651" spans="1:7">
      <c r="A651" s="14">
        <v>2055</v>
      </c>
      <c r="B651" s="13" t="s">
        <v>12878</v>
      </c>
      <c r="C651" s="13" t="s">
        <v>12879</v>
      </c>
      <c r="D651" s="13" t="s">
        <v>2179</v>
      </c>
      <c r="E651" s="13" t="s">
        <v>1150</v>
      </c>
      <c r="F651" s="15">
        <v>367</v>
      </c>
      <c r="G651" s="15">
        <v>367</v>
      </c>
    </row>
    <row r="652" spans="1:7">
      <c r="A652" s="14">
        <v>2061</v>
      </c>
      <c r="B652" s="13" t="s">
        <v>12880</v>
      </c>
      <c r="C652" s="13" t="s">
        <v>12881</v>
      </c>
      <c r="D652" s="13" t="s">
        <v>2179</v>
      </c>
      <c r="E652" s="13" t="s">
        <v>1150</v>
      </c>
      <c r="F652" s="15">
        <v>367</v>
      </c>
      <c r="G652" s="15">
        <v>367</v>
      </c>
    </row>
    <row r="653" spans="1:7">
      <c r="A653" s="14">
        <v>2062</v>
      </c>
      <c r="B653" s="13" t="s">
        <v>12882</v>
      </c>
      <c r="C653" s="13" t="s">
        <v>12883</v>
      </c>
      <c r="D653" s="13" t="s">
        <v>2179</v>
      </c>
      <c r="E653" s="13" t="s">
        <v>1150</v>
      </c>
      <c r="F653" s="15">
        <v>367</v>
      </c>
      <c r="G653" s="15">
        <v>367</v>
      </c>
    </row>
    <row r="654" spans="1:7">
      <c r="A654" s="14">
        <v>2067</v>
      </c>
      <c r="B654" s="13" t="s">
        <v>12884</v>
      </c>
      <c r="C654" s="13" t="s">
        <v>12885</v>
      </c>
      <c r="D654" s="13" t="s">
        <v>2179</v>
      </c>
      <c r="E654" s="13" t="s">
        <v>1150</v>
      </c>
      <c r="F654" s="15">
        <v>367</v>
      </c>
      <c r="G654" s="15">
        <v>367</v>
      </c>
    </row>
    <row r="655" spans="1:7">
      <c r="A655" s="14">
        <v>2072</v>
      </c>
      <c r="B655" s="13" t="s">
        <v>12886</v>
      </c>
      <c r="C655" s="13" t="s">
        <v>12887</v>
      </c>
      <c r="D655" s="13" t="s">
        <v>2179</v>
      </c>
      <c r="E655" s="13" t="s">
        <v>1150</v>
      </c>
      <c r="F655" s="15">
        <v>367</v>
      </c>
      <c r="G655" s="15">
        <v>367</v>
      </c>
    </row>
    <row r="656" spans="1:7">
      <c r="A656" s="14">
        <v>2078</v>
      </c>
      <c r="B656" s="13" t="s">
        <v>12888</v>
      </c>
      <c r="C656" s="13" t="s">
        <v>12889</v>
      </c>
      <c r="D656" s="13" t="s">
        <v>2179</v>
      </c>
      <c r="E656" s="13" t="s">
        <v>1150</v>
      </c>
      <c r="F656" s="15">
        <v>367</v>
      </c>
      <c r="G656" s="15">
        <v>367</v>
      </c>
    </row>
    <row r="657" spans="1:7">
      <c r="A657" s="14">
        <v>2083</v>
      </c>
      <c r="B657" s="13" t="s">
        <v>12890</v>
      </c>
      <c r="C657" s="13" t="s">
        <v>12891</v>
      </c>
      <c r="D657" s="13" t="s">
        <v>2179</v>
      </c>
      <c r="E657" s="13" t="s">
        <v>1150</v>
      </c>
      <c r="F657" s="15">
        <v>367</v>
      </c>
      <c r="G657" s="15">
        <v>367</v>
      </c>
    </row>
    <row r="658" spans="1:7">
      <c r="A658" s="14">
        <v>2084</v>
      </c>
      <c r="B658" s="13" t="s">
        <v>12892</v>
      </c>
      <c r="C658" s="13" t="s">
        <v>12893</v>
      </c>
      <c r="D658" s="13" t="s">
        <v>2179</v>
      </c>
      <c r="E658" s="13" t="s">
        <v>1150</v>
      </c>
      <c r="F658" s="15">
        <v>367</v>
      </c>
      <c r="G658" s="15">
        <v>367</v>
      </c>
    </row>
    <row r="659" spans="1:7">
      <c r="A659" s="14">
        <v>2085</v>
      </c>
      <c r="B659" s="13" t="s">
        <v>12894</v>
      </c>
      <c r="C659" s="13" t="s">
        <v>12895</v>
      </c>
      <c r="D659" s="13" t="s">
        <v>2179</v>
      </c>
      <c r="E659" s="13" t="s">
        <v>1150</v>
      </c>
      <c r="F659" s="15">
        <v>367</v>
      </c>
      <c r="G659" s="15">
        <v>367</v>
      </c>
    </row>
    <row r="660" spans="1:7">
      <c r="A660" s="14">
        <v>2086</v>
      </c>
      <c r="B660" s="13" t="s">
        <v>12896</v>
      </c>
      <c r="C660" s="13" t="s">
        <v>12897</v>
      </c>
      <c r="D660" s="13" t="s">
        <v>2179</v>
      </c>
      <c r="E660" s="13" t="s">
        <v>1150</v>
      </c>
      <c r="F660" s="15">
        <v>368</v>
      </c>
      <c r="G660" s="15">
        <v>368</v>
      </c>
    </row>
    <row r="661" spans="1:7">
      <c r="A661" s="14">
        <v>2088</v>
      </c>
      <c r="B661" s="13" t="s">
        <v>12898</v>
      </c>
      <c r="C661" s="13" t="s">
        <v>12899</v>
      </c>
      <c r="D661" s="13" t="s">
        <v>2179</v>
      </c>
      <c r="E661" s="13" t="s">
        <v>1150</v>
      </c>
      <c r="F661" s="15">
        <v>367</v>
      </c>
      <c r="G661" s="15">
        <v>367</v>
      </c>
    </row>
    <row r="662" spans="1:7">
      <c r="A662" s="14">
        <v>2094</v>
      </c>
      <c r="B662" s="13" t="s">
        <v>12900</v>
      </c>
      <c r="C662" s="13" t="s">
        <v>12901</v>
      </c>
      <c r="D662" s="13" t="s">
        <v>2179</v>
      </c>
      <c r="E662" s="13" t="s">
        <v>1150</v>
      </c>
      <c r="F662" s="15">
        <v>367</v>
      </c>
      <c r="G662" s="15">
        <v>367</v>
      </c>
    </row>
    <row r="663" spans="1:7">
      <c r="A663" s="14">
        <v>2097</v>
      </c>
      <c r="B663" s="13" t="s">
        <v>12902</v>
      </c>
      <c r="C663" s="13" t="s">
        <v>12903</v>
      </c>
      <c r="D663" s="13" t="s">
        <v>2179</v>
      </c>
      <c r="E663" s="13" t="s">
        <v>1150</v>
      </c>
      <c r="F663" s="15">
        <v>367</v>
      </c>
      <c r="G663" s="15">
        <v>367</v>
      </c>
    </row>
    <row r="664" spans="1:7">
      <c r="A664" s="14">
        <v>2101</v>
      </c>
      <c r="B664" s="13" t="s">
        <v>12904</v>
      </c>
      <c r="C664" s="13" t="s">
        <v>12905</v>
      </c>
      <c r="D664" s="13" t="s">
        <v>2179</v>
      </c>
      <c r="E664" s="13" t="s">
        <v>1150</v>
      </c>
      <c r="F664" s="15">
        <v>367</v>
      </c>
      <c r="G664" s="15">
        <v>367</v>
      </c>
    </row>
    <row r="665" spans="1:7">
      <c r="A665" s="14">
        <v>2102</v>
      </c>
      <c r="B665" s="13" t="s">
        <v>12906</v>
      </c>
      <c r="C665" s="13" t="s">
        <v>12907</v>
      </c>
      <c r="D665" s="13" t="s">
        <v>2179</v>
      </c>
      <c r="E665" s="13" t="s">
        <v>1150</v>
      </c>
      <c r="F665" s="15">
        <v>367</v>
      </c>
      <c r="G665" s="15">
        <v>367</v>
      </c>
    </row>
    <row r="666" spans="1:7">
      <c r="A666" s="14">
        <v>2103</v>
      </c>
      <c r="B666" s="13" t="s">
        <v>12908</v>
      </c>
      <c r="C666" s="13" t="s">
        <v>12909</v>
      </c>
      <c r="D666" s="13" t="s">
        <v>2179</v>
      </c>
      <c r="E666" s="13" t="s">
        <v>1150</v>
      </c>
      <c r="F666" s="15">
        <v>367</v>
      </c>
      <c r="G666" s="15">
        <v>367</v>
      </c>
    </row>
    <row r="667" spans="1:7">
      <c r="A667" s="14">
        <v>2105</v>
      </c>
      <c r="B667" s="13" t="s">
        <v>12910</v>
      </c>
      <c r="C667" s="13" t="s">
        <v>12911</v>
      </c>
      <c r="D667" s="13" t="s">
        <v>2179</v>
      </c>
      <c r="E667" s="13" t="s">
        <v>1150</v>
      </c>
      <c r="F667" s="15">
        <v>367</v>
      </c>
      <c r="G667" s="15">
        <v>367</v>
      </c>
    </row>
    <row r="668" spans="1:7">
      <c r="A668" s="14">
        <v>2106</v>
      </c>
      <c r="B668" s="13" t="s">
        <v>12912</v>
      </c>
      <c r="C668" s="13" t="s">
        <v>12913</v>
      </c>
      <c r="D668" s="13" t="s">
        <v>2179</v>
      </c>
      <c r="E668" s="13" t="s">
        <v>1150</v>
      </c>
      <c r="F668" s="15">
        <v>367</v>
      </c>
      <c r="G668" s="15">
        <v>367</v>
      </c>
    </row>
    <row r="669" spans="1:7">
      <c r="A669" s="14">
        <v>2115</v>
      </c>
      <c r="B669" s="13" t="s">
        <v>12914</v>
      </c>
      <c r="C669" s="13" t="s">
        <v>12915</v>
      </c>
      <c r="D669" s="13" t="s">
        <v>2179</v>
      </c>
      <c r="E669" s="13" t="s">
        <v>1150</v>
      </c>
      <c r="F669" s="15">
        <v>367</v>
      </c>
      <c r="G669" s="15">
        <v>367</v>
      </c>
    </row>
    <row r="670" spans="1:7">
      <c r="A670" s="14">
        <v>2116</v>
      </c>
      <c r="B670" s="13" t="s">
        <v>12916</v>
      </c>
      <c r="C670" s="13" t="s">
        <v>12917</v>
      </c>
      <c r="D670" s="13" t="s">
        <v>2179</v>
      </c>
      <c r="E670" s="13" t="s">
        <v>1150</v>
      </c>
      <c r="F670" s="15">
        <v>367</v>
      </c>
      <c r="G670" s="15">
        <v>367</v>
      </c>
    </row>
    <row r="671" spans="1:7">
      <c r="A671" s="14">
        <v>2117</v>
      </c>
      <c r="B671" s="13" t="s">
        <v>12918</v>
      </c>
      <c r="C671" s="13" t="s">
        <v>12919</v>
      </c>
      <c r="D671" s="13" t="s">
        <v>2179</v>
      </c>
      <c r="E671" s="13" t="s">
        <v>1150</v>
      </c>
      <c r="F671" s="15">
        <v>367</v>
      </c>
      <c r="G671" s="15">
        <v>367</v>
      </c>
    </row>
    <row r="672" spans="1:7">
      <c r="A672" s="14">
        <v>2118</v>
      </c>
      <c r="B672" s="13" t="s">
        <v>12920</v>
      </c>
      <c r="C672" s="13" t="s">
        <v>12921</v>
      </c>
      <c r="D672" s="13" t="s">
        <v>2179</v>
      </c>
      <c r="E672" s="13" t="s">
        <v>1150</v>
      </c>
      <c r="F672" s="15">
        <v>367</v>
      </c>
      <c r="G672" s="15">
        <v>367</v>
      </c>
    </row>
    <row r="673" spans="1:7">
      <c r="A673" s="14">
        <v>2119</v>
      </c>
      <c r="B673" s="13" t="s">
        <v>12922</v>
      </c>
      <c r="C673" s="13" t="s">
        <v>12923</v>
      </c>
      <c r="D673" s="13" t="s">
        <v>2179</v>
      </c>
      <c r="E673" s="13" t="s">
        <v>1150</v>
      </c>
      <c r="F673" s="15">
        <v>367</v>
      </c>
      <c r="G673" s="15">
        <v>367</v>
      </c>
    </row>
    <row r="674" spans="1:7">
      <c r="A674" s="14">
        <v>2120</v>
      </c>
      <c r="B674" s="13" t="s">
        <v>12924</v>
      </c>
      <c r="C674" s="13" t="s">
        <v>12925</v>
      </c>
      <c r="D674" s="13" t="s">
        <v>2179</v>
      </c>
      <c r="E674" s="13" t="s">
        <v>1150</v>
      </c>
      <c r="F674" s="15">
        <v>367</v>
      </c>
      <c r="G674" s="15">
        <v>367</v>
      </c>
    </row>
    <row r="675" spans="1:7">
      <c r="A675" s="14">
        <v>2121</v>
      </c>
      <c r="B675" s="13" t="s">
        <v>12926</v>
      </c>
      <c r="C675" s="13" t="s">
        <v>12927</v>
      </c>
      <c r="D675" s="13" t="s">
        <v>2179</v>
      </c>
      <c r="E675" s="13" t="s">
        <v>1150</v>
      </c>
      <c r="F675" s="15">
        <v>367</v>
      </c>
      <c r="G675" s="15">
        <v>367</v>
      </c>
    </row>
    <row r="676" spans="1:7">
      <c r="A676" s="14">
        <v>2122</v>
      </c>
      <c r="B676" s="13" t="s">
        <v>12928</v>
      </c>
      <c r="C676" s="13" t="s">
        <v>12929</v>
      </c>
      <c r="D676" s="13" t="s">
        <v>2179</v>
      </c>
      <c r="E676" s="13" t="s">
        <v>1150</v>
      </c>
      <c r="F676" s="15">
        <v>367</v>
      </c>
      <c r="G676" s="15">
        <v>367</v>
      </c>
    </row>
    <row r="677" spans="1:7">
      <c r="A677" s="14">
        <v>2123</v>
      </c>
      <c r="B677" s="13" t="s">
        <v>12930</v>
      </c>
      <c r="C677" s="13" t="s">
        <v>12931</v>
      </c>
      <c r="D677" s="13" t="s">
        <v>2179</v>
      </c>
      <c r="E677" s="13" t="s">
        <v>1150</v>
      </c>
      <c r="F677" s="15">
        <v>367</v>
      </c>
      <c r="G677" s="15">
        <v>367</v>
      </c>
    </row>
    <row r="678" spans="1:7">
      <c r="A678" s="14">
        <v>2124</v>
      </c>
      <c r="B678" s="13" t="s">
        <v>12932</v>
      </c>
      <c r="C678" s="13" t="s">
        <v>12933</v>
      </c>
      <c r="D678" s="13" t="s">
        <v>2179</v>
      </c>
      <c r="E678" s="13" t="s">
        <v>1150</v>
      </c>
      <c r="F678" s="15">
        <v>367</v>
      </c>
      <c r="G678" s="15">
        <v>367</v>
      </c>
    </row>
    <row r="679" spans="1:7">
      <c r="A679" s="14">
        <v>2125</v>
      </c>
      <c r="B679" s="13" t="s">
        <v>12934</v>
      </c>
      <c r="C679" s="13" t="s">
        <v>12935</v>
      </c>
      <c r="D679" s="13" t="s">
        <v>2179</v>
      </c>
      <c r="E679" s="13" t="s">
        <v>1150</v>
      </c>
      <c r="F679" s="15">
        <v>367</v>
      </c>
      <c r="G679" s="15">
        <v>367</v>
      </c>
    </row>
    <row r="680" spans="1:7">
      <c r="A680" s="14">
        <v>2126</v>
      </c>
      <c r="B680" s="13" t="s">
        <v>12936</v>
      </c>
      <c r="C680" s="13" t="s">
        <v>12937</v>
      </c>
      <c r="D680" s="13" t="s">
        <v>2179</v>
      </c>
      <c r="E680" s="13" t="s">
        <v>1150</v>
      </c>
      <c r="F680" s="15">
        <v>367</v>
      </c>
      <c r="G680" s="15">
        <v>367</v>
      </c>
    </row>
    <row r="681" spans="1:7">
      <c r="A681" s="14">
        <v>2127</v>
      </c>
      <c r="B681" s="13" t="s">
        <v>12938</v>
      </c>
      <c r="C681" s="13" t="s">
        <v>12939</v>
      </c>
      <c r="D681" s="13" t="s">
        <v>2179</v>
      </c>
      <c r="E681" s="13" t="s">
        <v>1150</v>
      </c>
      <c r="F681" s="15">
        <v>367</v>
      </c>
      <c r="G681" s="15">
        <v>367</v>
      </c>
    </row>
    <row r="682" spans="1:7">
      <c r="A682" s="14">
        <v>2128</v>
      </c>
      <c r="B682" s="13" t="s">
        <v>12940</v>
      </c>
      <c r="C682" s="13" t="s">
        <v>12941</v>
      </c>
      <c r="D682" s="13" t="s">
        <v>2179</v>
      </c>
      <c r="E682" s="13" t="s">
        <v>1150</v>
      </c>
      <c r="F682" s="15">
        <v>367</v>
      </c>
      <c r="G682" s="15">
        <v>367</v>
      </c>
    </row>
    <row r="683" spans="1:7">
      <c r="A683" s="14">
        <v>2129</v>
      </c>
      <c r="B683" s="13" t="s">
        <v>12942</v>
      </c>
      <c r="C683" s="13" t="s">
        <v>12943</v>
      </c>
      <c r="D683" s="13" t="s">
        <v>2179</v>
      </c>
      <c r="E683" s="13" t="s">
        <v>1150</v>
      </c>
      <c r="F683" s="15">
        <v>367</v>
      </c>
      <c r="G683" s="15">
        <v>367</v>
      </c>
    </row>
    <row r="684" spans="1:7">
      <c r="A684" s="14">
        <v>2140</v>
      </c>
      <c r="B684" s="13" t="s">
        <v>12944</v>
      </c>
      <c r="C684" s="13" t="s">
        <v>12945</v>
      </c>
      <c r="D684" s="13" t="s">
        <v>2179</v>
      </c>
      <c r="E684" s="13" t="s">
        <v>1150</v>
      </c>
      <c r="F684" s="15">
        <v>367</v>
      </c>
      <c r="G684" s="15">
        <v>367</v>
      </c>
    </row>
    <row r="685" spans="1:7">
      <c r="A685" s="14">
        <v>2141</v>
      </c>
      <c r="B685" s="13" t="s">
        <v>12946</v>
      </c>
      <c r="C685" s="13" t="s">
        <v>12947</v>
      </c>
      <c r="D685" s="13" t="s">
        <v>2179</v>
      </c>
      <c r="E685" s="13" t="s">
        <v>1150</v>
      </c>
      <c r="F685" s="15">
        <v>367</v>
      </c>
      <c r="G685" s="15">
        <v>367</v>
      </c>
    </row>
    <row r="686" spans="1:7">
      <c r="A686" s="14">
        <v>2142</v>
      </c>
      <c r="B686" s="13" t="s">
        <v>12948</v>
      </c>
      <c r="C686" s="13" t="s">
        <v>12949</v>
      </c>
      <c r="D686" s="13" t="s">
        <v>2179</v>
      </c>
      <c r="E686" s="13" t="s">
        <v>1150</v>
      </c>
      <c r="F686" s="15">
        <v>367</v>
      </c>
      <c r="G686" s="15">
        <v>367</v>
      </c>
    </row>
    <row r="687" spans="1:7">
      <c r="A687" s="14">
        <v>2143</v>
      </c>
      <c r="B687" s="13" t="s">
        <v>12950</v>
      </c>
      <c r="C687" s="13" t="s">
        <v>12951</v>
      </c>
      <c r="D687" s="13" t="s">
        <v>2179</v>
      </c>
      <c r="E687" s="13" t="s">
        <v>1150</v>
      </c>
      <c r="F687" s="15">
        <v>367</v>
      </c>
      <c r="G687" s="15">
        <v>367</v>
      </c>
    </row>
    <row r="688" spans="1:7">
      <c r="A688" s="14">
        <v>2144</v>
      </c>
      <c r="B688" s="13" t="s">
        <v>12952</v>
      </c>
      <c r="C688" s="13" t="s">
        <v>12953</v>
      </c>
      <c r="D688" s="13" t="s">
        <v>2179</v>
      </c>
      <c r="E688" s="13" t="s">
        <v>1150</v>
      </c>
      <c r="F688" s="15">
        <v>367</v>
      </c>
      <c r="G688" s="15">
        <v>367</v>
      </c>
    </row>
    <row r="689" spans="1:7">
      <c r="A689" s="14">
        <v>2145</v>
      </c>
      <c r="B689" s="13" t="s">
        <v>12954</v>
      </c>
      <c r="C689" s="13" t="s">
        <v>12955</v>
      </c>
      <c r="D689" s="13" t="s">
        <v>2179</v>
      </c>
      <c r="E689" s="13" t="s">
        <v>1150</v>
      </c>
      <c r="F689" s="15">
        <v>367</v>
      </c>
      <c r="G689" s="15">
        <v>367</v>
      </c>
    </row>
    <row r="690" spans="1:7">
      <c r="A690" s="14">
        <v>2146</v>
      </c>
      <c r="B690" s="13" t="s">
        <v>12956</v>
      </c>
      <c r="C690" s="13" t="s">
        <v>12957</v>
      </c>
      <c r="D690" s="13" t="s">
        <v>2179</v>
      </c>
      <c r="E690" s="13" t="s">
        <v>1150</v>
      </c>
      <c r="F690" s="15">
        <v>367</v>
      </c>
      <c r="G690" s="15">
        <v>367</v>
      </c>
    </row>
    <row r="691" spans="1:7">
      <c r="A691" s="14">
        <v>2150</v>
      </c>
      <c r="B691" s="13" t="s">
        <v>12958</v>
      </c>
      <c r="C691" s="13" t="s">
        <v>12959</v>
      </c>
      <c r="D691" s="13" t="s">
        <v>2179</v>
      </c>
      <c r="E691" s="13" t="s">
        <v>1150</v>
      </c>
      <c r="F691" s="15">
        <v>367</v>
      </c>
      <c r="G691" s="15">
        <v>367</v>
      </c>
    </row>
    <row r="692" spans="1:7">
      <c r="A692" s="14">
        <v>2151</v>
      </c>
      <c r="B692" s="13" t="s">
        <v>12960</v>
      </c>
      <c r="C692" s="13" t="s">
        <v>12961</v>
      </c>
      <c r="D692" s="13" t="s">
        <v>2179</v>
      </c>
      <c r="E692" s="13" t="s">
        <v>1150</v>
      </c>
      <c r="F692" s="15">
        <v>367</v>
      </c>
      <c r="G692" s="15">
        <v>367</v>
      </c>
    </row>
    <row r="693" spans="1:7">
      <c r="A693" s="14">
        <v>2152</v>
      </c>
      <c r="B693" s="13" t="s">
        <v>12962</v>
      </c>
      <c r="C693" s="13" t="s">
        <v>12963</v>
      </c>
      <c r="D693" s="13" t="s">
        <v>2179</v>
      </c>
      <c r="E693" s="13" t="s">
        <v>1150</v>
      </c>
      <c r="F693" s="15">
        <v>367</v>
      </c>
      <c r="G693" s="15">
        <v>367</v>
      </c>
    </row>
    <row r="694" spans="1:7">
      <c r="A694" s="14">
        <v>2153</v>
      </c>
      <c r="B694" s="13" t="s">
        <v>12964</v>
      </c>
      <c r="C694" s="13" t="s">
        <v>12965</v>
      </c>
      <c r="D694" s="13" t="s">
        <v>2179</v>
      </c>
      <c r="E694" s="13" t="s">
        <v>1150</v>
      </c>
      <c r="F694" s="15">
        <v>367</v>
      </c>
      <c r="G694" s="15">
        <v>367</v>
      </c>
    </row>
    <row r="695" spans="1:7">
      <c r="A695" s="14">
        <v>2154</v>
      </c>
      <c r="B695" s="13" t="s">
        <v>12966</v>
      </c>
      <c r="C695" s="13" t="s">
        <v>12967</v>
      </c>
      <c r="D695" s="13" t="s">
        <v>2179</v>
      </c>
      <c r="E695" s="13" t="s">
        <v>1150</v>
      </c>
      <c r="F695" s="15">
        <v>367</v>
      </c>
      <c r="G695" s="15">
        <v>367</v>
      </c>
    </row>
    <row r="696" spans="1:7">
      <c r="A696" s="14">
        <v>2155</v>
      </c>
      <c r="B696" s="13" t="s">
        <v>12968</v>
      </c>
      <c r="C696" s="13" t="s">
        <v>12969</v>
      </c>
      <c r="D696" s="13" t="s">
        <v>2179</v>
      </c>
      <c r="E696" s="13" t="s">
        <v>1150</v>
      </c>
      <c r="F696" s="15">
        <v>367</v>
      </c>
      <c r="G696" s="15">
        <v>367</v>
      </c>
    </row>
    <row r="697" spans="1:7">
      <c r="A697" s="14">
        <v>2156</v>
      </c>
      <c r="B697" s="13" t="s">
        <v>12970</v>
      </c>
      <c r="C697" s="13" t="s">
        <v>12971</v>
      </c>
      <c r="D697" s="13" t="s">
        <v>2179</v>
      </c>
      <c r="E697" s="13" t="s">
        <v>1150</v>
      </c>
      <c r="F697" s="15">
        <v>367</v>
      </c>
      <c r="G697" s="15">
        <v>367</v>
      </c>
    </row>
    <row r="698" spans="1:7">
      <c r="A698" s="14">
        <v>2157</v>
      </c>
      <c r="B698" s="13" t="s">
        <v>12972</v>
      </c>
      <c r="C698" s="13" t="s">
        <v>12973</v>
      </c>
      <c r="D698" s="13" t="s">
        <v>2179</v>
      </c>
      <c r="E698" s="13" t="s">
        <v>1150</v>
      </c>
      <c r="F698" s="15">
        <v>367</v>
      </c>
      <c r="G698" s="15">
        <v>367</v>
      </c>
    </row>
    <row r="699" spans="1:7">
      <c r="A699" s="14">
        <v>2158</v>
      </c>
      <c r="B699" s="13" t="s">
        <v>12974</v>
      </c>
      <c r="C699" s="13" t="s">
        <v>12975</v>
      </c>
      <c r="D699" s="13" t="s">
        <v>2179</v>
      </c>
      <c r="E699" s="13" t="s">
        <v>1150</v>
      </c>
      <c r="F699" s="15">
        <v>367</v>
      </c>
      <c r="G699" s="15">
        <v>367</v>
      </c>
    </row>
    <row r="700" spans="1:7">
      <c r="A700" s="14">
        <v>2159</v>
      </c>
      <c r="B700" s="13" t="s">
        <v>12976</v>
      </c>
      <c r="C700" s="13" t="s">
        <v>12977</v>
      </c>
      <c r="D700" s="13" t="s">
        <v>2179</v>
      </c>
      <c r="E700" s="13" t="s">
        <v>1150</v>
      </c>
      <c r="F700" s="15">
        <v>367</v>
      </c>
      <c r="G700" s="15">
        <v>367</v>
      </c>
    </row>
    <row r="701" spans="1:7">
      <c r="A701" s="14">
        <v>2160</v>
      </c>
      <c r="B701" s="13" t="s">
        <v>12978</v>
      </c>
      <c r="C701" s="13" t="s">
        <v>12979</v>
      </c>
      <c r="D701" s="13" t="s">
        <v>2179</v>
      </c>
      <c r="E701" s="13" t="s">
        <v>1150</v>
      </c>
      <c r="F701" s="15">
        <v>367</v>
      </c>
      <c r="G701" s="15">
        <v>367</v>
      </c>
    </row>
    <row r="702" spans="1:7">
      <c r="A702" s="14">
        <v>2161</v>
      </c>
      <c r="B702" s="13" t="s">
        <v>12980</v>
      </c>
      <c r="C702" s="13" t="s">
        <v>12981</v>
      </c>
      <c r="D702" s="13" t="s">
        <v>2179</v>
      </c>
      <c r="E702" s="13" t="s">
        <v>1150</v>
      </c>
      <c r="F702" s="15">
        <v>367</v>
      </c>
      <c r="G702" s="15">
        <v>367</v>
      </c>
    </row>
    <row r="703" spans="1:7">
      <c r="A703" s="14">
        <v>2162</v>
      </c>
      <c r="B703" s="13" t="s">
        <v>12982</v>
      </c>
      <c r="C703" s="13" t="s">
        <v>12983</v>
      </c>
      <c r="D703" s="13" t="s">
        <v>2179</v>
      </c>
      <c r="E703" s="13" t="s">
        <v>1150</v>
      </c>
      <c r="F703" s="15">
        <v>367</v>
      </c>
      <c r="G703" s="15">
        <v>367</v>
      </c>
    </row>
    <row r="704" spans="1:7">
      <c r="A704" s="14">
        <v>2163</v>
      </c>
      <c r="B704" s="13" t="s">
        <v>12984</v>
      </c>
      <c r="C704" s="13" t="s">
        <v>12985</v>
      </c>
      <c r="D704" s="13" t="s">
        <v>2179</v>
      </c>
      <c r="E704" s="13" t="s">
        <v>1150</v>
      </c>
      <c r="F704" s="15">
        <v>367</v>
      </c>
      <c r="G704" s="15">
        <v>367</v>
      </c>
    </row>
    <row r="705" spans="1:7">
      <c r="A705" s="14">
        <v>2164</v>
      </c>
      <c r="B705" s="13" t="s">
        <v>12986</v>
      </c>
      <c r="C705" s="13" t="s">
        <v>12987</v>
      </c>
      <c r="D705" s="13" t="s">
        <v>2179</v>
      </c>
      <c r="E705" s="13" t="s">
        <v>1150</v>
      </c>
      <c r="F705" s="15">
        <v>367</v>
      </c>
      <c r="G705" s="15">
        <v>367</v>
      </c>
    </row>
    <row r="706" spans="1:7">
      <c r="A706" s="14">
        <v>2166</v>
      </c>
      <c r="B706" s="13" t="s">
        <v>12988</v>
      </c>
      <c r="C706" s="13" t="s">
        <v>12989</v>
      </c>
      <c r="D706" s="13" t="s">
        <v>2179</v>
      </c>
      <c r="E706" s="13" t="s">
        <v>1150</v>
      </c>
      <c r="F706" s="15">
        <v>367</v>
      </c>
      <c r="G706" s="15">
        <v>367</v>
      </c>
    </row>
    <row r="707" spans="1:7">
      <c r="A707" s="14">
        <v>2167</v>
      </c>
      <c r="B707" s="13" t="s">
        <v>12990</v>
      </c>
      <c r="C707" s="13" t="s">
        <v>12991</v>
      </c>
      <c r="D707" s="13" t="s">
        <v>2179</v>
      </c>
      <c r="E707" s="13" t="s">
        <v>1150</v>
      </c>
      <c r="F707" s="15">
        <v>367</v>
      </c>
      <c r="G707" s="15">
        <v>367</v>
      </c>
    </row>
    <row r="708" spans="1:7">
      <c r="A708" s="14">
        <v>2168</v>
      </c>
      <c r="B708" s="13" t="s">
        <v>12992</v>
      </c>
      <c r="C708" s="13" t="s">
        <v>12993</v>
      </c>
      <c r="D708" s="13" t="s">
        <v>2179</v>
      </c>
      <c r="E708" s="13" t="s">
        <v>1150</v>
      </c>
      <c r="F708" s="15">
        <v>367</v>
      </c>
      <c r="G708" s="15">
        <v>367</v>
      </c>
    </row>
    <row r="709" spans="1:7">
      <c r="A709" s="14">
        <v>2169</v>
      </c>
      <c r="B709" s="13" t="s">
        <v>12994</v>
      </c>
      <c r="C709" s="13" t="s">
        <v>12995</v>
      </c>
      <c r="D709" s="13" t="s">
        <v>2179</v>
      </c>
      <c r="E709" s="13" t="s">
        <v>1150</v>
      </c>
      <c r="F709" s="15">
        <v>368</v>
      </c>
      <c r="G709" s="15">
        <v>368</v>
      </c>
    </row>
    <row r="710" spans="1:7">
      <c r="A710" s="14">
        <v>2170</v>
      </c>
      <c r="B710" s="13" t="s">
        <v>12996</v>
      </c>
      <c r="C710" s="13" t="s">
        <v>12997</v>
      </c>
      <c r="D710" s="13" t="s">
        <v>2179</v>
      </c>
      <c r="E710" s="13" t="s">
        <v>1150</v>
      </c>
      <c r="F710" s="15">
        <v>367</v>
      </c>
      <c r="G710" s="15">
        <v>367</v>
      </c>
    </row>
    <row r="711" spans="1:7">
      <c r="A711" s="14">
        <v>2171</v>
      </c>
      <c r="B711" s="13" t="s">
        <v>12998</v>
      </c>
      <c r="C711" s="13" t="s">
        <v>12999</v>
      </c>
      <c r="D711" s="13" t="s">
        <v>2179</v>
      </c>
      <c r="E711" s="13" t="s">
        <v>1150</v>
      </c>
      <c r="F711" s="15">
        <v>367</v>
      </c>
      <c r="G711" s="15">
        <v>367</v>
      </c>
    </row>
    <row r="712" spans="1:7">
      <c r="A712" s="14">
        <v>2180</v>
      </c>
      <c r="B712" s="13" t="s">
        <v>13000</v>
      </c>
      <c r="C712" s="13" t="s">
        <v>13001</v>
      </c>
      <c r="D712" s="13" t="s">
        <v>2179</v>
      </c>
      <c r="E712" s="13" t="s">
        <v>1150</v>
      </c>
      <c r="F712" s="15">
        <v>367</v>
      </c>
      <c r="G712" s="15">
        <v>367</v>
      </c>
    </row>
    <row r="713" spans="1:7">
      <c r="A713" s="14">
        <v>2181</v>
      </c>
      <c r="B713" s="13" t="s">
        <v>13002</v>
      </c>
      <c r="C713" s="13" t="s">
        <v>13003</v>
      </c>
      <c r="D713" s="13" t="s">
        <v>2179</v>
      </c>
      <c r="E713" s="13" t="s">
        <v>1150</v>
      </c>
      <c r="F713" s="15">
        <v>367</v>
      </c>
      <c r="G713" s="15">
        <v>367</v>
      </c>
    </row>
    <row r="714" spans="1:7">
      <c r="A714" s="14">
        <v>2190</v>
      </c>
      <c r="B714" s="13" t="s">
        <v>13004</v>
      </c>
      <c r="C714" s="13" t="s">
        <v>13005</v>
      </c>
      <c r="D714" s="13" t="s">
        <v>2179</v>
      </c>
      <c r="E714" s="13" t="s">
        <v>1150</v>
      </c>
      <c r="F714" s="15">
        <v>367</v>
      </c>
      <c r="G714" s="15">
        <v>367</v>
      </c>
    </row>
    <row r="715" spans="1:7">
      <c r="A715" s="14">
        <v>2191</v>
      </c>
      <c r="B715" s="13" t="s">
        <v>13006</v>
      </c>
      <c r="C715" s="13" t="s">
        <v>13007</v>
      </c>
      <c r="D715" s="13" t="s">
        <v>2179</v>
      </c>
      <c r="E715" s="13" t="s">
        <v>1150</v>
      </c>
      <c r="F715" s="15">
        <v>367</v>
      </c>
      <c r="G715" s="15">
        <v>367</v>
      </c>
    </row>
    <row r="716" spans="1:7">
      <c r="A716" s="14">
        <v>2192</v>
      </c>
      <c r="B716" s="13" t="s">
        <v>13008</v>
      </c>
      <c r="C716" s="13" t="s">
        <v>13009</v>
      </c>
      <c r="D716" s="13" t="s">
        <v>2179</v>
      </c>
      <c r="E716" s="13" t="s">
        <v>1150</v>
      </c>
      <c r="F716" s="15">
        <v>367</v>
      </c>
      <c r="G716" s="15">
        <v>367</v>
      </c>
    </row>
    <row r="717" spans="1:7">
      <c r="A717" s="14">
        <v>2193</v>
      </c>
      <c r="B717" s="13" t="s">
        <v>13010</v>
      </c>
      <c r="C717" s="13" t="s">
        <v>13011</v>
      </c>
      <c r="D717" s="13" t="s">
        <v>2179</v>
      </c>
      <c r="E717" s="13" t="s">
        <v>1150</v>
      </c>
      <c r="F717" s="15">
        <v>367</v>
      </c>
      <c r="G717" s="15">
        <v>367</v>
      </c>
    </row>
    <row r="718" spans="1:7">
      <c r="A718" s="14">
        <v>2194</v>
      </c>
      <c r="B718" s="13" t="s">
        <v>13012</v>
      </c>
      <c r="C718" s="13" t="s">
        <v>13013</v>
      </c>
      <c r="D718" s="13" t="s">
        <v>2179</v>
      </c>
      <c r="E718" s="13" t="s">
        <v>1150</v>
      </c>
      <c r="F718" s="15">
        <v>367</v>
      </c>
      <c r="G718" s="15">
        <v>367</v>
      </c>
    </row>
    <row r="719" spans="1:7">
      <c r="A719" s="14">
        <v>2195</v>
      </c>
      <c r="B719" s="13" t="s">
        <v>13014</v>
      </c>
      <c r="C719" s="13" t="s">
        <v>13015</v>
      </c>
      <c r="D719" s="13" t="s">
        <v>2179</v>
      </c>
      <c r="E719" s="13" t="s">
        <v>1150</v>
      </c>
      <c r="F719" s="15">
        <v>367</v>
      </c>
      <c r="G719" s="15">
        <v>367</v>
      </c>
    </row>
    <row r="720" spans="1:7">
      <c r="A720" s="14">
        <v>2196</v>
      </c>
      <c r="B720" s="13" t="s">
        <v>13016</v>
      </c>
      <c r="C720" s="13" t="s">
        <v>13017</v>
      </c>
      <c r="D720" s="13" t="s">
        <v>2179</v>
      </c>
      <c r="E720" s="13" t="s">
        <v>1150</v>
      </c>
      <c r="F720" s="15">
        <v>367</v>
      </c>
      <c r="G720" s="15">
        <v>367</v>
      </c>
    </row>
    <row r="721" spans="1:7">
      <c r="A721" s="14">
        <v>2197</v>
      </c>
      <c r="B721" s="13" t="s">
        <v>13018</v>
      </c>
      <c r="C721" s="13" t="s">
        <v>13019</v>
      </c>
      <c r="D721" s="13" t="s">
        <v>2179</v>
      </c>
      <c r="E721" s="13" t="s">
        <v>1150</v>
      </c>
      <c r="F721" s="15">
        <v>367</v>
      </c>
      <c r="G721" s="15">
        <v>367</v>
      </c>
    </row>
    <row r="722" spans="1:7">
      <c r="A722" s="14">
        <v>2198</v>
      </c>
      <c r="B722" s="13" t="s">
        <v>13020</v>
      </c>
      <c r="C722" s="13" t="s">
        <v>13021</v>
      </c>
      <c r="D722" s="13" t="s">
        <v>2179</v>
      </c>
      <c r="E722" s="13" t="s">
        <v>1150</v>
      </c>
      <c r="F722" s="15">
        <v>367</v>
      </c>
      <c r="G722" s="15">
        <v>367</v>
      </c>
    </row>
    <row r="723" spans="1:7">
      <c r="A723" s="14">
        <v>2199</v>
      </c>
      <c r="B723" s="13" t="s">
        <v>13022</v>
      </c>
      <c r="C723" s="13" t="s">
        <v>13023</v>
      </c>
      <c r="D723" s="13" t="s">
        <v>2179</v>
      </c>
      <c r="E723" s="13" t="s">
        <v>1150</v>
      </c>
      <c r="F723" s="15">
        <v>367</v>
      </c>
      <c r="G723" s="15">
        <v>367</v>
      </c>
    </row>
    <row r="724" spans="1:7">
      <c r="A724" s="14">
        <v>2200</v>
      </c>
      <c r="B724" s="13" t="s">
        <v>13024</v>
      </c>
      <c r="C724" s="13" t="s">
        <v>13025</v>
      </c>
      <c r="D724" s="13" t="s">
        <v>2179</v>
      </c>
      <c r="E724" s="13" t="s">
        <v>1150</v>
      </c>
      <c r="F724" s="15">
        <v>367</v>
      </c>
      <c r="G724" s="15">
        <v>367</v>
      </c>
    </row>
    <row r="725" spans="1:7">
      <c r="A725" s="14">
        <v>2205</v>
      </c>
      <c r="B725" s="13" t="s">
        <v>13026</v>
      </c>
      <c r="C725" s="13" t="s">
        <v>13027</v>
      </c>
      <c r="D725" s="13" t="s">
        <v>2179</v>
      </c>
      <c r="E725" s="13" t="s">
        <v>1150</v>
      </c>
      <c r="F725" s="15">
        <v>367</v>
      </c>
      <c r="G725" s="15">
        <v>367</v>
      </c>
    </row>
    <row r="726" spans="1:7">
      <c r="A726" s="14">
        <v>2207</v>
      </c>
      <c r="B726" s="13" t="s">
        <v>13028</v>
      </c>
      <c r="C726" s="13" t="s">
        <v>13029</v>
      </c>
      <c r="D726" s="13" t="s">
        <v>2179</v>
      </c>
      <c r="E726" s="13" t="s">
        <v>1150</v>
      </c>
      <c r="F726" s="15">
        <v>367</v>
      </c>
      <c r="G726" s="15">
        <v>367</v>
      </c>
    </row>
    <row r="727" spans="1:7">
      <c r="A727" s="14">
        <v>2208</v>
      </c>
      <c r="B727" s="13" t="s">
        <v>13030</v>
      </c>
      <c r="C727" s="13" t="s">
        <v>13031</v>
      </c>
      <c r="D727" s="13" t="s">
        <v>2179</v>
      </c>
      <c r="E727" s="13" t="s">
        <v>1150</v>
      </c>
      <c r="F727" s="15">
        <v>367</v>
      </c>
      <c r="G727" s="15">
        <v>367</v>
      </c>
    </row>
    <row r="728" spans="1:7">
      <c r="A728" s="14">
        <v>2209</v>
      </c>
      <c r="B728" s="13" t="s">
        <v>13032</v>
      </c>
      <c r="C728" s="13" t="s">
        <v>13033</v>
      </c>
      <c r="D728" s="13" t="s">
        <v>2179</v>
      </c>
      <c r="E728" s="13" t="s">
        <v>1150</v>
      </c>
      <c r="F728" s="15">
        <v>367</v>
      </c>
      <c r="G728" s="15">
        <v>367</v>
      </c>
    </row>
    <row r="729" spans="1:7">
      <c r="A729" s="14">
        <v>2210</v>
      </c>
      <c r="B729" s="13" t="s">
        <v>13034</v>
      </c>
      <c r="C729" s="13" t="s">
        <v>13035</v>
      </c>
      <c r="D729" s="13" t="s">
        <v>2179</v>
      </c>
      <c r="E729" s="13" t="s">
        <v>1150</v>
      </c>
      <c r="F729" s="15">
        <v>367</v>
      </c>
      <c r="G729" s="15">
        <v>367</v>
      </c>
    </row>
    <row r="730" spans="1:7">
      <c r="A730" s="14">
        <v>2211</v>
      </c>
      <c r="B730" s="13" t="s">
        <v>13036</v>
      </c>
      <c r="C730" s="13" t="s">
        <v>13037</v>
      </c>
      <c r="D730" s="13" t="s">
        <v>2179</v>
      </c>
      <c r="E730" s="13" t="s">
        <v>1150</v>
      </c>
      <c r="F730" s="15">
        <v>367</v>
      </c>
      <c r="G730" s="15">
        <v>367</v>
      </c>
    </row>
    <row r="731" spans="1:7">
      <c r="A731" s="14">
        <v>2212</v>
      </c>
      <c r="B731" s="13" t="s">
        <v>13038</v>
      </c>
      <c r="C731" s="13" t="s">
        <v>13039</v>
      </c>
      <c r="D731" s="13" t="s">
        <v>2179</v>
      </c>
      <c r="E731" s="13" t="s">
        <v>1150</v>
      </c>
      <c r="F731" s="15">
        <v>367</v>
      </c>
      <c r="G731" s="15">
        <v>367</v>
      </c>
    </row>
    <row r="732" spans="1:7">
      <c r="A732" s="14">
        <v>2220</v>
      </c>
      <c r="B732" s="13" t="s">
        <v>13040</v>
      </c>
      <c r="C732" s="13" t="s">
        <v>13041</v>
      </c>
      <c r="D732" s="13" t="s">
        <v>2179</v>
      </c>
      <c r="E732" s="13" t="s">
        <v>1150</v>
      </c>
      <c r="F732" s="15">
        <v>367</v>
      </c>
      <c r="G732" s="15">
        <v>367</v>
      </c>
    </row>
    <row r="733" spans="1:7">
      <c r="A733" s="14">
        <v>2221</v>
      </c>
      <c r="B733" s="13" t="s">
        <v>13042</v>
      </c>
      <c r="C733" s="13" t="s">
        <v>13043</v>
      </c>
      <c r="D733" s="13" t="s">
        <v>2179</v>
      </c>
      <c r="E733" s="13" t="s">
        <v>1150</v>
      </c>
      <c r="F733" s="15">
        <v>367</v>
      </c>
      <c r="G733" s="15">
        <v>367</v>
      </c>
    </row>
    <row r="734" spans="1:7">
      <c r="A734" s="14">
        <v>2222</v>
      </c>
      <c r="B734" s="13" t="s">
        <v>13044</v>
      </c>
      <c r="C734" s="13" t="s">
        <v>13045</v>
      </c>
      <c r="D734" s="13" t="s">
        <v>2179</v>
      </c>
      <c r="E734" s="13" t="s">
        <v>1150</v>
      </c>
      <c r="F734" s="15">
        <v>367</v>
      </c>
      <c r="G734" s="15">
        <v>367</v>
      </c>
    </row>
    <row r="735" spans="1:7">
      <c r="A735" s="14">
        <v>2223</v>
      </c>
      <c r="B735" s="13" t="s">
        <v>13046</v>
      </c>
      <c r="C735" s="13" t="s">
        <v>13047</v>
      </c>
      <c r="D735" s="13" t="s">
        <v>2179</v>
      </c>
      <c r="E735" s="13" t="s">
        <v>1150</v>
      </c>
      <c r="F735" s="15">
        <v>367</v>
      </c>
      <c r="G735" s="15">
        <v>367</v>
      </c>
    </row>
    <row r="736" spans="1:7">
      <c r="A736" s="14">
        <v>2224</v>
      </c>
      <c r="B736" s="13" t="s">
        <v>13048</v>
      </c>
      <c r="C736" s="13" t="s">
        <v>13049</v>
      </c>
      <c r="D736" s="13" t="s">
        <v>2179</v>
      </c>
      <c r="E736" s="13" t="s">
        <v>1150</v>
      </c>
      <c r="F736" s="15">
        <v>367</v>
      </c>
      <c r="G736" s="15">
        <v>367</v>
      </c>
    </row>
    <row r="737" spans="1:7">
      <c r="A737" s="14">
        <v>2225</v>
      </c>
      <c r="B737" s="13" t="s">
        <v>13050</v>
      </c>
      <c r="C737" s="13" t="s">
        <v>13051</v>
      </c>
      <c r="D737" s="13" t="s">
        <v>2179</v>
      </c>
      <c r="E737" s="13" t="s">
        <v>1150</v>
      </c>
      <c r="F737" s="15">
        <v>367</v>
      </c>
      <c r="G737" s="15">
        <v>367</v>
      </c>
    </row>
    <row r="738" spans="1:7">
      <c r="A738" s="14">
        <v>2226</v>
      </c>
      <c r="B738" s="13" t="s">
        <v>13052</v>
      </c>
      <c r="C738" s="13" t="s">
        <v>13053</v>
      </c>
      <c r="D738" s="13" t="s">
        <v>2179</v>
      </c>
      <c r="E738" s="13" t="s">
        <v>1150</v>
      </c>
      <c r="F738" s="15">
        <v>367</v>
      </c>
      <c r="G738" s="15">
        <v>367</v>
      </c>
    </row>
    <row r="739" spans="1:7">
      <c r="A739" s="14">
        <v>2227</v>
      </c>
      <c r="B739" s="13" t="s">
        <v>13054</v>
      </c>
      <c r="C739" s="13" t="s">
        <v>13055</v>
      </c>
      <c r="D739" s="13" t="s">
        <v>2179</v>
      </c>
      <c r="E739" s="13" t="s">
        <v>1150</v>
      </c>
      <c r="F739" s="15">
        <v>367</v>
      </c>
      <c r="G739" s="15">
        <v>367</v>
      </c>
    </row>
    <row r="740" spans="1:7">
      <c r="A740" s="14">
        <v>2228</v>
      </c>
      <c r="B740" s="13" t="s">
        <v>13056</v>
      </c>
      <c r="C740" s="13" t="s">
        <v>13057</v>
      </c>
      <c r="D740" s="13" t="s">
        <v>2179</v>
      </c>
      <c r="E740" s="13" t="s">
        <v>1150</v>
      </c>
      <c r="F740" s="15">
        <v>367</v>
      </c>
      <c r="G740" s="15">
        <v>367</v>
      </c>
    </row>
    <row r="741" spans="1:7">
      <c r="A741" s="14">
        <v>2229</v>
      </c>
      <c r="B741" s="13" t="s">
        <v>13058</v>
      </c>
      <c r="C741" s="13" t="s">
        <v>13059</v>
      </c>
      <c r="D741" s="13" t="s">
        <v>2179</v>
      </c>
      <c r="E741" s="13" t="s">
        <v>1150</v>
      </c>
      <c r="F741" s="15">
        <v>367</v>
      </c>
      <c r="G741" s="15">
        <v>367</v>
      </c>
    </row>
    <row r="742" spans="1:7">
      <c r="A742" s="14">
        <v>2230</v>
      </c>
      <c r="B742" s="13" t="s">
        <v>13060</v>
      </c>
      <c r="C742" s="13" t="s">
        <v>13061</v>
      </c>
      <c r="D742" s="13" t="s">
        <v>2179</v>
      </c>
      <c r="E742" s="13" t="s">
        <v>1150</v>
      </c>
      <c r="F742" s="15">
        <v>367</v>
      </c>
      <c r="G742" s="15">
        <v>367</v>
      </c>
    </row>
    <row r="743" spans="1:7">
      <c r="A743" s="14">
        <v>2231</v>
      </c>
      <c r="B743" s="13" t="s">
        <v>13062</v>
      </c>
      <c r="C743" s="13" t="s">
        <v>13063</v>
      </c>
      <c r="D743" s="13" t="s">
        <v>2179</v>
      </c>
      <c r="E743" s="13" t="s">
        <v>1150</v>
      </c>
      <c r="F743" s="15">
        <v>367</v>
      </c>
      <c r="G743" s="15">
        <v>367</v>
      </c>
    </row>
    <row r="744" spans="1:7">
      <c r="A744" s="14">
        <v>2232</v>
      </c>
      <c r="B744" s="13" t="s">
        <v>13064</v>
      </c>
      <c r="C744" s="13" t="s">
        <v>13065</v>
      </c>
      <c r="D744" s="13" t="s">
        <v>2179</v>
      </c>
      <c r="E744" s="13" t="s">
        <v>1150</v>
      </c>
      <c r="F744" s="15">
        <v>367</v>
      </c>
      <c r="G744" s="15">
        <v>367</v>
      </c>
    </row>
    <row r="745" spans="1:7">
      <c r="A745" s="14">
        <v>2233</v>
      </c>
      <c r="B745" s="13" t="s">
        <v>13066</v>
      </c>
      <c r="C745" s="13" t="s">
        <v>13067</v>
      </c>
      <c r="D745" s="13" t="s">
        <v>2179</v>
      </c>
      <c r="E745" s="13" t="s">
        <v>1150</v>
      </c>
      <c r="F745" s="15">
        <v>367</v>
      </c>
      <c r="G745" s="15">
        <v>367</v>
      </c>
    </row>
    <row r="746" spans="1:7">
      <c r="A746" s="14">
        <v>2234</v>
      </c>
      <c r="B746" s="13" t="s">
        <v>13068</v>
      </c>
      <c r="C746" s="13" t="s">
        <v>13069</v>
      </c>
      <c r="D746" s="13" t="s">
        <v>2179</v>
      </c>
      <c r="E746" s="13" t="s">
        <v>1150</v>
      </c>
      <c r="F746" s="15">
        <v>367</v>
      </c>
      <c r="G746" s="15">
        <v>367</v>
      </c>
    </row>
    <row r="747" spans="1:7">
      <c r="A747" s="14">
        <v>2240</v>
      </c>
      <c r="B747" s="13" t="s">
        <v>13070</v>
      </c>
      <c r="C747" s="13" t="s">
        <v>13071</v>
      </c>
      <c r="D747" s="13" t="s">
        <v>2179</v>
      </c>
      <c r="E747" s="13" t="s">
        <v>1150</v>
      </c>
      <c r="F747" s="15">
        <v>367</v>
      </c>
      <c r="G747" s="15">
        <v>367</v>
      </c>
    </row>
    <row r="748" spans="1:7">
      <c r="A748" s="14">
        <v>2241</v>
      </c>
      <c r="B748" s="13" t="s">
        <v>13072</v>
      </c>
      <c r="C748" s="13" t="s">
        <v>13073</v>
      </c>
      <c r="D748" s="13" t="s">
        <v>2179</v>
      </c>
      <c r="E748" s="13" t="s">
        <v>1150</v>
      </c>
      <c r="F748" s="15">
        <v>367</v>
      </c>
      <c r="G748" s="15">
        <v>367</v>
      </c>
    </row>
    <row r="749" spans="1:7">
      <c r="A749" s="14">
        <v>2242</v>
      </c>
      <c r="B749" s="13" t="s">
        <v>13074</v>
      </c>
      <c r="C749" s="13" t="s">
        <v>13075</v>
      </c>
      <c r="D749" s="13" t="s">
        <v>2179</v>
      </c>
      <c r="E749" s="13" t="s">
        <v>1150</v>
      </c>
      <c r="F749" s="15">
        <v>367</v>
      </c>
      <c r="G749" s="15">
        <v>367</v>
      </c>
    </row>
    <row r="750" spans="1:7">
      <c r="A750" s="14">
        <v>2243</v>
      </c>
      <c r="B750" s="13" t="s">
        <v>13076</v>
      </c>
      <c r="C750" s="13" t="s">
        <v>13077</v>
      </c>
      <c r="D750" s="13" t="s">
        <v>2179</v>
      </c>
      <c r="E750" s="13" t="s">
        <v>1150</v>
      </c>
      <c r="F750" s="15">
        <v>367</v>
      </c>
      <c r="G750" s="15">
        <v>367</v>
      </c>
    </row>
    <row r="751" spans="1:7">
      <c r="A751" s="14">
        <v>2244</v>
      </c>
      <c r="B751" s="13" t="s">
        <v>13078</v>
      </c>
      <c r="C751" s="13" t="s">
        <v>13079</v>
      </c>
      <c r="D751" s="13" t="s">
        <v>2179</v>
      </c>
      <c r="E751" s="13" t="s">
        <v>1150</v>
      </c>
      <c r="F751" s="15">
        <v>367</v>
      </c>
      <c r="G751" s="15">
        <v>367</v>
      </c>
    </row>
    <row r="752" spans="1:7">
      <c r="A752" s="14">
        <v>2245</v>
      </c>
      <c r="B752" s="13" t="s">
        <v>13080</v>
      </c>
      <c r="C752" s="13" t="s">
        <v>13081</v>
      </c>
      <c r="D752" s="13" t="s">
        <v>2179</v>
      </c>
      <c r="E752" s="13" t="s">
        <v>1150</v>
      </c>
      <c r="F752" s="15">
        <v>367</v>
      </c>
      <c r="G752" s="15">
        <v>367</v>
      </c>
    </row>
    <row r="753" spans="1:7">
      <c r="A753" s="14">
        <v>2250</v>
      </c>
      <c r="B753" s="13" t="s">
        <v>13082</v>
      </c>
      <c r="C753" s="13" t="s">
        <v>13083</v>
      </c>
      <c r="D753" s="13" t="s">
        <v>2179</v>
      </c>
      <c r="E753" s="13" t="s">
        <v>1150</v>
      </c>
      <c r="F753" s="15">
        <v>367</v>
      </c>
      <c r="G753" s="15">
        <v>367</v>
      </c>
    </row>
    <row r="754" spans="1:7">
      <c r="A754" s="14">
        <v>2251</v>
      </c>
      <c r="B754" s="13" t="s">
        <v>13084</v>
      </c>
      <c r="C754" s="13" t="s">
        <v>13085</v>
      </c>
      <c r="D754" s="13" t="s">
        <v>2179</v>
      </c>
      <c r="E754" s="13" t="s">
        <v>1150</v>
      </c>
      <c r="F754" s="15">
        <v>367</v>
      </c>
      <c r="G754" s="15">
        <v>367</v>
      </c>
    </row>
    <row r="755" spans="1:7">
      <c r="A755" s="14">
        <v>2252</v>
      </c>
      <c r="B755" s="13" t="s">
        <v>13086</v>
      </c>
      <c r="C755" s="13" t="s">
        <v>13087</v>
      </c>
      <c r="D755" s="13" t="s">
        <v>2179</v>
      </c>
      <c r="E755" s="13" t="s">
        <v>1150</v>
      </c>
      <c r="F755" s="15">
        <v>367</v>
      </c>
      <c r="G755" s="15">
        <v>367</v>
      </c>
    </row>
    <row r="756" spans="1:7">
      <c r="A756" s="14">
        <v>2253</v>
      </c>
      <c r="B756" s="13" t="s">
        <v>13088</v>
      </c>
      <c r="C756" s="13" t="s">
        <v>13089</v>
      </c>
      <c r="D756" s="13" t="s">
        <v>2179</v>
      </c>
      <c r="E756" s="13" t="s">
        <v>1150</v>
      </c>
      <c r="F756" s="15">
        <v>367</v>
      </c>
      <c r="G756" s="15">
        <v>367</v>
      </c>
    </row>
    <row r="757" spans="1:7">
      <c r="A757" s="14">
        <v>2255</v>
      </c>
      <c r="B757" s="13" t="s">
        <v>13090</v>
      </c>
      <c r="C757" s="13" t="s">
        <v>13091</v>
      </c>
      <c r="D757" s="13" t="s">
        <v>2179</v>
      </c>
      <c r="E757" s="13" t="s">
        <v>1150</v>
      </c>
      <c r="F757" s="15">
        <v>367</v>
      </c>
      <c r="G757" s="15">
        <v>367</v>
      </c>
    </row>
    <row r="758" spans="1:7">
      <c r="A758" s="14">
        <v>2256</v>
      </c>
      <c r="B758" s="13" t="s">
        <v>13092</v>
      </c>
      <c r="C758" s="13" t="s">
        <v>13093</v>
      </c>
      <c r="D758" s="13" t="s">
        <v>2179</v>
      </c>
      <c r="E758" s="13" t="s">
        <v>1150</v>
      </c>
      <c r="F758" s="15">
        <v>367</v>
      </c>
      <c r="G758" s="15">
        <v>367</v>
      </c>
    </row>
    <row r="759" spans="1:7">
      <c r="A759" s="14">
        <v>2257</v>
      </c>
      <c r="B759" s="13" t="s">
        <v>13094</v>
      </c>
      <c r="C759" s="13" t="s">
        <v>13095</v>
      </c>
      <c r="D759" s="13" t="s">
        <v>2179</v>
      </c>
      <c r="E759" s="13" t="s">
        <v>1150</v>
      </c>
      <c r="F759" s="15">
        <v>367</v>
      </c>
      <c r="G759" s="15">
        <v>367</v>
      </c>
    </row>
    <row r="760" spans="1:7">
      <c r="A760" s="14">
        <v>2260</v>
      </c>
      <c r="B760" s="13" t="s">
        <v>13096</v>
      </c>
      <c r="C760" s="13" t="s">
        <v>13097</v>
      </c>
      <c r="D760" s="13" t="s">
        <v>2179</v>
      </c>
      <c r="E760" s="13" t="s">
        <v>1150</v>
      </c>
      <c r="F760" s="15">
        <v>367</v>
      </c>
      <c r="G760" s="15">
        <v>367</v>
      </c>
    </row>
    <row r="761" spans="1:7">
      <c r="A761" s="14">
        <v>2261</v>
      </c>
      <c r="B761" s="13" t="s">
        <v>13098</v>
      </c>
      <c r="C761" s="13" t="s">
        <v>13099</v>
      </c>
      <c r="D761" s="13" t="s">
        <v>2179</v>
      </c>
      <c r="E761" s="13" t="s">
        <v>1150</v>
      </c>
      <c r="F761" s="15">
        <v>367</v>
      </c>
      <c r="G761" s="15">
        <v>367</v>
      </c>
    </row>
    <row r="762" spans="1:7">
      <c r="A762" s="14">
        <v>2262</v>
      </c>
      <c r="B762" s="13" t="s">
        <v>13100</v>
      </c>
      <c r="C762" s="13" t="s">
        <v>13101</v>
      </c>
      <c r="D762" s="13" t="s">
        <v>2179</v>
      </c>
      <c r="E762" s="13" t="s">
        <v>1150</v>
      </c>
      <c r="F762" s="15">
        <v>367</v>
      </c>
      <c r="G762" s="15">
        <v>367</v>
      </c>
    </row>
    <row r="763" spans="1:7">
      <c r="A763" s="14">
        <v>2263</v>
      </c>
      <c r="B763" s="13" t="s">
        <v>13102</v>
      </c>
      <c r="C763" s="13" t="s">
        <v>13103</v>
      </c>
      <c r="D763" s="13" t="s">
        <v>2179</v>
      </c>
      <c r="E763" s="13" t="s">
        <v>1150</v>
      </c>
      <c r="F763" s="15">
        <v>367</v>
      </c>
      <c r="G763" s="15">
        <v>367</v>
      </c>
    </row>
    <row r="764" spans="1:7">
      <c r="A764" s="14">
        <v>2264</v>
      </c>
      <c r="B764" s="13" t="s">
        <v>13104</v>
      </c>
      <c r="C764" s="13" t="s">
        <v>12499</v>
      </c>
      <c r="D764" s="13" t="s">
        <v>2179</v>
      </c>
      <c r="E764" s="13" t="s">
        <v>1150</v>
      </c>
      <c r="F764" s="15">
        <v>367</v>
      </c>
      <c r="G764" s="15">
        <v>367</v>
      </c>
    </row>
    <row r="765" spans="1:7">
      <c r="A765" s="14">
        <v>2265</v>
      </c>
      <c r="B765" s="13" t="s">
        <v>13105</v>
      </c>
      <c r="C765" s="13" t="s">
        <v>13106</v>
      </c>
      <c r="D765" s="13" t="s">
        <v>2179</v>
      </c>
      <c r="E765" s="13" t="s">
        <v>1150</v>
      </c>
      <c r="F765" s="15">
        <v>367</v>
      </c>
      <c r="G765" s="15">
        <v>367</v>
      </c>
    </row>
    <row r="766" spans="1:7">
      <c r="A766" s="14">
        <v>2266</v>
      </c>
      <c r="B766" s="13" t="s">
        <v>13107</v>
      </c>
      <c r="C766" s="13" t="s">
        <v>13108</v>
      </c>
      <c r="D766" s="13" t="s">
        <v>2179</v>
      </c>
      <c r="E766" s="13" t="s">
        <v>1150</v>
      </c>
      <c r="F766" s="15">
        <v>367</v>
      </c>
      <c r="G766" s="15">
        <v>367</v>
      </c>
    </row>
    <row r="767" spans="1:7">
      <c r="A767" s="14">
        <v>2267</v>
      </c>
      <c r="B767" s="13" t="s">
        <v>13109</v>
      </c>
      <c r="C767" s="13" t="s">
        <v>13110</v>
      </c>
      <c r="D767" s="13" t="s">
        <v>2179</v>
      </c>
      <c r="E767" s="13" t="s">
        <v>1150</v>
      </c>
      <c r="F767" s="15">
        <v>367</v>
      </c>
      <c r="G767" s="15">
        <v>367</v>
      </c>
    </row>
    <row r="768" spans="1:7">
      <c r="A768" s="14">
        <v>2268</v>
      </c>
      <c r="B768" s="13" t="s">
        <v>13111</v>
      </c>
      <c r="C768" s="13" t="s">
        <v>13112</v>
      </c>
      <c r="D768" s="13" t="s">
        <v>2179</v>
      </c>
      <c r="E768" s="13" t="s">
        <v>1150</v>
      </c>
      <c r="F768" s="15">
        <v>367</v>
      </c>
      <c r="G768" s="15">
        <v>367</v>
      </c>
    </row>
    <row r="769" spans="1:7">
      <c r="A769" s="14">
        <v>2269</v>
      </c>
      <c r="B769" s="13" t="s">
        <v>13113</v>
      </c>
      <c r="C769" s="13" t="s">
        <v>13114</v>
      </c>
      <c r="D769" s="13" t="s">
        <v>2179</v>
      </c>
      <c r="E769" s="13" t="s">
        <v>1150</v>
      </c>
      <c r="F769" s="15">
        <v>367</v>
      </c>
      <c r="G769" s="15">
        <v>367</v>
      </c>
    </row>
    <row r="770" spans="1:7">
      <c r="A770" s="14">
        <v>2270</v>
      </c>
      <c r="B770" s="13" t="s">
        <v>13115</v>
      </c>
      <c r="C770" s="13" t="s">
        <v>13116</v>
      </c>
      <c r="D770" s="13" t="s">
        <v>2179</v>
      </c>
      <c r="E770" s="13" t="s">
        <v>1150</v>
      </c>
      <c r="F770" s="15">
        <v>367</v>
      </c>
      <c r="G770" s="15">
        <v>367</v>
      </c>
    </row>
    <row r="771" spans="1:7">
      <c r="A771" s="14">
        <v>2273</v>
      </c>
      <c r="B771" s="13" t="s">
        <v>13117</v>
      </c>
      <c r="C771" s="13" t="s">
        <v>13118</v>
      </c>
      <c r="D771" s="13" t="s">
        <v>2179</v>
      </c>
      <c r="E771" s="13" t="s">
        <v>1150</v>
      </c>
      <c r="F771" s="15">
        <v>367</v>
      </c>
      <c r="G771" s="15">
        <v>367</v>
      </c>
    </row>
    <row r="772" spans="1:7">
      <c r="A772" s="14">
        <v>2276</v>
      </c>
      <c r="B772" s="13" t="s">
        <v>13119</v>
      </c>
      <c r="C772" s="13" t="s">
        <v>13120</v>
      </c>
      <c r="D772" s="13" t="s">
        <v>2179</v>
      </c>
      <c r="E772" s="13" t="s">
        <v>1150</v>
      </c>
      <c r="F772" s="15">
        <v>367</v>
      </c>
      <c r="G772" s="15">
        <v>367</v>
      </c>
    </row>
    <row r="773" spans="1:7">
      <c r="A773" s="14">
        <v>2277</v>
      </c>
      <c r="B773" s="13" t="s">
        <v>13121</v>
      </c>
      <c r="C773" s="13" t="s">
        <v>13122</v>
      </c>
      <c r="D773" s="13" t="s">
        <v>2179</v>
      </c>
      <c r="E773" s="13" t="s">
        <v>1150</v>
      </c>
      <c r="F773" s="15">
        <v>367</v>
      </c>
      <c r="G773" s="15">
        <v>367</v>
      </c>
    </row>
    <row r="774" spans="1:7">
      <c r="A774" s="14">
        <v>2278</v>
      </c>
      <c r="B774" s="13" t="s">
        <v>13123</v>
      </c>
      <c r="C774" s="13" t="s">
        <v>13124</v>
      </c>
      <c r="D774" s="13" t="s">
        <v>2179</v>
      </c>
      <c r="E774" s="13" t="s">
        <v>1150</v>
      </c>
      <c r="F774" s="15">
        <v>367</v>
      </c>
      <c r="G774" s="15">
        <v>367</v>
      </c>
    </row>
    <row r="775" spans="1:7">
      <c r="A775" s="14">
        <v>2279</v>
      </c>
      <c r="B775" s="13" t="s">
        <v>13125</v>
      </c>
      <c r="C775" s="13" t="s">
        <v>13126</v>
      </c>
      <c r="D775" s="13" t="s">
        <v>2179</v>
      </c>
      <c r="E775" s="13" t="s">
        <v>1150</v>
      </c>
      <c r="F775" s="15">
        <v>367</v>
      </c>
      <c r="G775" s="15">
        <v>367</v>
      </c>
    </row>
    <row r="776" spans="1:7">
      <c r="A776" s="14">
        <v>2285</v>
      </c>
      <c r="B776" s="13" t="s">
        <v>13127</v>
      </c>
      <c r="C776" s="13" t="s">
        <v>13128</v>
      </c>
      <c r="D776" s="13" t="s">
        <v>2179</v>
      </c>
      <c r="E776" s="13" t="s">
        <v>1150</v>
      </c>
      <c r="F776" s="15">
        <v>367</v>
      </c>
      <c r="G776" s="15">
        <v>367</v>
      </c>
    </row>
    <row r="777" spans="1:7">
      <c r="A777" s="14">
        <v>2286</v>
      </c>
      <c r="B777" s="13" t="s">
        <v>13129</v>
      </c>
      <c r="C777" s="13" t="s">
        <v>13130</v>
      </c>
      <c r="D777" s="13" t="s">
        <v>2179</v>
      </c>
      <c r="E777" s="13" t="s">
        <v>1150</v>
      </c>
      <c r="F777" s="15">
        <v>367</v>
      </c>
      <c r="G777" s="15">
        <v>367</v>
      </c>
    </row>
    <row r="778" spans="1:7">
      <c r="A778" s="14">
        <v>2287</v>
      </c>
      <c r="B778" s="13" t="s">
        <v>13131</v>
      </c>
      <c r="C778" s="13" t="s">
        <v>13132</v>
      </c>
      <c r="D778" s="13" t="s">
        <v>2179</v>
      </c>
      <c r="E778" s="13" t="s">
        <v>1150</v>
      </c>
      <c r="F778" s="15">
        <v>367</v>
      </c>
      <c r="G778" s="15">
        <v>367</v>
      </c>
    </row>
    <row r="779" spans="1:7">
      <c r="A779" s="14">
        <v>2288</v>
      </c>
      <c r="B779" s="13" t="s">
        <v>13133</v>
      </c>
      <c r="C779" s="13" t="s">
        <v>13134</v>
      </c>
      <c r="D779" s="13" t="s">
        <v>2179</v>
      </c>
      <c r="E779" s="13" t="s">
        <v>1150</v>
      </c>
      <c r="F779" s="15">
        <v>367</v>
      </c>
      <c r="G779" s="15">
        <v>367</v>
      </c>
    </row>
    <row r="780" spans="1:7">
      <c r="A780" s="14">
        <v>2289</v>
      </c>
      <c r="B780" s="13" t="s">
        <v>13135</v>
      </c>
      <c r="C780" s="13" t="s">
        <v>13136</v>
      </c>
      <c r="D780" s="13" t="s">
        <v>2179</v>
      </c>
      <c r="E780" s="13" t="s">
        <v>1150</v>
      </c>
      <c r="F780" s="15">
        <v>367</v>
      </c>
      <c r="G780" s="15">
        <v>367</v>
      </c>
    </row>
    <row r="781" spans="1:7">
      <c r="A781" s="14">
        <v>2290</v>
      </c>
      <c r="B781" s="13" t="s">
        <v>13137</v>
      </c>
      <c r="C781" s="13" t="s">
        <v>13138</v>
      </c>
      <c r="D781" s="13" t="s">
        <v>2179</v>
      </c>
      <c r="E781" s="13" t="s">
        <v>1150</v>
      </c>
      <c r="F781" s="15">
        <v>367</v>
      </c>
      <c r="G781" s="15">
        <v>367</v>
      </c>
    </row>
    <row r="782" spans="1:7">
      <c r="A782" s="14">
        <v>2291</v>
      </c>
      <c r="B782" s="13" t="s">
        <v>13139</v>
      </c>
      <c r="C782" s="13" t="s">
        <v>13140</v>
      </c>
      <c r="D782" s="13" t="s">
        <v>2179</v>
      </c>
      <c r="E782" s="13" t="s">
        <v>1150</v>
      </c>
      <c r="F782" s="15">
        <v>367</v>
      </c>
      <c r="G782" s="15">
        <v>367</v>
      </c>
    </row>
    <row r="783" spans="1:7">
      <c r="A783" s="14">
        <v>2292</v>
      </c>
      <c r="B783" s="13" t="s">
        <v>13141</v>
      </c>
      <c r="C783" s="13" t="s">
        <v>13142</v>
      </c>
      <c r="D783" s="13" t="s">
        <v>2179</v>
      </c>
      <c r="E783" s="13" t="s">
        <v>1150</v>
      </c>
      <c r="F783" s="15">
        <v>367</v>
      </c>
      <c r="G783" s="15">
        <v>367</v>
      </c>
    </row>
    <row r="784" spans="1:7">
      <c r="A784" s="14">
        <v>2293</v>
      </c>
      <c r="B784" s="13" t="s">
        <v>13143</v>
      </c>
      <c r="C784" s="13" t="s">
        <v>13144</v>
      </c>
      <c r="D784" s="13" t="s">
        <v>2179</v>
      </c>
      <c r="E784" s="13" t="s">
        <v>1150</v>
      </c>
      <c r="F784" s="15">
        <v>367</v>
      </c>
      <c r="G784" s="15">
        <v>367</v>
      </c>
    </row>
    <row r="785" spans="1:7">
      <c r="A785" s="14">
        <v>2299</v>
      </c>
      <c r="B785" s="13" t="s">
        <v>13145</v>
      </c>
      <c r="C785" s="13" t="s">
        <v>13146</v>
      </c>
      <c r="D785" s="13" t="s">
        <v>2179</v>
      </c>
      <c r="E785" s="13" t="s">
        <v>1150</v>
      </c>
      <c r="F785" s="15">
        <v>367</v>
      </c>
      <c r="G785" s="15">
        <v>367</v>
      </c>
    </row>
    <row r="786" spans="1:7">
      <c r="A786" s="14">
        <v>2300</v>
      </c>
      <c r="B786" s="13" t="s">
        <v>13147</v>
      </c>
      <c r="C786" s="13" t="s">
        <v>13148</v>
      </c>
      <c r="D786" s="13" t="s">
        <v>2179</v>
      </c>
      <c r="E786" s="13" t="s">
        <v>1150</v>
      </c>
      <c r="F786" s="15">
        <v>367</v>
      </c>
      <c r="G786" s="15">
        <v>367</v>
      </c>
    </row>
    <row r="787" spans="1:7">
      <c r="A787" s="14">
        <v>2301</v>
      </c>
      <c r="B787" s="13" t="s">
        <v>13149</v>
      </c>
      <c r="C787" s="13" t="s">
        <v>13150</v>
      </c>
      <c r="D787" s="13" t="s">
        <v>2179</v>
      </c>
      <c r="E787" s="13" t="s">
        <v>1150</v>
      </c>
      <c r="F787" s="15">
        <v>367</v>
      </c>
      <c r="G787" s="15">
        <v>367</v>
      </c>
    </row>
    <row r="788" spans="1:7">
      <c r="A788" s="14">
        <v>2302</v>
      </c>
      <c r="B788" s="13" t="s">
        <v>13151</v>
      </c>
      <c r="C788" s="13" t="s">
        <v>13152</v>
      </c>
      <c r="D788" s="13" t="s">
        <v>2179</v>
      </c>
      <c r="E788" s="13" t="s">
        <v>1150</v>
      </c>
      <c r="F788" s="15">
        <v>367</v>
      </c>
      <c r="G788" s="15">
        <v>367</v>
      </c>
    </row>
    <row r="789" spans="1:7">
      <c r="A789" s="14">
        <v>2303</v>
      </c>
      <c r="B789" s="13" t="s">
        <v>13153</v>
      </c>
      <c r="C789" s="13" t="s">
        <v>13154</v>
      </c>
      <c r="D789" s="13" t="s">
        <v>2179</v>
      </c>
      <c r="E789" s="13" t="s">
        <v>1150</v>
      </c>
      <c r="F789" s="15">
        <v>367</v>
      </c>
      <c r="G789" s="15">
        <v>367</v>
      </c>
    </row>
    <row r="790" spans="1:7">
      <c r="A790" s="14">
        <v>2304</v>
      </c>
      <c r="B790" s="13" t="s">
        <v>13155</v>
      </c>
      <c r="C790" s="13" t="s">
        <v>13156</v>
      </c>
      <c r="D790" s="13" t="s">
        <v>2179</v>
      </c>
      <c r="E790" s="13" t="s">
        <v>1150</v>
      </c>
      <c r="F790" s="15">
        <v>367</v>
      </c>
      <c r="G790" s="15">
        <v>367</v>
      </c>
    </row>
    <row r="791" spans="1:7">
      <c r="A791" s="14">
        <v>2305</v>
      </c>
      <c r="B791" s="13" t="s">
        <v>13157</v>
      </c>
      <c r="C791" s="13" t="s">
        <v>13158</v>
      </c>
      <c r="D791" s="13" t="s">
        <v>2179</v>
      </c>
      <c r="E791" s="13" t="s">
        <v>1150</v>
      </c>
      <c r="F791" s="15">
        <v>367</v>
      </c>
      <c r="G791" s="15">
        <v>367</v>
      </c>
    </row>
    <row r="792" spans="1:7">
      <c r="A792" s="14">
        <v>2306</v>
      </c>
      <c r="B792" s="13" t="s">
        <v>13159</v>
      </c>
      <c r="C792" s="13" t="s">
        <v>13160</v>
      </c>
      <c r="D792" s="13" t="s">
        <v>2179</v>
      </c>
      <c r="E792" s="13" t="s">
        <v>1150</v>
      </c>
      <c r="F792" s="15">
        <v>367</v>
      </c>
      <c r="G792" s="15">
        <v>367</v>
      </c>
    </row>
    <row r="793" spans="1:7">
      <c r="A793" s="14">
        <v>2307</v>
      </c>
      <c r="B793" s="13" t="s">
        <v>13161</v>
      </c>
      <c r="C793" s="13" t="s">
        <v>13162</v>
      </c>
      <c r="D793" s="13" t="s">
        <v>2179</v>
      </c>
      <c r="E793" s="13" t="s">
        <v>1150</v>
      </c>
      <c r="F793" s="15">
        <v>367</v>
      </c>
      <c r="G793" s="15">
        <v>367</v>
      </c>
    </row>
    <row r="794" spans="1:7">
      <c r="A794" s="14">
        <v>2308</v>
      </c>
      <c r="B794" s="13" t="s">
        <v>13163</v>
      </c>
      <c r="C794" s="13" t="s">
        <v>13164</v>
      </c>
      <c r="D794" s="13" t="s">
        <v>2179</v>
      </c>
      <c r="E794" s="13" t="s">
        <v>1150</v>
      </c>
      <c r="F794" s="15">
        <v>367</v>
      </c>
      <c r="G794" s="15">
        <v>367</v>
      </c>
    </row>
    <row r="795" spans="1:7">
      <c r="A795" s="14">
        <v>2309</v>
      </c>
      <c r="B795" s="13" t="s">
        <v>13165</v>
      </c>
      <c r="C795" s="13" t="s">
        <v>13166</v>
      </c>
      <c r="D795" s="13" t="s">
        <v>2179</v>
      </c>
      <c r="E795" s="13" t="s">
        <v>1150</v>
      </c>
      <c r="F795" s="15">
        <v>367</v>
      </c>
      <c r="G795" s="15">
        <v>367</v>
      </c>
    </row>
    <row r="796" spans="1:7">
      <c r="A796" s="14">
        <v>2310</v>
      </c>
      <c r="B796" s="13" t="s">
        <v>13167</v>
      </c>
      <c r="C796" s="13" t="s">
        <v>13168</v>
      </c>
      <c r="D796" s="13" t="s">
        <v>2179</v>
      </c>
      <c r="E796" s="13" t="s">
        <v>1150</v>
      </c>
      <c r="F796" s="15">
        <v>367</v>
      </c>
      <c r="G796" s="15">
        <v>367</v>
      </c>
    </row>
    <row r="797" spans="1:7">
      <c r="A797" s="14">
        <v>2311</v>
      </c>
      <c r="B797" s="13" t="s">
        <v>13169</v>
      </c>
      <c r="C797" s="13" t="s">
        <v>13170</v>
      </c>
      <c r="D797" s="13" t="s">
        <v>2179</v>
      </c>
      <c r="E797" s="13" t="s">
        <v>1150</v>
      </c>
      <c r="F797" s="15">
        <v>367</v>
      </c>
      <c r="G797" s="15">
        <v>367</v>
      </c>
    </row>
    <row r="798" spans="1:7">
      <c r="A798" s="14">
        <v>2312</v>
      </c>
      <c r="B798" s="13" t="s">
        <v>13171</v>
      </c>
      <c r="C798" s="13" t="s">
        <v>13172</v>
      </c>
      <c r="D798" s="13" t="s">
        <v>2179</v>
      </c>
      <c r="E798" s="13" t="s">
        <v>1150</v>
      </c>
      <c r="F798" s="15">
        <v>367</v>
      </c>
      <c r="G798" s="15">
        <v>367</v>
      </c>
    </row>
    <row r="799" spans="1:7">
      <c r="A799" s="14">
        <v>2313</v>
      </c>
      <c r="B799" s="13" t="s">
        <v>13173</v>
      </c>
      <c r="C799" s="13" t="s">
        <v>13174</v>
      </c>
      <c r="D799" s="13" t="s">
        <v>2179</v>
      </c>
      <c r="E799" s="13" t="s">
        <v>1150</v>
      </c>
      <c r="F799" s="15">
        <v>367</v>
      </c>
      <c r="G799" s="15">
        <v>367</v>
      </c>
    </row>
    <row r="800" spans="1:7">
      <c r="A800" s="14">
        <v>2314</v>
      </c>
      <c r="B800" s="13" t="s">
        <v>13175</v>
      </c>
      <c r="C800" s="13" t="s">
        <v>13176</v>
      </c>
      <c r="D800" s="13" t="s">
        <v>2179</v>
      </c>
      <c r="E800" s="13" t="s">
        <v>1150</v>
      </c>
      <c r="F800" s="15">
        <v>367</v>
      </c>
      <c r="G800" s="15">
        <v>367</v>
      </c>
    </row>
    <row r="801" spans="1:7">
      <c r="A801" s="14">
        <v>2315</v>
      </c>
      <c r="B801" s="13" t="s">
        <v>13177</v>
      </c>
      <c r="C801" s="13" t="s">
        <v>13178</v>
      </c>
      <c r="D801" s="13" t="s">
        <v>2179</v>
      </c>
      <c r="E801" s="13" t="s">
        <v>1150</v>
      </c>
      <c r="F801" s="15">
        <v>367</v>
      </c>
      <c r="G801" s="15">
        <v>367</v>
      </c>
    </row>
    <row r="802" spans="1:7">
      <c r="A802" s="14">
        <v>2316</v>
      </c>
      <c r="B802" s="13" t="s">
        <v>13179</v>
      </c>
      <c r="C802" s="13" t="s">
        <v>13180</v>
      </c>
      <c r="D802" s="13" t="s">
        <v>2179</v>
      </c>
      <c r="E802" s="13" t="s">
        <v>1150</v>
      </c>
      <c r="F802" s="15">
        <v>367</v>
      </c>
      <c r="G802" s="15">
        <v>367</v>
      </c>
    </row>
    <row r="803" spans="1:7">
      <c r="A803" s="14">
        <v>2317</v>
      </c>
      <c r="B803" s="13" t="s">
        <v>13181</v>
      </c>
      <c r="C803" s="13" t="s">
        <v>13182</v>
      </c>
      <c r="D803" s="13" t="s">
        <v>2179</v>
      </c>
      <c r="E803" s="13" t="s">
        <v>1150</v>
      </c>
      <c r="F803" s="15">
        <v>367</v>
      </c>
      <c r="G803" s="15">
        <v>367</v>
      </c>
    </row>
    <row r="804" spans="1:7">
      <c r="A804" s="14">
        <v>2318</v>
      </c>
      <c r="B804" s="13" t="s">
        <v>13183</v>
      </c>
      <c r="C804" s="13" t="s">
        <v>13184</v>
      </c>
      <c r="D804" s="13" t="s">
        <v>2179</v>
      </c>
      <c r="E804" s="13" t="s">
        <v>1150</v>
      </c>
      <c r="F804" s="15">
        <v>367</v>
      </c>
      <c r="G804" s="15">
        <v>367</v>
      </c>
    </row>
    <row r="805" spans="1:7">
      <c r="A805" s="14">
        <v>2319</v>
      </c>
      <c r="B805" s="13" t="s">
        <v>13185</v>
      </c>
      <c r="C805" s="13" t="s">
        <v>13186</v>
      </c>
      <c r="D805" s="13" t="s">
        <v>2179</v>
      </c>
      <c r="E805" s="13" t="s">
        <v>1150</v>
      </c>
      <c r="F805" s="15">
        <v>367</v>
      </c>
      <c r="G805" s="15">
        <v>367</v>
      </c>
    </row>
    <row r="806" spans="1:7">
      <c r="A806" s="14">
        <v>2320</v>
      </c>
      <c r="B806" s="13" t="s">
        <v>13187</v>
      </c>
      <c r="C806" s="13" t="s">
        <v>13188</v>
      </c>
      <c r="D806" s="13" t="s">
        <v>2179</v>
      </c>
      <c r="E806" s="13" t="s">
        <v>1150</v>
      </c>
      <c r="F806" s="15">
        <v>367</v>
      </c>
      <c r="G806" s="15">
        <v>367</v>
      </c>
    </row>
    <row r="807" spans="1:7">
      <c r="A807" s="14">
        <v>2321</v>
      </c>
      <c r="B807" s="13" t="s">
        <v>13189</v>
      </c>
      <c r="C807" s="13" t="s">
        <v>13190</v>
      </c>
      <c r="D807" s="13" t="s">
        <v>2179</v>
      </c>
      <c r="E807" s="13" t="s">
        <v>1150</v>
      </c>
      <c r="F807" s="15">
        <v>367</v>
      </c>
      <c r="G807" s="15">
        <v>367</v>
      </c>
    </row>
    <row r="808" spans="1:7">
      <c r="A808" s="14">
        <v>2322</v>
      </c>
      <c r="B808" s="13" t="s">
        <v>13191</v>
      </c>
      <c r="C808" s="13" t="s">
        <v>13192</v>
      </c>
      <c r="D808" s="13" t="s">
        <v>2179</v>
      </c>
      <c r="E808" s="13" t="s">
        <v>1150</v>
      </c>
      <c r="F808" s="15">
        <v>367</v>
      </c>
      <c r="G808" s="15">
        <v>367</v>
      </c>
    </row>
    <row r="809" spans="1:7">
      <c r="A809" s="14">
        <v>2323</v>
      </c>
      <c r="B809" s="13" t="s">
        <v>13193</v>
      </c>
      <c r="C809" s="13" t="s">
        <v>13194</v>
      </c>
      <c r="D809" s="13" t="s">
        <v>2179</v>
      </c>
      <c r="E809" s="13" t="s">
        <v>1150</v>
      </c>
      <c r="F809" s="15">
        <v>367</v>
      </c>
      <c r="G809" s="15">
        <v>367</v>
      </c>
    </row>
    <row r="810" spans="1:7">
      <c r="A810" s="14">
        <v>2324</v>
      </c>
      <c r="B810" s="13" t="s">
        <v>13195</v>
      </c>
      <c r="C810" s="13" t="s">
        <v>13196</v>
      </c>
      <c r="D810" s="13" t="s">
        <v>2179</v>
      </c>
      <c r="E810" s="13" t="s">
        <v>1150</v>
      </c>
      <c r="F810" s="15">
        <v>367</v>
      </c>
      <c r="G810" s="15">
        <v>367</v>
      </c>
    </row>
    <row r="811" spans="1:7">
      <c r="A811" s="14">
        <v>2325</v>
      </c>
      <c r="B811" s="13" t="s">
        <v>13197</v>
      </c>
      <c r="C811" s="13" t="s">
        <v>13198</v>
      </c>
      <c r="D811" s="13" t="s">
        <v>2179</v>
      </c>
      <c r="E811" s="13" t="s">
        <v>1150</v>
      </c>
      <c r="F811" s="15">
        <v>367</v>
      </c>
      <c r="G811" s="15">
        <v>367</v>
      </c>
    </row>
    <row r="812" spans="1:7">
      <c r="A812" s="14">
        <v>2326</v>
      </c>
      <c r="B812" s="13" t="s">
        <v>13199</v>
      </c>
      <c r="C812" s="13" t="s">
        <v>13200</v>
      </c>
      <c r="D812" s="13" t="s">
        <v>2179</v>
      </c>
      <c r="E812" s="13" t="s">
        <v>1150</v>
      </c>
      <c r="F812" s="15">
        <v>367</v>
      </c>
      <c r="G812" s="15">
        <v>367</v>
      </c>
    </row>
    <row r="813" spans="1:7">
      <c r="A813" s="14">
        <v>2328</v>
      </c>
      <c r="B813" s="13" t="s">
        <v>13201</v>
      </c>
      <c r="C813" s="13" t="s">
        <v>13202</v>
      </c>
      <c r="D813" s="13" t="s">
        <v>2179</v>
      </c>
      <c r="E813" s="13" t="s">
        <v>1150</v>
      </c>
      <c r="F813" s="15">
        <v>367</v>
      </c>
      <c r="G813" s="15">
        <v>367</v>
      </c>
    </row>
    <row r="814" spans="1:7">
      <c r="A814" s="14">
        <v>2329</v>
      </c>
      <c r="B814" s="13" t="s">
        <v>13203</v>
      </c>
      <c r="C814" s="13" t="s">
        <v>13204</v>
      </c>
      <c r="D814" s="13" t="s">
        <v>2179</v>
      </c>
      <c r="E814" s="13" t="s">
        <v>1150</v>
      </c>
      <c r="F814" s="15">
        <v>367</v>
      </c>
      <c r="G814" s="15">
        <v>367</v>
      </c>
    </row>
    <row r="815" spans="1:7">
      <c r="A815" s="14">
        <v>2330</v>
      </c>
      <c r="B815" s="13" t="s">
        <v>13205</v>
      </c>
      <c r="C815" s="13" t="s">
        <v>13206</v>
      </c>
      <c r="D815" s="13" t="s">
        <v>2179</v>
      </c>
      <c r="E815" s="13" t="s">
        <v>1150</v>
      </c>
      <c r="F815" s="15">
        <v>367</v>
      </c>
      <c r="G815" s="15">
        <v>367</v>
      </c>
    </row>
    <row r="816" spans="1:7">
      <c r="A816" s="14">
        <v>2331</v>
      </c>
      <c r="B816" s="13" t="s">
        <v>13207</v>
      </c>
      <c r="C816" s="13" t="s">
        <v>13208</v>
      </c>
      <c r="D816" s="13" t="s">
        <v>2179</v>
      </c>
      <c r="E816" s="13" t="s">
        <v>1150</v>
      </c>
      <c r="F816" s="15">
        <v>367</v>
      </c>
      <c r="G816" s="15">
        <v>367</v>
      </c>
    </row>
    <row r="817" spans="1:7">
      <c r="A817" s="14">
        <v>2332</v>
      </c>
      <c r="B817" s="13" t="s">
        <v>13209</v>
      </c>
      <c r="C817" s="13" t="s">
        <v>13210</v>
      </c>
      <c r="D817" s="13" t="s">
        <v>2179</v>
      </c>
      <c r="E817" s="13" t="s">
        <v>1150</v>
      </c>
      <c r="F817" s="15">
        <v>367</v>
      </c>
      <c r="G817" s="15">
        <v>367</v>
      </c>
    </row>
    <row r="818" spans="1:7">
      <c r="A818" s="14">
        <v>2334</v>
      </c>
      <c r="B818" s="13" t="s">
        <v>13211</v>
      </c>
      <c r="C818" s="13" t="s">
        <v>13212</v>
      </c>
      <c r="D818" s="13" t="s">
        <v>2179</v>
      </c>
      <c r="E818" s="13" t="s">
        <v>1150</v>
      </c>
      <c r="F818" s="15">
        <v>367</v>
      </c>
      <c r="G818" s="15">
        <v>367</v>
      </c>
    </row>
    <row r="819" spans="1:7">
      <c r="A819" s="14">
        <v>2335</v>
      </c>
      <c r="B819" s="13" t="s">
        <v>13213</v>
      </c>
      <c r="C819" s="13" t="s">
        <v>13214</v>
      </c>
      <c r="D819" s="13" t="s">
        <v>2179</v>
      </c>
      <c r="E819" s="13" t="s">
        <v>1150</v>
      </c>
      <c r="F819" s="15">
        <v>367</v>
      </c>
      <c r="G819" s="15">
        <v>367</v>
      </c>
    </row>
    <row r="820" spans="1:7">
      <c r="A820" s="14">
        <v>2336</v>
      </c>
      <c r="B820" s="13" t="s">
        <v>13215</v>
      </c>
      <c r="C820" s="13" t="s">
        <v>13216</v>
      </c>
      <c r="D820" s="13" t="s">
        <v>2179</v>
      </c>
      <c r="E820" s="13" t="s">
        <v>1150</v>
      </c>
      <c r="F820" s="15">
        <v>367</v>
      </c>
      <c r="G820" s="15">
        <v>367</v>
      </c>
    </row>
    <row r="821" spans="1:7">
      <c r="A821" s="14">
        <v>2337</v>
      </c>
      <c r="B821" s="13" t="s">
        <v>13217</v>
      </c>
      <c r="C821" s="13" t="s">
        <v>13218</v>
      </c>
      <c r="D821" s="13" t="s">
        <v>2179</v>
      </c>
      <c r="E821" s="13" t="s">
        <v>1150</v>
      </c>
      <c r="F821" s="15">
        <v>367</v>
      </c>
      <c r="G821" s="15">
        <v>367</v>
      </c>
    </row>
    <row r="822" spans="1:7">
      <c r="A822" s="14">
        <v>2338</v>
      </c>
      <c r="B822" s="13" t="s">
        <v>13219</v>
      </c>
      <c r="C822" s="13" t="s">
        <v>13220</v>
      </c>
      <c r="D822" s="13" t="s">
        <v>2179</v>
      </c>
      <c r="E822" s="13" t="s">
        <v>1150</v>
      </c>
      <c r="F822" s="15">
        <v>367</v>
      </c>
      <c r="G822" s="15">
        <v>367</v>
      </c>
    </row>
    <row r="823" spans="1:7">
      <c r="A823" s="14">
        <v>2340</v>
      </c>
      <c r="B823" s="13" t="s">
        <v>13221</v>
      </c>
      <c r="C823" s="13" t="s">
        <v>13222</v>
      </c>
      <c r="D823" s="13" t="s">
        <v>2179</v>
      </c>
      <c r="E823" s="13" t="s">
        <v>1150</v>
      </c>
      <c r="F823" s="15">
        <v>367</v>
      </c>
      <c r="G823" s="15">
        <v>367</v>
      </c>
    </row>
    <row r="824" spans="1:7">
      <c r="A824" s="14">
        <v>2341</v>
      </c>
      <c r="B824" s="13" t="s">
        <v>13223</v>
      </c>
      <c r="C824" s="13" t="s">
        <v>13224</v>
      </c>
      <c r="D824" s="13" t="s">
        <v>2179</v>
      </c>
      <c r="E824" s="13" t="s">
        <v>1150</v>
      </c>
      <c r="F824" s="15">
        <v>367</v>
      </c>
      <c r="G824" s="15">
        <v>367</v>
      </c>
    </row>
    <row r="825" spans="1:7">
      <c r="A825" s="14">
        <v>2342</v>
      </c>
      <c r="B825" s="13" t="s">
        <v>13225</v>
      </c>
      <c r="C825" s="13" t="s">
        <v>13226</v>
      </c>
      <c r="D825" s="13" t="s">
        <v>2179</v>
      </c>
      <c r="E825" s="13" t="s">
        <v>1150</v>
      </c>
      <c r="F825" s="15">
        <v>367</v>
      </c>
      <c r="G825" s="15">
        <v>367</v>
      </c>
    </row>
    <row r="826" spans="1:7">
      <c r="A826" s="14">
        <v>2343</v>
      </c>
      <c r="B826" s="13" t="s">
        <v>13227</v>
      </c>
      <c r="C826" s="13" t="s">
        <v>13228</v>
      </c>
      <c r="D826" s="13" t="s">
        <v>2179</v>
      </c>
      <c r="E826" s="13" t="s">
        <v>1150</v>
      </c>
      <c r="F826" s="15">
        <v>367</v>
      </c>
      <c r="G826" s="15">
        <v>367</v>
      </c>
    </row>
    <row r="827" spans="1:7">
      <c r="A827" s="14">
        <v>2344</v>
      </c>
      <c r="B827" s="13" t="s">
        <v>13229</v>
      </c>
      <c r="C827" s="13" t="s">
        <v>13230</v>
      </c>
      <c r="D827" s="13" t="s">
        <v>2179</v>
      </c>
      <c r="E827" s="13" t="s">
        <v>1150</v>
      </c>
      <c r="F827" s="15">
        <v>367</v>
      </c>
      <c r="G827" s="15">
        <v>367</v>
      </c>
    </row>
    <row r="828" spans="1:7">
      <c r="A828" s="14">
        <v>2345</v>
      </c>
      <c r="B828" s="13" t="s">
        <v>13231</v>
      </c>
      <c r="C828" s="13" t="s">
        <v>13232</v>
      </c>
      <c r="D828" s="13" t="s">
        <v>2179</v>
      </c>
      <c r="E828" s="13" t="s">
        <v>1150</v>
      </c>
      <c r="F828" s="15">
        <v>367</v>
      </c>
      <c r="G828" s="15">
        <v>367</v>
      </c>
    </row>
    <row r="829" spans="1:7">
      <c r="A829" s="14">
        <v>2346</v>
      </c>
      <c r="B829" s="13" t="s">
        <v>13233</v>
      </c>
      <c r="C829" s="13" t="s">
        <v>13234</v>
      </c>
      <c r="D829" s="13" t="s">
        <v>2179</v>
      </c>
      <c r="E829" s="13" t="s">
        <v>1150</v>
      </c>
      <c r="F829" s="15">
        <v>367</v>
      </c>
      <c r="G829" s="15">
        <v>367</v>
      </c>
    </row>
    <row r="830" spans="1:7">
      <c r="A830" s="14">
        <v>2347</v>
      </c>
      <c r="B830" s="13" t="s">
        <v>13235</v>
      </c>
      <c r="C830" s="13" t="s">
        <v>13236</v>
      </c>
      <c r="D830" s="13" t="s">
        <v>2179</v>
      </c>
      <c r="E830" s="13" t="s">
        <v>1150</v>
      </c>
      <c r="F830" s="15">
        <v>367</v>
      </c>
      <c r="G830" s="15">
        <v>367</v>
      </c>
    </row>
    <row r="831" spans="1:7">
      <c r="A831" s="14">
        <v>2348</v>
      </c>
      <c r="B831" s="13" t="s">
        <v>13237</v>
      </c>
      <c r="C831" s="13" t="s">
        <v>13238</v>
      </c>
      <c r="D831" s="13" t="s">
        <v>2179</v>
      </c>
      <c r="E831" s="13" t="s">
        <v>1150</v>
      </c>
      <c r="F831" s="15">
        <v>367</v>
      </c>
      <c r="G831" s="15">
        <v>367</v>
      </c>
    </row>
    <row r="832" spans="1:7">
      <c r="A832" s="14">
        <v>2349</v>
      </c>
      <c r="B832" s="13" t="s">
        <v>13239</v>
      </c>
      <c r="C832" s="13" t="s">
        <v>13240</v>
      </c>
      <c r="D832" s="13" t="s">
        <v>2179</v>
      </c>
      <c r="E832" s="13" t="s">
        <v>1150</v>
      </c>
      <c r="F832" s="15">
        <v>367</v>
      </c>
      <c r="G832" s="15">
        <v>367</v>
      </c>
    </row>
    <row r="833" spans="1:7">
      <c r="A833" s="14">
        <v>2350</v>
      </c>
      <c r="B833" s="13" t="s">
        <v>13241</v>
      </c>
      <c r="C833" s="13" t="s">
        <v>13242</v>
      </c>
      <c r="D833" s="13" t="s">
        <v>2179</v>
      </c>
      <c r="E833" s="13" t="s">
        <v>1150</v>
      </c>
      <c r="F833" s="15">
        <v>367</v>
      </c>
      <c r="G833" s="15">
        <v>367</v>
      </c>
    </row>
    <row r="834" spans="1:7">
      <c r="A834" s="14">
        <v>2351</v>
      </c>
      <c r="B834" s="13" t="s">
        <v>13243</v>
      </c>
      <c r="C834" s="13" t="s">
        <v>13244</v>
      </c>
      <c r="D834" s="13" t="s">
        <v>2179</v>
      </c>
      <c r="E834" s="13" t="s">
        <v>1150</v>
      </c>
      <c r="F834" s="15">
        <v>367</v>
      </c>
      <c r="G834" s="15">
        <v>367</v>
      </c>
    </row>
    <row r="835" spans="1:7">
      <c r="A835" s="14">
        <v>2352</v>
      </c>
      <c r="B835" s="13" t="s">
        <v>13245</v>
      </c>
      <c r="C835" s="13" t="s">
        <v>13246</v>
      </c>
      <c r="D835" s="13" t="s">
        <v>2179</v>
      </c>
      <c r="E835" s="13" t="s">
        <v>1150</v>
      </c>
      <c r="F835" s="15">
        <v>367</v>
      </c>
      <c r="G835" s="15">
        <v>367</v>
      </c>
    </row>
    <row r="836" spans="1:7">
      <c r="A836" s="14">
        <v>2353</v>
      </c>
      <c r="B836" s="13" t="s">
        <v>13247</v>
      </c>
      <c r="C836" s="13" t="s">
        <v>13248</v>
      </c>
      <c r="D836" s="13" t="s">
        <v>2179</v>
      </c>
      <c r="E836" s="13" t="s">
        <v>1150</v>
      </c>
      <c r="F836" s="15">
        <v>367</v>
      </c>
      <c r="G836" s="15">
        <v>367</v>
      </c>
    </row>
    <row r="837" spans="1:7">
      <c r="A837" s="14">
        <v>2354</v>
      </c>
      <c r="B837" s="13" t="s">
        <v>13249</v>
      </c>
      <c r="C837" s="13" t="s">
        <v>13250</v>
      </c>
      <c r="D837" s="13" t="s">
        <v>2179</v>
      </c>
      <c r="E837" s="13" t="s">
        <v>1150</v>
      </c>
      <c r="F837" s="15">
        <v>367</v>
      </c>
      <c r="G837" s="15">
        <v>367</v>
      </c>
    </row>
    <row r="838" spans="1:7">
      <c r="A838" s="14">
        <v>2365</v>
      </c>
      <c r="B838" s="13" t="s">
        <v>13251</v>
      </c>
      <c r="C838" s="13" t="s">
        <v>13252</v>
      </c>
      <c r="D838" s="13" t="s">
        <v>2179</v>
      </c>
      <c r="E838" s="13" t="s">
        <v>1150</v>
      </c>
      <c r="F838" s="15">
        <v>367</v>
      </c>
      <c r="G838" s="15">
        <v>367</v>
      </c>
    </row>
    <row r="839" spans="1:7">
      <c r="A839" s="14">
        <v>2421</v>
      </c>
      <c r="B839" s="13" t="s">
        <v>13253</v>
      </c>
      <c r="C839" s="13" t="s">
        <v>13254</v>
      </c>
      <c r="D839" s="13" t="s">
        <v>2179</v>
      </c>
      <c r="E839" s="13" t="s">
        <v>1150</v>
      </c>
      <c r="F839" s="15">
        <v>367</v>
      </c>
      <c r="G839" s="15">
        <v>367</v>
      </c>
    </row>
    <row r="840" spans="1:7">
      <c r="A840" s="14">
        <v>2464</v>
      </c>
      <c r="B840" s="13" t="s">
        <v>13255</v>
      </c>
      <c r="C840" s="13" t="s">
        <v>13256</v>
      </c>
      <c r="D840" s="13" t="s">
        <v>2179</v>
      </c>
      <c r="E840" s="13" t="s">
        <v>1150</v>
      </c>
      <c r="F840" s="15">
        <v>367</v>
      </c>
      <c r="G840" s="15">
        <v>367</v>
      </c>
    </row>
    <row r="841" spans="1:7">
      <c r="A841" s="14">
        <v>2465</v>
      </c>
      <c r="B841" s="13" t="s">
        <v>13257</v>
      </c>
      <c r="C841" s="13" t="s">
        <v>13258</v>
      </c>
      <c r="D841" s="13" t="s">
        <v>2179</v>
      </c>
      <c r="E841" s="13" t="s">
        <v>1150</v>
      </c>
      <c r="F841" s="15">
        <v>38170</v>
      </c>
      <c r="G841" s="15">
        <v>38170</v>
      </c>
    </row>
    <row r="842" spans="1:7">
      <c r="A842" s="14">
        <v>2466</v>
      </c>
      <c r="B842" s="13" t="s">
        <v>13259</v>
      </c>
      <c r="C842" s="13" t="s">
        <v>13260</v>
      </c>
      <c r="D842" s="13" t="s">
        <v>2179</v>
      </c>
      <c r="E842" s="13" t="s">
        <v>1150</v>
      </c>
      <c r="F842" s="15">
        <v>39965</v>
      </c>
      <c r="G842" s="15">
        <v>39965</v>
      </c>
    </row>
    <row r="843" spans="1:7">
      <c r="A843" s="14">
        <v>2467</v>
      </c>
      <c r="B843" s="13" t="s">
        <v>13261</v>
      </c>
      <c r="C843" s="13" t="s">
        <v>13262</v>
      </c>
      <c r="D843" s="13" t="s">
        <v>2179</v>
      </c>
      <c r="E843" s="13" t="s">
        <v>1150</v>
      </c>
      <c r="F843" s="15">
        <v>39965</v>
      </c>
      <c r="G843" s="15">
        <v>39965</v>
      </c>
    </row>
    <row r="844" spans="1:7">
      <c r="A844" s="14">
        <v>2468</v>
      </c>
      <c r="B844" s="13" t="s">
        <v>13263</v>
      </c>
      <c r="C844" s="13" t="s">
        <v>13264</v>
      </c>
      <c r="D844" s="13" t="s">
        <v>2179</v>
      </c>
      <c r="E844" s="13" t="s">
        <v>1150</v>
      </c>
      <c r="F844" s="15">
        <v>39965</v>
      </c>
      <c r="G844" s="15">
        <v>39965</v>
      </c>
    </row>
    <row r="845" spans="1:7">
      <c r="A845" s="14">
        <v>2469</v>
      </c>
      <c r="B845" s="13" t="s">
        <v>13265</v>
      </c>
      <c r="C845" s="13" t="s">
        <v>13266</v>
      </c>
      <c r="D845" s="13" t="s">
        <v>2179</v>
      </c>
      <c r="E845" s="13" t="s">
        <v>1150</v>
      </c>
      <c r="F845" s="15">
        <v>39965</v>
      </c>
      <c r="G845" s="15">
        <v>39965</v>
      </c>
    </row>
    <row r="846" spans="1:7">
      <c r="A846" s="14">
        <v>2470</v>
      </c>
      <c r="B846" s="13" t="s">
        <v>13267</v>
      </c>
      <c r="C846" s="13" t="s">
        <v>13268</v>
      </c>
      <c r="D846" s="13" t="s">
        <v>2179</v>
      </c>
      <c r="E846" s="13" t="s">
        <v>1150</v>
      </c>
      <c r="F846" s="15">
        <v>39965</v>
      </c>
      <c r="G846" s="15">
        <v>39965</v>
      </c>
    </row>
    <row r="847" spans="1:7">
      <c r="A847" s="14">
        <v>2471</v>
      </c>
      <c r="B847" s="13" t="s">
        <v>13269</v>
      </c>
      <c r="C847" s="13" t="s">
        <v>13270</v>
      </c>
      <c r="D847" s="13" t="s">
        <v>2179</v>
      </c>
      <c r="E847" s="13" t="s">
        <v>1150</v>
      </c>
      <c r="F847" s="15">
        <v>39965</v>
      </c>
      <c r="G847" s="15">
        <v>39965</v>
      </c>
    </row>
    <row r="848" spans="1:7">
      <c r="A848" s="14">
        <v>2472</v>
      </c>
      <c r="B848" s="13" t="s">
        <v>13271</v>
      </c>
      <c r="C848" s="13" t="s">
        <v>13272</v>
      </c>
      <c r="D848" s="13" t="s">
        <v>2179</v>
      </c>
      <c r="E848" s="13" t="s">
        <v>1150</v>
      </c>
      <c r="F848" s="15">
        <v>39965</v>
      </c>
      <c r="G848" s="15">
        <v>39965</v>
      </c>
    </row>
    <row r="849" spans="1:7">
      <c r="A849" s="14">
        <v>2473</v>
      </c>
      <c r="B849" s="13" t="s">
        <v>13273</v>
      </c>
      <c r="C849" s="13" t="s">
        <v>13274</v>
      </c>
      <c r="D849" s="13" t="s">
        <v>2179</v>
      </c>
      <c r="E849" s="13" t="s">
        <v>1150</v>
      </c>
      <c r="F849" s="15">
        <v>39965</v>
      </c>
      <c r="G849" s="15">
        <v>39965</v>
      </c>
    </row>
    <row r="850" spans="1:7">
      <c r="A850" s="14">
        <v>2474</v>
      </c>
      <c r="B850" s="13" t="s">
        <v>13275</v>
      </c>
      <c r="C850" s="13" t="s">
        <v>13276</v>
      </c>
      <c r="D850" s="13" t="s">
        <v>2179</v>
      </c>
      <c r="E850" s="13" t="s">
        <v>1150</v>
      </c>
      <c r="F850" s="15">
        <v>39965</v>
      </c>
      <c r="G850" s="15">
        <v>39965</v>
      </c>
    </row>
    <row r="851" spans="1:7">
      <c r="A851" s="14">
        <v>2475</v>
      </c>
      <c r="B851" s="13" t="s">
        <v>13277</v>
      </c>
      <c r="C851" s="13" t="s">
        <v>13278</v>
      </c>
      <c r="D851" s="13" t="s">
        <v>2179</v>
      </c>
      <c r="E851" s="13" t="s">
        <v>1150</v>
      </c>
      <c r="F851" s="15">
        <v>39965</v>
      </c>
      <c r="G851" s="15">
        <v>39965</v>
      </c>
    </row>
    <row r="852" spans="1:7">
      <c r="A852" s="14">
        <v>2476</v>
      </c>
      <c r="B852" s="13" t="s">
        <v>13279</v>
      </c>
      <c r="C852" s="13" t="s">
        <v>13280</v>
      </c>
      <c r="D852" s="13" t="s">
        <v>2179</v>
      </c>
      <c r="E852" s="13" t="s">
        <v>1150</v>
      </c>
      <c r="F852" s="15">
        <v>39965</v>
      </c>
      <c r="G852" s="15">
        <v>39965</v>
      </c>
    </row>
    <row r="853" spans="1:7">
      <c r="A853" s="14">
        <v>2477</v>
      </c>
      <c r="B853" s="13" t="s">
        <v>13281</v>
      </c>
      <c r="C853" s="13" t="s">
        <v>13282</v>
      </c>
      <c r="D853" s="13" t="s">
        <v>2179</v>
      </c>
      <c r="E853" s="13" t="s">
        <v>1150</v>
      </c>
      <c r="F853" s="15">
        <v>39965</v>
      </c>
      <c r="G853" s="15">
        <v>39965</v>
      </c>
    </row>
    <row r="854" spans="1:7">
      <c r="A854" s="14">
        <v>2478</v>
      </c>
      <c r="B854" s="13" t="s">
        <v>13283</v>
      </c>
      <c r="C854" s="13" t="s">
        <v>13284</v>
      </c>
      <c r="D854" s="13" t="s">
        <v>2179</v>
      </c>
      <c r="E854" s="13" t="s">
        <v>1150</v>
      </c>
      <c r="F854" s="15">
        <v>39965</v>
      </c>
      <c r="G854" s="15">
        <v>39965</v>
      </c>
    </row>
    <row r="855" spans="1:7">
      <c r="A855" s="14">
        <v>2479</v>
      </c>
      <c r="B855" s="13" t="s">
        <v>13285</v>
      </c>
      <c r="C855" s="13" t="s">
        <v>13286</v>
      </c>
      <c r="D855" s="13" t="s">
        <v>2179</v>
      </c>
      <c r="E855" s="13" t="s">
        <v>1150</v>
      </c>
      <c r="F855" s="15">
        <v>39965</v>
      </c>
      <c r="G855" s="15">
        <v>39965</v>
      </c>
    </row>
    <row r="856" spans="1:7">
      <c r="A856" s="14">
        <v>2480</v>
      </c>
      <c r="B856" s="13" t="s">
        <v>13287</v>
      </c>
      <c r="C856" s="13" t="s">
        <v>13288</v>
      </c>
      <c r="D856" s="13" t="s">
        <v>2179</v>
      </c>
      <c r="E856" s="13" t="s">
        <v>1150</v>
      </c>
      <c r="F856" s="15">
        <v>39965</v>
      </c>
      <c r="G856" s="15">
        <v>39965</v>
      </c>
    </row>
    <row r="857" spans="1:7">
      <c r="A857" s="14">
        <v>2481</v>
      </c>
      <c r="B857" s="13" t="s">
        <v>13289</v>
      </c>
      <c r="C857" s="13" t="s">
        <v>13290</v>
      </c>
      <c r="D857" s="13" t="s">
        <v>2179</v>
      </c>
      <c r="E857" s="13" t="s">
        <v>1150</v>
      </c>
      <c r="F857" s="15">
        <v>39965</v>
      </c>
      <c r="G857" s="15">
        <v>39965</v>
      </c>
    </row>
    <row r="858" spans="1:7">
      <c r="A858" s="14">
        <v>2482</v>
      </c>
      <c r="B858" s="13" t="s">
        <v>13291</v>
      </c>
      <c r="C858" s="13" t="s">
        <v>13292</v>
      </c>
      <c r="D858" s="13" t="s">
        <v>2179</v>
      </c>
      <c r="E858" s="13" t="s">
        <v>1150</v>
      </c>
      <c r="F858" s="15">
        <v>39965</v>
      </c>
      <c r="G858" s="15">
        <v>39965</v>
      </c>
    </row>
    <row r="859" spans="1:7">
      <c r="A859" s="14">
        <v>2483</v>
      </c>
      <c r="B859" s="13" t="s">
        <v>13293</v>
      </c>
      <c r="C859" s="13" t="s">
        <v>13294</v>
      </c>
      <c r="D859" s="13" t="s">
        <v>2179</v>
      </c>
      <c r="E859" s="13" t="s">
        <v>1150</v>
      </c>
      <c r="F859" s="15">
        <v>39965</v>
      </c>
      <c r="G859" s="15">
        <v>39965</v>
      </c>
    </row>
    <row r="860" spans="1:7">
      <c r="A860" s="14">
        <v>2484</v>
      </c>
      <c r="B860" s="13" t="s">
        <v>13295</v>
      </c>
      <c r="C860" s="13" t="s">
        <v>13296</v>
      </c>
      <c r="D860" s="13" t="s">
        <v>2179</v>
      </c>
      <c r="E860" s="13" t="s">
        <v>1150</v>
      </c>
      <c r="F860" s="15">
        <v>39965</v>
      </c>
      <c r="G860" s="15">
        <v>39965</v>
      </c>
    </row>
    <row r="861" spans="1:7">
      <c r="A861" s="14">
        <v>2485</v>
      </c>
      <c r="B861" s="13" t="s">
        <v>13297</v>
      </c>
      <c r="C861" s="13" t="s">
        <v>13298</v>
      </c>
      <c r="D861" s="13" t="s">
        <v>2179</v>
      </c>
      <c r="E861" s="13" t="s">
        <v>1150</v>
      </c>
      <c r="F861" s="15">
        <v>39965</v>
      </c>
      <c r="G861" s="15">
        <v>39965</v>
      </c>
    </row>
    <row r="862" spans="1:7">
      <c r="A862" s="14">
        <v>2486</v>
      </c>
      <c r="B862" s="13" t="s">
        <v>13299</v>
      </c>
      <c r="C862" s="13" t="s">
        <v>13300</v>
      </c>
      <c r="D862" s="13" t="s">
        <v>2179</v>
      </c>
      <c r="E862" s="13" t="s">
        <v>1150</v>
      </c>
      <c r="F862" s="15">
        <v>39965</v>
      </c>
      <c r="G862" s="15">
        <v>39965</v>
      </c>
    </row>
    <row r="863" spans="1:7">
      <c r="A863" s="14">
        <v>2487</v>
      </c>
      <c r="B863" s="13" t="s">
        <v>13301</v>
      </c>
      <c r="C863" s="13" t="s">
        <v>13302</v>
      </c>
      <c r="D863" s="13" t="s">
        <v>2179</v>
      </c>
      <c r="E863" s="13" t="s">
        <v>1150</v>
      </c>
      <c r="F863" s="15">
        <v>39965</v>
      </c>
      <c r="G863" s="15">
        <v>39965</v>
      </c>
    </row>
    <row r="864" spans="1:7">
      <c r="A864" s="14">
        <v>2488</v>
      </c>
      <c r="B864" s="13" t="s">
        <v>13303</v>
      </c>
      <c r="C864" s="13" t="s">
        <v>13304</v>
      </c>
      <c r="D864" s="13" t="s">
        <v>2179</v>
      </c>
      <c r="E864" s="13" t="s">
        <v>1150</v>
      </c>
      <c r="F864" s="15">
        <v>39965</v>
      </c>
      <c r="G864" s="15">
        <v>39965</v>
      </c>
    </row>
    <row r="865" spans="1:7">
      <c r="A865" s="14">
        <v>2489</v>
      </c>
      <c r="B865" s="13" t="s">
        <v>13305</v>
      </c>
      <c r="C865" s="13" t="s">
        <v>13306</v>
      </c>
      <c r="D865" s="13" t="s">
        <v>2179</v>
      </c>
      <c r="E865" s="13" t="s">
        <v>1150</v>
      </c>
      <c r="F865" s="15">
        <v>39965</v>
      </c>
      <c r="G865" s="15">
        <v>39965</v>
      </c>
    </row>
    <row r="866" spans="1:7">
      <c r="A866" s="14">
        <v>2490</v>
      </c>
      <c r="B866" s="13" t="s">
        <v>13307</v>
      </c>
      <c r="C866" s="13" t="s">
        <v>13308</v>
      </c>
      <c r="D866" s="13" t="s">
        <v>2179</v>
      </c>
      <c r="E866" s="13" t="s">
        <v>1150</v>
      </c>
      <c r="F866" s="15">
        <v>39965</v>
      </c>
      <c r="G866" s="15">
        <v>39965</v>
      </c>
    </row>
    <row r="867" spans="1:7">
      <c r="A867" s="14">
        <v>2502</v>
      </c>
      <c r="B867" s="13" t="s">
        <v>13309</v>
      </c>
      <c r="C867" s="13" t="s">
        <v>13310</v>
      </c>
      <c r="D867" s="13" t="s">
        <v>2179</v>
      </c>
      <c r="E867" s="13" t="s">
        <v>1150</v>
      </c>
      <c r="F867" s="15">
        <v>367</v>
      </c>
      <c r="G867" s="15">
        <v>367</v>
      </c>
    </row>
    <row r="868" spans="1:7">
      <c r="A868" s="14">
        <v>2507</v>
      </c>
      <c r="B868" s="13" t="s">
        <v>13311</v>
      </c>
      <c r="C868" s="13" t="s">
        <v>13312</v>
      </c>
      <c r="D868" s="13" t="s">
        <v>2179</v>
      </c>
      <c r="E868" s="13" t="s">
        <v>1150</v>
      </c>
      <c r="F868" s="15">
        <v>367</v>
      </c>
      <c r="G868" s="15">
        <v>367</v>
      </c>
    </row>
    <row r="869" spans="1:7">
      <c r="A869" s="14">
        <v>2508</v>
      </c>
      <c r="B869" s="13" t="s">
        <v>13313</v>
      </c>
      <c r="C869" s="13" t="s">
        <v>13314</v>
      </c>
      <c r="D869" s="13" t="s">
        <v>2179</v>
      </c>
      <c r="E869" s="13" t="s">
        <v>1150</v>
      </c>
      <c r="F869" s="15">
        <v>367</v>
      </c>
      <c r="G869" s="15">
        <v>367</v>
      </c>
    </row>
    <row r="870" spans="1:7">
      <c r="A870" s="14">
        <v>2509</v>
      </c>
      <c r="B870" s="13" t="s">
        <v>13315</v>
      </c>
      <c r="C870" s="13" t="s">
        <v>13316</v>
      </c>
      <c r="D870" s="13" t="s">
        <v>2179</v>
      </c>
      <c r="E870" s="13" t="s">
        <v>1150</v>
      </c>
      <c r="F870" s="15">
        <v>367</v>
      </c>
      <c r="G870" s="15">
        <v>367</v>
      </c>
    </row>
    <row r="871" spans="1:7">
      <c r="A871" s="14">
        <v>2510</v>
      </c>
      <c r="B871" s="13" t="s">
        <v>13317</v>
      </c>
      <c r="C871" s="13" t="s">
        <v>13318</v>
      </c>
      <c r="D871" s="13" t="s">
        <v>2179</v>
      </c>
      <c r="E871" s="13" t="s">
        <v>1150</v>
      </c>
      <c r="F871" s="15">
        <v>367</v>
      </c>
      <c r="G871" s="15">
        <v>367</v>
      </c>
    </row>
    <row r="872" spans="1:7">
      <c r="A872" s="14">
        <v>2511</v>
      </c>
      <c r="B872" s="13" t="s">
        <v>13319</v>
      </c>
      <c r="C872" s="13" t="s">
        <v>13320</v>
      </c>
      <c r="D872" s="13" t="s">
        <v>2179</v>
      </c>
      <c r="E872" s="13" t="s">
        <v>1150</v>
      </c>
      <c r="F872" s="15">
        <v>367</v>
      </c>
      <c r="G872" s="15">
        <v>367</v>
      </c>
    </row>
    <row r="873" spans="1:7">
      <c r="A873" s="14">
        <v>2512</v>
      </c>
      <c r="B873" s="13" t="s">
        <v>13321</v>
      </c>
      <c r="C873" s="13" t="s">
        <v>13322</v>
      </c>
      <c r="D873" s="13" t="s">
        <v>2179</v>
      </c>
      <c r="E873" s="13" t="s">
        <v>1150</v>
      </c>
      <c r="F873" s="15">
        <v>367</v>
      </c>
      <c r="G873" s="15">
        <v>367</v>
      </c>
    </row>
    <row r="874" spans="1:7">
      <c r="A874" s="14">
        <v>2513</v>
      </c>
      <c r="B874" s="13" t="s">
        <v>13323</v>
      </c>
      <c r="C874" s="13" t="s">
        <v>13324</v>
      </c>
      <c r="D874" s="13" t="s">
        <v>2179</v>
      </c>
      <c r="E874" s="13" t="s">
        <v>1150</v>
      </c>
      <c r="F874" s="15">
        <v>367</v>
      </c>
      <c r="G874" s="15">
        <v>367</v>
      </c>
    </row>
    <row r="875" spans="1:7">
      <c r="A875" s="14">
        <v>2514</v>
      </c>
      <c r="B875" s="13" t="s">
        <v>13325</v>
      </c>
      <c r="C875" s="13" t="s">
        <v>13326</v>
      </c>
      <c r="D875" s="13" t="s">
        <v>2179</v>
      </c>
      <c r="E875" s="13" t="s">
        <v>1150</v>
      </c>
      <c r="F875" s="15">
        <v>367</v>
      </c>
      <c r="G875" s="15">
        <v>367</v>
      </c>
    </row>
    <row r="876" spans="1:7">
      <c r="A876" s="14">
        <v>2515</v>
      </c>
      <c r="B876" s="13" t="s">
        <v>13327</v>
      </c>
      <c r="C876" s="13" t="s">
        <v>13328</v>
      </c>
      <c r="D876" s="13" t="s">
        <v>2179</v>
      </c>
      <c r="E876" s="13" t="s">
        <v>1150</v>
      </c>
      <c r="F876" s="15">
        <v>367</v>
      </c>
      <c r="G876" s="15">
        <v>367</v>
      </c>
    </row>
    <row r="877" spans="1:7">
      <c r="A877" s="14">
        <v>2516</v>
      </c>
      <c r="B877" s="13" t="s">
        <v>13329</v>
      </c>
      <c r="C877" s="13" t="s">
        <v>13330</v>
      </c>
      <c r="D877" s="13" t="s">
        <v>2179</v>
      </c>
      <c r="E877" s="13" t="s">
        <v>1150</v>
      </c>
      <c r="F877" s="15">
        <v>367</v>
      </c>
      <c r="G877" s="15">
        <v>367</v>
      </c>
    </row>
    <row r="878" spans="1:7">
      <c r="A878" s="14">
        <v>2517</v>
      </c>
      <c r="B878" s="13" t="s">
        <v>13331</v>
      </c>
      <c r="C878" s="13" t="s">
        <v>13332</v>
      </c>
      <c r="D878" s="13" t="s">
        <v>2179</v>
      </c>
      <c r="E878" s="13" t="s">
        <v>1150</v>
      </c>
      <c r="F878" s="15">
        <v>367</v>
      </c>
      <c r="G878" s="15">
        <v>367</v>
      </c>
    </row>
    <row r="879" spans="1:7">
      <c r="A879" s="14">
        <v>2518</v>
      </c>
      <c r="B879" s="13" t="s">
        <v>13333</v>
      </c>
      <c r="C879" s="13" t="s">
        <v>13334</v>
      </c>
      <c r="D879" s="13" t="s">
        <v>2179</v>
      </c>
      <c r="E879" s="13" t="s">
        <v>1150</v>
      </c>
      <c r="F879" s="15">
        <v>367</v>
      </c>
      <c r="G879" s="15">
        <v>367</v>
      </c>
    </row>
    <row r="880" spans="1:7">
      <c r="A880" s="14">
        <v>2519</v>
      </c>
      <c r="B880" s="13" t="s">
        <v>13335</v>
      </c>
      <c r="C880" s="13" t="s">
        <v>13336</v>
      </c>
      <c r="D880" s="13" t="s">
        <v>2179</v>
      </c>
      <c r="E880" s="13" t="s">
        <v>1150</v>
      </c>
      <c r="F880" s="15">
        <v>367</v>
      </c>
      <c r="G880" s="15">
        <v>367</v>
      </c>
    </row>
    <row r="881" spans="1:7">
      <c r="A881" s="14">
        <v>2521</v>
      </c>
      <c r="B881" s="13" t="s">
        <v>13337</v>
      </c>
      <c r="C881" s="13" t="s">
        <v>13338</v>
      </c>
      <c r="D881" s="13" t="s">
        <v>2179</v>
      </c>
      <c r="E881" s="13" t="s">
        <v>1150</v>
      </c>
      <c r="F881" s="15">
        <v>367</v>
      </c>
      <c r="G881" s="15">
        <v>367</v>
      </c>
    </row>
    <row r="882" spans="1:7">
      <c r="A882" s="14">
        <v>2522</v>
      </c>
      <c r="B882" s="13" t="s">
        <v>13339</v>
      </c>
      <c r="C882" s="13" t="s">
        <v>13340</v>
      </c>
      <c r="D882" s="13" t="s">
        <v>2179</v>
      </c>
      <c r="E882" s="13" t="s">
        <v>1150</v>
      </c>
      <c r="F882" s="15">
        <v>367</v>
      </c>
      <c r="G882" s="15">
        <v>367</v>
      </c>
    </row>
    <row r="883" spans="1:7">
      <c r="A883" s="14">
        <v>2523</v>
      </c>
      <c r="B883" s="13" t="s">
        <v>13341</v>
      </c>
      <c r="C883" s="13" t="s">
        <v>13342</v>
      </c>
      <c r="D883" s="13" t="s">
        <v>2179</v>
      </c>
      <c r="E883" s="13" t="s">
        <v>1150</v>
      </c>
      <c r="F883" s="15">
        <v>39965</v>
      </c>
      <c r="G883" s="15">
        <v>39965</v>
      </c>
    </row>
    <row r="884" spans="1:7">
      <c r="A884" s="14">
        <v>2524</v>
      </c>
      <c r="B884" s="13" t="s">
        <v>13343</v>
      </c>
      <c r="C884" s="13" t="s">
        <v>13344</v>
      </c>
      <c r="D884" s="13" t="s">
        <v>2179</v>
      </c>
      <c r="E884" s="13" t="s">
        <v>1150</v>
      </c>
      <c r="F884" s="15">
        <v>39965</v>
      </c>
      <c r="G884" s="15">
        <v>39965</v>
      </c>
    </row>
    <row r="885" spans="1:7">
      <c r="A885" s="14">
        <v>2525</v>
      </c>
      <c r="B885" s="13" t="s">
        <v>13345</v>
      </c>
      <c r="C885" s="13" t="s">
        <v>13346</v>
      </c>
      <c r="D885" s="13" t="s">
        <v>2179</v>
      </c>
      <c r="E885" s="13" t="s">
        <v>1150</v>
      </c>
      <c r="F885" s="15">
        <v>39965</v>
      </c>
      <c r="G885" s="15">
        <v>39965</v>
      </c>
    </row>
    <row r="886" spans="1:7">
      <c r="A886" s="14">
        <v>2526</v>
      </c>
      <c r="B886" s="13" t="s">
        <v>13347</v>
      </c>
      <c r="C886" s="13" t="s">
        <v>13348</v>
      </c>
      <c r="D886" s="13" t="s">
        <v>2179</v>
      </c>
      <c r="E886" s="13" t="s">
        <v>1150</v>
      </c>
      <c r="F886" s="15">
        <v>39965</v>
      </c>
      <c r="G886" s="15">
        <v>39965</v>
      </c>
    </row>
    <row r="887" spans="1:7">
      <c r="A887" s="14">
        <v>2527</v>
      </c>
      <c r="B887" s="13" t="s">
        <v>13349</v>
      </c>
      <c r="C887" s="13" t="s">
        <v>13350</v>
      </c>
      <c r="D887" s="13" t="s">
        <v>2179</v>
      </c>
      <c r="E887" s="13" t="s">
        <v>1150</v>
      </c>
      <c r="F887" s="15">
        <v>39965</v>
      </c>
      <c r="G887" s="15">
        <v>39965</v>
      </c>
    </row>
    <row r="888" spans="1:7">
      <c r="A888" s="14">
        <v>2602</v>
      </c>
      <c r="B888" s="13" t="s">
        <v>13351</v>
      </c>
      <c r="C888" s="13" t="s">
        <v>13352</v>
      </c>
      <c r="D888" s="13" t="s">
        <v>2179</v>
      </c>
      <c r="E888" s="13" t="s">
        <v>1150</v>
      </c>
      <c r="F888" s="15">
        <v>367</v>
      </c>
      <c r="G888" s="15">
        <v>367</v>
      </c>
    </row>
    <row r="889" spans="1:7">
      <c r="A889" s="14">
        <v>2603</v>
      </c>
      <c r="B889" s="13" t="s">
        <v>13353</v>
      </c>
      <c r="C889" s="13" t="s">
        <v>13354</v>
      </c>
      <c r="D889" s="13" t="s">
        <v>2179</v>
      </c>
      <c r="E889" s="13" t="s">
        <v>1150</v>
      </c>
      <c r="F889" s="15">
        <v>367</v>
      </c>
      <c r="G889" s="15">
        <v>367</v>
      </c>
    </row>
    <row r="890" spans="1:7">
      <c r="A890" s="14">
        <v>2604</v>
      </c>
      <c r="B890" s="13" t="s">
        <v>13355</v>
      </c>
      <c r="C890" s="13" t="s">
        <v>13356</v>
      </c>
      <c r="D890" s="13" t="s">
        <v>2179</v>
      </c>
      <c r="E890" s="13" t="s">
        <v>1150</v>
      </c>
      <c r="F890" s="15">
        <v>367</v>
      </c>
      <c r="G890" s="15">
        <v>367</v>
      </c>
    </row>
    <row r="891" spans="1:7">
      <c r="A891" s="14">
        <v>2605</v>
      </c>
      <c r="B891" s="13" t="s">
        <v>13357</v>
      </c>
      <c r="C891" s="13" t="s">
        <v>13358</v>
      </c>
      <c r="D891" s="13" t="s">
        <v>2179</v>
      </c>
      <c r="E891" s="13" t="s">
        <v>1150</v>
      </c>
      <c r="F891" s="15">
        <v>367</v>
      </c>
      <c r="G891" s="15">
        <v>367</v>
      </c>
    </row>
    <row r="892" spans="1:7">
      <c r="A892" s="14">
        <v>2606</v>
      </c>
      <c r="B892" s="13" t="s">
        <v>13359</v>
      </c>
      <c r="C892" s="13" t="s">
        <v>13360</v>
      </c>
      <c r="D892" s="13" t="s">
        <v>2179</v>
      </c>
      <c r="E892" s="13" t="s">
        <v>1150</v>
      </c>
      <c r="F892" s="15">
        <v>367</v>
      </c>
      <c r="G892" s="15">
        <v>367</v>
      </c>
    </row>
    <row r="893" spans="1:7">
      <c r="A893" s="14">
        <v>2607</v>
      </c>
      <c r="B893" s="13" t="s">
        <v>13361</v>
      </c>
      <c r="C893" s="13" t="s">
        <v>13362</v>
      </c>
      <c r="D893" s="13" t="s">
        <v>2179</v>
      </c>
      <c r="E893" s="13" t="s">
        <v>1150</v>
      </c>
      <c r="F893" s="15">
        <v>367</v>
      </c>
      <c r="G893" s="15">
        <v>367</v>
      </c>
    </row>
    <row r="894" spans="1:7">
      <c r="A894" s="14">
        <v>2608</v>
      </c>
      <c r="B894" s="13" t="s">
        <v>13363</v>
      </c>
      <c r="C894" s="13" t="s">
        <v>13364</v>
      </c>
      <c r="D894" s="13" t="s">
        <v>2179</v>
      </c>
      <c r="E894" s="13" t="s">
        <v>1150</v>
      </c>
      <c r="F894" s="15">
        <v>367</v>
      </c>
      <c r="G894" s="15">
        <v>367</v>
      </c>
    </row>
    <row r="895" spans="1:7">
      <c r="A895" s="14">
        <v>2609</v>
      </c>
      <c r="B895" s="13" t="s">
        <v>13365</v>
      </c>
      <c r="C895" s="13" t="s">
        <v>13366</v>
      </c>
      <c r="D895" s="13" t="s">
        <v>2179</v>
      </c>
      <c r="E895" s="13" t="s">
        <v>1150</v>
      </c>
      <c r="F895" s="15">
        <v>367</v>
      </c>
      <c r="G895" s="15">
        <v>367</v>
      </c>
    </row>
    <row r="896" spans="1:7">
      <c r="A896" s="14">
        <v>2610</v>
      </c>
      <c r="B896" s="13" t="s">
        <v>13367</v>
      </c>
      <c r="C896" s="13" t="s">
        <v>13368</v>
      </c>
      <c r="D896" s="13" t="s">
        <v>2179</v>
      </c>
      <c r="E896" s="13" t="s">
        <v>1150</v>
      </c>
      <c r="F896" s="15">
        <v>367</v>
      </c>
      <c r="G896" s="15">
        <v>367</v>
      </c>
    </row>
    <row r="897" spans="1:7">
      <c r="A897" s="14">
        <v>2621</v>
      </c>
      <c r="B897" s="13" t="s">
        <v>13369</v>
      </c>
      <c r="C897" s="13" t="s">
        <v>13370</v>
      </c>
      <c r="D897" s="13" t="s">
        <v>2179</v>
      </c>
      <c r="E897" s="13" t="s">
        <v>1150</v>
      </c>
      <c r="F897" s="15">
        <v>367</v>
      </c>
      <c r="G897" s="15">
        <v>367</v>
      </c>
    </row>
    <row r="898" spans="1:7">
      <c r="A898" s="14">
        <v>2622</v>
      </c>
      <c r="B898" s="13" t="s">
        <v>13371</v>
      </c>
      <c r="C898" s="13" t="s">
        <v>13372</v>
      </c>
      <c r="D898" s="13" t="s">
        <v>2179</v>
      </c>
      <c r="E898" s="13" t="s">
        <v>1150</v>
      </c>
      <c r="F898" s="15">
        <v>367</v>
      </c>
      <c r="G898" s="15">
        <v>367</v>
      </c>
    </row>
    <row r="899" spans="1:7">
      <c r="A899" s="14">
        <v>2623</v>
      </c>
      <c r="B899" s="13" t="s">
        <v>13373</v>
      </c>
      <c r="C899" s="13" t="s">
        <v>13374</v>
      </c>
      <c r="D899" s="13" t="s">
        <v>2179</v>
      </c>
      <c r="E899" s="13" t="s">
        <v>1150</v>
      </c>
      <c r="F899" s="15">
        <v>367</v>
      </c>
      <c r="G899" s="15">
        <v>367</v>
      </c>
    </row>
    <row r="900" spans="1:7">
      <c r="A900" s="14">
        <v>2624</v>
      </c>
      <c r="B900" s="13" t="s">
        <v>13375</v>
      </c>
      <c r="C900" s="13" t="s">
        <v>13376</v>
      </c>
      <c r="D900" s="13" t="s">
        <v>2179</v>
      </c>
      <c r="E900" s="13" t="s">
        <v>1150</v>
      </c>
      <c r="F900" s="15">
        <v>367</v>
      </c>
      <c r="G900" s="15">
        <v>367</v>
      </c>
    </row>
    <row r="901" spans="1:7">
      <c r="A901" s="14">
        <v>2625</v>
      </c>
      <c r="B901" s="13" t="s">
        <v>13377</v>
      </c>
      <c r="C901" s="13" t="s">
        <v>13378</v>
      </c>
      <c r="D901" s="13" t="s">
        <v>2179</v>
      </c>
      <c r="E901" s="13" t="s">
        <v>1150</v>
      </c>
      <c r="F901" s="15">
        <v>367</v>
      </c>
      <c r="G901" s="15">
        <v>367</v>
      </c>
    </row>
    <row r="902" spans="1:7">
      <c r="A902" s="14">
        <v>2626</v>
      </c>
      <c r="B902" s="13" t="s">
        <v>13379</v>
      </c>
      <c r="C902" s="13" t="s">
        <v>13380</v>
      </c>
      <c r="D902" s="13" t="s">
        <v>2179</v>
      </c>
      <c r="E902" s="13" t="s">
        <v>1150</v>
      </c>
      <c r="F902" s="15">
        <v>367</v>
      </c>
      <c r="G902" s="15">
        <v>367</v>
      </c>
    </row>
    <row r="903" spans="1:7">
      <c r="A903" s="14">
        <v>2627</v>
      </c>
      <c r="B903" s="13" t="s">
        <v>13381</v>
      </c>
      <c r="C903" s="13" t="s">
        <v>13382</v>
      </c>
      <c r="D903" s="13" t="s">
        <v>2179</v>
      </c>
      <c r="E903" s="13" t="s">
        <v>1150</v>
      </c>
      <c r="F903" s="15">
        <v>367</v>
      </c>
      <c r="G903" s="15">
        <v>367</v>
      </c>
    </row>
    <row r="904" spans="1:7">
      <c r="A904" s="14">
        <v>2628</v>
      </c>
      <c r="B904" s="13" t="s">
        <v>13383</v>
      </c>
      <c r="C904" s="13" t="s">
        <v>13384</v>
      </c>
      <c r="D904" s="13" t="s">
        <v>2179</v>
      </c>
      <c r="E904" s="13" t="s">
        <v>1150</v>
      </c>
      <c r="F904" s="15">
        <v>367</v>
      </c>
      <c r="G904" s="15">
        <v>367</v>
      </c>
    </row>
    <row r="905" spans="1:7">
      <c r="A905" s="14">
        <v>2629</v>
      </c>
      <c r="B905" s="13" t="s">
        <v>13385</v>
      </c>
      <c r="C905" s="13" t="s">
        <v>13386</v>
      </c>
      <c r="D905" s="13" t="s">
        <v>2179</v>
      </c>
      <c r="E905" s="13" t="s">
        <v>1150</v>
      </c>
      <c r="F905" s="15">
        <v>367</v>
      </c>
      <c r="G905" s="15">
        <v>367</v>
      </c>
    </row>
    <row r="906" spans="1:7">
      <c r="A906" s="14">
        <v>2630</v>
      </c>
      <c r="B906" s="13" t="s">
        <v>13387</v>
      </c>
      <c r="C906" s="13" t="s">
        <v>13388</v>
      </c>
      <c r="D906" s="13" t="s">
        <v>2179</v>
      </c>
      <c r="E906" s="13" t="s">
        <v>1150</v>
      </c>
      <c r="F906" s="15">
        <v>367</v>
      </c>
      <c r="G906" s="15">
        <v>367</v>
      </c>
    </row>
    <row r="907" spans="1:7">
      <c r="A907" s="14">
        <v>2631</v>
      </c>
      <c r="B907" s="13" t="s">
        <v>13389</v>
      </c>
      <c r="C907" s="13" t="s">
        <v>13390</v>
      </c>
      <c r="D907" s="13" t="s">
        <v>2179</v>
      </c>
      <c r="E907" s="13" t="s">
        <v>1150</v>
      </c>
      <c r="F907" s="15">
        <v>367</v>
      </c>
      <c r="G907" s="15">
        <v>367</v>
      </c>
    </row>
    <row r="908" spans="1:7">
      <c r="A908" s="14">
        <v>2632</v>
      </c>
      <c r="B908" s="13" t="s">
        <v>13391</v>
      </c>
      <c r="C908" s="13" t="s">
        <v>13392</v>
      </c>
      <c r="D908" s="13" t="s">
        <v>2179</v>
      </c>
      <c r="E908" s="13" t="s">
        <v>1150</v>
      </c>
      <c r="F908" s="15">
        <v>367</v>
      </c>
      <c r="G908" s="15">
        <v>367</v>
      </c>
    </row>
    <row r="909" spans="1:7">
      <c r="A909" s="14">
        <v>2633</v>
      </c>
      <c r="B909" s="13" t="s">
        <v>13393</v>
      </c>
      <c r="C909" s="13" t="s">
        <v>13394</v>
      </c>
      <c r="D909" s="13" t="s">
        <v>2179</v>
      </c>
      <c r="E909" s="13" t="s">
        <v>1150</v>
      </c>
      <c r="F909" s="15">
        <v>367</v>
      </c>
      <c r="G909" s="15">
        <v>367</v>
      </c>
    </row>
    <row r="910" spans="1:7">
      <c r="A910" s="14">
        <v>2634</v>
      </c>
      <c r="B910" s="13" t="s">
        <v>13395</v>
      </c>
      <c r="C910" s="13" t="s">
        <v>13396</v>
      </c>
      <c r="D910" s="13" t="s">
        <v>2179</v>
      </c>
      <c r="E910" s="13" t="s">
        <v>1150</v>
      </c>
      <c r="F910" s="15">
        <v>367</v>
      </c>
      <c r="G910" s="15">
        <v>367</v>
      </c>
    </row>
    <row r="911" spans="1:7">
      <c r="A911" s="14">
        <v>2635</v>
      </c>
      <c r="B911" s="13" t="s">
        <v>13397</v>
      </c>
      <c r="C911" s="13" t="s">
        <v>13398</v>
      </c>
      <c r="D911" s="13" t="s">
        <v>2179</v>
      </c>
      <c r="E911" s="13" t="s">
        <v>1150</v>
      </c>
      <c r="F911" s="15">
        <v>367</v>
      </c>
      <c r="G911" s="15">
        <v>367</v>
      </c>
    </row>
    <row r="912" spans="1:7">
      <c r="A912" s="14">
        <v>2636</v>
      </c>
      <c r="B912" s="13" t="s">
        <v>13399</v>
      </c>
      <c r="C912" s="13" t="s">
        <v>13400</v>
      </c>
      <c r="D912" s="13" t="s">
        <v>2179</v>
      </c>
      <c r="E912" s="13" t="s">
        <v>1150</v>
      </c>
      <c r="F912" s="15">
        <v>367</v>
      </c>
      <c r="G912" s="15">
        <v>367</v>
      </c>
    </row>
    <row r="913" spans="1:7">
      <c r="A913" s="14">
        <v>2637</v>
      </c>
      <c r="B913" s="13" t="s">
        <v>13401</v>
      </c>
      <c r="C913" s="13" t="s">
        <v>13402</v>
      </c>
      <c r="D913" s="13" t="s">
        <v>2179</v>
      </c>
      <c r="E913" s="13" t="s">
        <v>1150</v>
      </c>
      <c r="F913" s="15">
        <v>39965</v>
      </c>
      <c r="G913" s="15">
        <v>39965</v>
      </c>
    </row>
    <row r="914" spans="1:7">
      <c r="A914" s="14">
        <v>2638</v>
      </c>
      <c r="B914" s="13" t="s">
        <v>13403</v>
      </c>
      <c r="C914" s="13" t="s">
        <v>13404</v>
      </c>
      <c r="D914" s="13" t="s">
        <v>2179</v>
      </c>
      <c r="E914" s="13" t="s">
        <v>1150</v>
      </c>
      <c r="F914" s="15">
        <v>39965</v>
      </c>
      <c r="G914" s="15">
        <v>39965</v>
      </c>
    </row>
    <row r="915" spans="1:7">
      <c r="A915" s="14">
        <v>2639</v>
      </c>
      <c r="B915" s="13" t="s">
        <v>13405</v>
      </c>
      <c r="C915" s="13" t="s">
        <v>13406</v>
      </c>
      <c r="D915" s="13" t="s">
        <v>2179</v>
      </c>
      <c r="E915" s="13" t="s">
        <v>1150</v>
      </c>
      <c r="F915" s="15">
        <v>39965</v>
      </c>
      <c r="G915" s="15">
        <v>39965</v>
      </c>
    </row>
    <row r="916" spans="1:7">
      <c r="A916" s="14">
        <v>2640</v>
      </c>
      <c r="B916" s="13" t="s">
        <v>13407</v>
      </c>
      <c r="C916" s="13" t="s">
        <v>13408</v>
      </c>
      <c r="D916" s="13" t="s">
        <v>2179</v>
      </c>
      <c r="E916" s="13" t="s">
        <v>1150</v>
      </c>
      <c r="F916" s="15">
        <v>39965</v>
      </c>
      <c r="G916" s="15">
        <v>39965</v>
      </c>
    </row>
    <row r="917" spans="1:7">
      <c r="A917" s="14">
        <v>2641</v>
      </c>
      <c r="B917" s="13" t="s">
        <v>13409</v>
      </c>
      <c r="C917" s="13" t="s">
        <v>13410</v>
      </c>
      <c r="D917" s="13" t="s">
        <v>2179</v>
      </c>
      <c r="E917" s="13" t="s">
        <v>1150</v>
      </c>
      <c r="F917" s="15">
        <v>39965</v>
      </c>
      <c r="G917" s="15">
        <v>39965</v>
      </c>
    </row>
    <row r="918" spans="1:7">
      <c r="A918" s="14">
        <v>2642</v>
      </c>
      <c r="B918" s="13" t="s">
        <v>13411</v>
      </c>
      <c r="C918" s="13" t="s">
        <v>13412</v>
      </c>
      <c r="D918" s="13" t="s">
        <v>2179</v>
      </c>
      <c r="E918" s="13" t="s">
        <v>1150</v>
      </c>
      <c r="F918" s="15">
        <v>39965</v>
      </c>
      <c r="G918" s="15">
        <v>39965</v>
      </c>
    </row>
    <row r="919" spans="1:7">
      <c r="A919" s="14">
        <v>2643</v>
      </c>
      <c r="B919" s="13" t="s">
        <v>13413</v>
      </c>
      <c r="C919" s="13" t="s">
        <v>13414</v>
      </c>
      <c r="D919" s="13" t="s">
        <v>2179</v>
      </c>
      <c r="E919" s="13" t="s">
        <v>1150</v>
      </c>
      <c r="F919" s="15">
        <v>39965</v>
      </c>
      <c r="G919" s="15">
        <v>39965</v>
      </c>
    </row>
    <row r="920" spans="1:7">
      <c r="A920" s="14">
        <v>2705</v>
      </c>
      <c r="B920" s="13" t="s">
        <v>13415</v>
      </c>
      <c r="C920" s="13" t="s">
        <v>13416</v>
      </c>
      <c r="D920" s="13" t="s">
        <v>2179</v>
      </c>
      <c r="E920" s="13" t="s">
        <v>1150</v>
      </c>
      <c r="F920" s="15">
        <v>367</v>
      </c>
      <c r="G920" s="15">
        <v>367</v>
      </c>
    </row>
    <row r="921" spans="1:7">
      <c r="A921" s="14">
        <v>2706</v>
      </c>
      <c r="B921" s="13" t="s">
        <v>13417</v>
      </c>
      <c r="C921" s="13" t="s">
        <v>13418</v>
      </c>
      <c r="D921" s="13" t="s">
        <v>2179</v>
      </c>
      <c r="E921" s="13" t="s">
        <v>1150</v>
      </c>
      <c r="F921" s="15">
        <v>367</v>
      </c>
      <c r="G921" s="15">
        <v>367</v>
      </c>
    </row>
    <row r="922" spans="1:7">
      <c r="A922" s="14">
        <v>2707</v>
      </c>
      <c r="B922" s="13" t="s">
        <v>13419</v>
      </c>
      <c r="C922" s="13" t="s">
        <v>13420</v>
      </c>
      <c r="D922" s="13" t="s">
        <v>2179</v>
      </c>
      <c r="E922" s="13" t="s">
        <v>1150</v>
      </c>
      <c r="F922" s="15">
        <v>367</v>
      </c>
      <c r="G922" s="15">
        <v>367</v>
      </c>
    </row>
    <row r="923" spans="1:7">
      <c r="A923" s="14">
        <v>2708</v>
      </c>
      <c r="B923" s="13" t="s">
        <v>13421</v>
      </c>
      <c r="C923" s="13" t="s">
        <v>13422</v>
      </c>
      <c r="D923" s="13" t="s">
        <v>2179</v>
      </c>
      <c r="E923" s="13" t="s">
        <v>1150</v>
      </c>
      <c r="F923" s="15">
        <v>367</v>
      </c>
      <c r="G923" s="15">
        <v>367</v>
      </c>
    </row>
    <row r="924" spans="1:7">
      <c r="A924" s="14">
        <v>2709</v>
      </c>
      <c r="B924" s="13" t="s">
        <v>13423</v>
      </c>
      <c r="C924" s="13" t="s">
        <v>13424</v>
      </c>
      <c r="D924" s="13" t="s">
        <v>2179</v>
      </c>
      <c r="E924" s="13" t="s">
        <v>1150</v>
      </c>
      <c r="F924" s="15">
        <v>367</v>
      </c>
      <c r="G924" s="15">
        <v>367</v>
      </c>
    </row>
    <row r="925" spans="1:7">
      <c r="A925" s="14">
        <v>2710</v>
      </c>
      <c r="B925" s="13" t="s">
        <v>13425</v>
      </c>
      <c r="C925" s="13" t="s">
        <v>13426</v>
      </c>
      <c r="D925" s="13" t="s">
        <v>2179</v>
      </c>
      <c r="E925" s="13" t="s">
        <v>1150</v>
      </c>
      <c r="F925" s="15">
        <v>367</v>
      </c>
      <c r="G925" s="15">
        <v>367</v>
      </c>
    </row>
    <row r="926" spans="1:7">
      <c r="A926" s="14">
        <v>2711</v>
      </c>
      <c r="B926" s="13" t="s">
        <v>13427</v>
      </c>
      <c r="C926" s="13" t="s">
        <v>13428</v>
      </c>
      <c r="D926" s="13" t="s">
        <v>2179</v>
      </c>
      <c r="E926" s="13" t="s">
        <v>1150</v>
      </c>
      <c r="F926" s="15">
        <v>367</v>
      </c>
      <c r="G926" s="15">
        <v>367</v>
      </c>
    </row>
    <row r="927" spans="1:7">
      <c r="A927" s="14">
        <v>2716</v>
      </c>
      <c r="B927" s="13" t="s">
        <v>13429</v>
      </c>
      <c r="C927" s="13" t="s">
        <v>13430</v>
      </c>
      <c r="D927" s="13" t="s">
        <v>2179</v>
      </c>
      <c r="E927" s="13" t="s">
        <v>1150</v>
      </c>
      <c r="F927" s="15">
        <v>367</v>
      </c>
      <c r="G927" s="15">
        <v>367</v>
      </c>
    </row>
    <row r="928" spans="1:7">
      <c r="A928" s="14">
        <v>2718</v>
      </c>
      <c r="B928" s="13" t="s">
        <v>13431</v>
      </c>
      <c r="C928" s="13" t="s">
        <v>13432</v>
      </c>
      <c r="D928" s="13" t="s">
        <v>2179</v>
      </c>
      <c r="E928" s="13" t="s">
        <v>1150</v>
      </c>
      <c r="F928" s="15">
        <v>367</v>
      </c>
      <c r="G928" s="15">
        <v>367</v>
      </c>
    </row>
    <row r="929" spans="1:7">
      <c r="A929" s="14">
        <v>2719</v>
      </c>
      <c r="B929" s="13" t="s">
        <v>13433</v>
      </c>
      <c r="C929" s="13" t="s">
        <v>13434</v>
      </c>
      <c r="D929" s="13" t="s">
        <v>2179</v>
      </c>
      <c r="E929" s="13" t="s">
        <v>1150</v>
      </c>
      <c r="F929" s="15">
        <v>367</v>
      </c>
      <c r="G929" s="15">
        <v>367</v>
      </c>
    </row>
    <row r="930" spans="1:7">
      <c r="A930" s="14">
        <v>2731</v>
      </c>
      <c r="B930" s="13" t="s">
        <v>13435</v>
      </c>
      <c r="C930" s="13" t="s">
        <v>13436</v>
      </c>
      <c r="D930" s="13" t="s">
        <v>2179</v>
      </c>
      <c r="E930" s="13" t="s">
        <v>1150</v>
      </c>
      <c r="F930" s="15">
        <v>367</v>
      </c>
      <c r="G930" s="15">
        <v>367</v>
      </c>
    </row>
    <row r="931" spans="1:7">
      <c r="A931" s="14">
        <v>2732</v>
      </c>
      <c r="B931" s="13" t="s">
        <v>13437</v>
      </c>
      <c r="C931" s="13" t="s">
        <v>13438</v>
      </c>
      <c r="D931" s="13" t="s">
        <v>2179</v>
      </c>
      <c r="E931" s="13" t="s">
        <v>1150</v>
      </c>
      <c r="F931" s="15">
        <v>367</v>
      </c>
      <c r="G931" s="15">
        <v>367</v>
      </c>
    </row>
    <row r="932" spans="1:7">
      <c r="A932" s="14">
        <v>2733</v>
      </c>
      <c r="B932" s="13" t="s">
        <v>13439</v>
      </c>
      <c r="C932" s="13" t="s">
        <v>13440</v>
      </c>
      <c r="D932" s="13" t="s">
        <v>2179</v>
      </c>
      <c r="E932" s="13" t="s">
        <v>1150</v>
      </c>
      <c r="F932" s="15">
        <v>367</v>
      </c>
      <c r="G932" s="15">
        <v>367</v>
      </c>
    </row>
    <row r="933" spans="1:7">
      <c r="A933" s="14">
        <v>2734</v>
      </c>
      <c r="B933" s="13" t="s">
        <v>13441</v>
      </c>
      <c r="C933" s="13" t="s">
        <v>13442</v>
      </c>
      <c r="D933" s="13" t="s">
        <v>2179</v>
      </c>
      <c r="E933" s="13" t="s">
        <v>1150</v>
      </c>
      <c r="F933" s="15">
        <v>367</v>
      </c>
      <c r="G933" s="15">
        <v>367</v>
      </c>
    </row>
    <row r="934" spans="1:7">
      <c r="A934" s="14">
        <v>2735</v>
      </c>
      <c r="B934" s="13" t="s">
        <v>13443</v>
      </c>
      <c r="C934" s="13" t="s">
        <v>13444</v>
      </c>
      <c r="D934" s="13" t="s">
        <v>2179</v>
      </c>
      <c r="E934" s="13" t="s">
        <v>1150</v>
      </c>
      <c r="F934" s="15">
        <v>367</v>
      </c>
      <c r="G934" s="15">
        <v>367</v>
      </c>
    </row>
    <row r="935" spans="1:7">
      <c r="A935" s="14">
        <v>2736</v>
      </c>
      <c r="B935" s="13" t="s">
        <v>13445</v>
      </c>
      <c r="C935" s="13" t="s">
        <v>13446</v>
      </c>
      <c r="D935" s="13" t="s">
        <v>2179</v>
      </c>
      <c r="E935" s="13" t="s">
        <v>1150</v>
      </c>
      <c r="F935" s="15">
        <v>367</v>
      </c>
      <c r="G935" s="15">
        <v>367</v>
      </c>
    </row>
    <row r="936" spans="1:7">
      <c r="A936" s="14">
        <v>2737</v>
      </c>
      <c r="B936" s="13" t="s">
        <v>13447</v>
      </c>
      <c r="C936" s="13" t="s">
        <v>13448</v>
      </c>
      <c r="D936" s="13" t="s">
        <v>2179</v>
      </c>
      <c r="E936" s="13" t="s">
        <v>1150</v>
      </c>
      <c r="F936" s="15">
        <v>367</v>
      </c>
      <c r="G936" s="15">
        <v>367</v>
      </c>
    </row>
    <row r="937" spans="1:7">
      <c r="A937" s="14">
        <v>2738</v>
      </c>
      <c r="B937" s="13" t="s">
        <v>13449</v>
      </c>
      <c r="C937" s="13" t="s">
        <v>13450</v>
      </c>
      <c r="D937" s="13" t="s">
        <v>2179</v>
      </c>
      <c r="E937" s="13" t="s">
        <v>1150</v>
      </c>
      <c r="F937" s="15">
        <v>367</v>
      </c>
      <c r="G937" s="15">
        <v>367</v>
      </c>
    </row>
    <row r="938" spans="1:7">
      <c r="A938" s="14">
        <v>2739</v>
      </c>
      <c r="B938" s="13" t="s">
        <v>13451</v>
      </c>
      <c r="C938" s="13" t="s">
        <v>13452</v>
      </c>
      <c r="D938" s="13" t="s">
        <v>2179</v>
      </c>
      <c r="E938" s="13" t="s">
        <v>1150</v>
      </c>
      <c r="F938" s="15">
        <v>367</v>
      </c>
      <c r="G938" s="15">
        <v>367</v>
      </c>
    </row>
    <row r="939" spans="1:7">
      <c r="A939" s="14">
        <v>2740</v>
      </c>
      <c r="B939" s="13" t="s">
        <v>13453</v>
      </c>
      <c r="C939" s="13" t="s">
        <v>13454</v>
      </c>
      <c r="D939" s="13" t="s">
        <v>2179</v>
      </c>
      <c r="E939" s="13" t="s">
        <v>1150</v>
      </c>
      <c r="F939" s="15">
        <v>367</v>
      </c>
      <c r="G939" s="15">
        <v>367</v>
      </c>
    </row>
    <row r="940" spans="1:7">
      <c r="A940" s="14">
        <v>2741</v>
      </c>
      <c r="B940" s="13" t="s">
        <v>13455</v>
      </c>
      <c r="C940" s="13" t="s">
        <v>13456</v>
      </c>
      <c r="D940" s="13" t="s">
        <v>2179</v>
      </c>
      <c r="E940" s="13" t="s">
        <v>1150</v>
      </c>
      <c r="F940" s="15">
        <v>39965</v>
      </c>
      <c r="G940" s="15">
        <v>39965</v>
      </c>
    </row>
    <row r="941" spans="1:7">
      <c r="A941" s="14">
        <v>2742</v>
      </c>
      <c r="B941" s="13" t="s">
        <v>13457</v>
      </c>
      <c r="C941" s="13" t="s">
        <v>13458</v>
      </c>
      <c r="E941" s="13" t="s">
        <v>1150</v>
      </c>
      <c r="F941" s="15">
        <v>39965</v>
      </c>
      <c r="G941" s="15">
        <v>39965</v>
      </c>
    </row>
    <row r="942" spans="1:7">
      <c r="A942" s="14">
        <v>2743</v>
      </c>
      <c r="B942" s="13" t="s">
        <v>13459</v>
      </c>
      <c r="C942" s="13" t="s">
        <v>13460</v>
      </c>
      <c r="D942" s="13" t="s">
        <v>2179</v>
      </c>
      <c r="E942" s="13" t="s">
        <v>1150</v>
      </c>
      <c r="F942" s="15">
        <v>39965</v>
      </c>
      <c r="G942" s="15">
        <v>39965</v>
      </c>
    </row>
    <row r="943" spans="1:7">
      <c r="A943" s="14">
        <v>2744</v>
      </c>
      <c r="B943" s="13" t="s">
        <v>13461</v>
      </c>
      <c r="C943" s="13" t="s">
        <v>13462</v>
      </c>
      <c r="D943" s="13" t="s">
        <v>2179</v>
      </c>
      <c r="E943" s="13" t="s">
        <v>1150</v>
      </c>
      <c r="F943" s="15">
        <v>39965</v>
      </c>
      <c r="G943" s="15">
        <v>39965</v>
      </c>
    </row>
    <row r="944" spans="1:7">
      <c r="A944" s="14">
        <v>2745</v>
      </c>
      <c r="B944" s="13" t="s">
        <v>13463</v>
      </c>
      <c r="C944" s="13" t="s">
        <v>13464</v>
      </c>
      <c r="D944" s="13" t="s">
        <v>2179</v>
      </c>
      <c r="E944" s="13" t="s">
        <v>1150</v>
      </c>
      <c r="F944" s="15">
        <v>39965</v>
      </c>
      <c r="G944" s="15">
        <v>39965</v>
      </c>
    </row>
    <row r="945" spans="1:7">
      <c r="A945" s="14">
        <v>2746</v>
      </c>
      <c r="B945" s="13" t="s">
        <v>13465</v>
      </c>
      <c r="C945" s="13" t="s">
        <v>13466</v>
      </c>
      <c r="D945" s="13" t="s">
        <v>2179</v>
      </c>
      <c r="E945" s="13" t="s">
        <v>1150</v>
      </c>
      <c r="F945" s="15">
        <v>39965</v>
      </c>
      <c r="G945" s="15">
        <v>39965</v>
      </c>
    </row>
    <row r="946" spans="1:7">
      <c r="A946" s="14">
        <v>2751</v>
      </c>
      <c r="B946" s="13" t="s">
        <v>13467</v>
      </c>
      <c r="C946" s="13" t="s">
        <v>13468</v>
      </c>
      <c r="D946" s="13" t="s">
        <v>2179</v>
      </c>
      <c r="E946" s="13" t="s">
        <v>1150</v>
      </c>
      <c r="F946" s="15">
        <v>367</v>
      </c>
      <c r="G946" s="15">
        <v>367</v>
      </c>
    </row>
    <row r="947" spans="1:7">
      <c r="A947" s="14">
        <v>2752</v>
      </c>
      <c r="B947" s="13" t="s">
        <v>13469</v>
      </c>
      <c r="C947" s="13" t="s">
        <v>13470</v>
      </c>
      <c r="D947" s="13" t="s">
        <v>2179</v>
      </c>
      <c r="E947" s="13" t="s">
        <v>1150</v>
      </c>
      <c r="F947" s="15">
        <v>367</v>
      </c>
      <c r="G947" s="15">
        <v>367</v>
      </c>
    </row>
    <row r="948" spans="1:7">
      <c r="A948" s="14">
        <v>2753</v>
      </c>
      <c r="B948" s="13" t="s">
        <v>13471</v>
      </c>
      <c r="C948" s="13" t="s">
        <v>13472</v>
      </c>
      <c r="D948" s="13" t="s">
        <v>2179</v>
      </c>
      <c r="E948" s="13" t="s">
        <v>1150</v>
      </c>
      <c r="F948" s="15">
        <v>367</v>
      </c>
      <c r="G948" s="15">
        <v>367</v>
      </c>
    </row>
    <row r="949" spans="1:7">
      <c r="A949" s="14">
        <v>2754</v>
      </c>
      <c r="B949" s="13" t="s">
        <v>13473</v>
      </c>
      <c r="C949" s="13" t="s">
        <v>13474</v>
      </c>
      <c r="D949" s="13" t="s">
        <v>2179</v>
      </c>
      <c r="E949" s="13" t="s">
        <v>1150</v>
      </c>
      <c r="F949" s="15">
        <v>367</v>
      </c>
      <c r="G949" s="15">
        <v>367</v>
      </c>
    </row>
    <row r="950" spans="1:7">
      <c r="A950" s="14">
        <v>2755</v>
      </c>
      <c r="B950" s="13" t="s">
        <v>13475</v>
      </c>
      <c r="C950" s="13" t="s">
        <v>13476</v>
      </c>
      <c r="D950" s="13" t="s">
        <v>2179</v>
      </c>
      <c r="E950" s="13" t="s">
        <v>1150</v>
      </c>
      <c r="F950" s="15">
        <v>367</v>
      </c>
      <c r="G950" s="15">
        <v>367</v>
      </c>
    </row>
    <row r="951" spans="1:7">
      <c r="A951" s="14">
        <v>2756</v>
      </c>
      <c r="B951" s="13" t="s">
        <v>13477</v>
      </c>
      <c r="C951" s="13" t="s">
        <v>13478</v>
      </c>
      <c r="D951" s="13" t="s">
        <v>2179</v>
      </c>
      <c r="E951" s="13" t="s">
        <v>1150</v>
      </c>
      <c r="F951" s="15">
        <v>367</v>
      </c>
      <c r="G951" s="15">
        <v>367</v>
      </c>
    </row>
    <row r="952" spans="1:7">
      <c r="A952" s="14">
        <v>2757</v>
      </c>
      <c r="B952" s="13" t="s">
        <v>13479</v>
      </c>
      <c r="C952" s="13" t="s">
        <v>13480</v>
      </c>
      <c r="D952" s="13" t="s">
        <v>2179</v>
      </c>
      <c r="E952" s="13" t="s">
        <v>1150</v>
      </c>
      <c r="F952" s="15">
        <v>367</v>
      </c>
      <c r="G952" s="15">
        <v>367</v>
      </c>
    </row>
    <row r="953" spans="1:7">
      <c r="A953" s="14">
        <v>2758</v>
      </c>
      <c r="B953" s="13" t="s">
        <v>13481</v>
      </c>
      <c r="C953" s="13" t="s">
        <v>13482</v>
      </c>
      <c r="D953" s="13" t="s">
        <v>2179</v>
      </c>
      <c r="E953" s="13" t="s">
        <v>1150</v>
      </c>
      <c r="F953" s="15">
        <v>367</v>
      </c>
      <c r="G953" s="15">
        <v>367</v>
      </c>
    </row>
    <row r="954" spans="1:7">
      <c r="A954" s="14">
        <v>2759</v>
      </c>
      <c r="B954" s="13" t="s">
        <v>13483</v>
      </c>
      <c r="C954" s="13" t="s">
        <v>13484</v>
      </c>
      <c r="D954" s="13" t="s">
        <v>2179</v>
      </c>
      <c r="E954" s="13" t="s">
        <v>1150</v>
      </c>
      <c r="F954" s="15">
        <v>367</v>
      </c>
      <c r="G954" s="15">
        <v>367</v>
      </c>
    </row>
    <row r="955" spans="1:7">
      <c r="A955" s="14">
        <v>2760</v>
      </c>
      <c r="B955" s="13" t="s">
        <v>13485</v>
      </c>
      <c r="C955" s="13" t="s">
        <v>13486</v>
      </c>
      <c r="D955" s="13" t="s">
        <v>2179</v>
      </c>
      <c r="E955" s="13" t="s">
        <v>1150</v>
      </c>
      <c r="F955" s="15">
        <v>367</v>
      </c>
      <c r="G955" s="15">
        <v>367</v>
      </c>
    </row>
    <row r="956" spans="1:7">
      <c r="A956" s="14">
        <v>2761</v>
      </c>
      <c r="B956" s="13" t="s">
        <v>13487</v>
      </c>
      <c r="C956" s="13" t="s">
        <v>13488</v>
      </c>
      <c r="D956" s="13" t="s">
        <v>2179</v>
      </c>
      <c r="E956" s="13" t="s">
        <v>1150</v>
      </c>
      <c r="F956" s="15">
        <v>367</v>
      </c>
      <c r="G956" s="15">
        <v>367</v>
      </c>
    </row>
    <row r="957" spans="1:7">
      <c r="A957" s="14">
        <v>2763</v>
      </c>
      <c r="B957" s="13" t="s">
        <v>13489</v>
      </c>
      <c r="C957" s="13" t="s">
        <v>13490</v>
      </c>
      <c r="D957" s="13" t="s">
        <v>2179</v>
      </c>
      <c r="E957" s="13" t="s">
        <v>1150</v>
      </c>
      <c r="F957" s="15">
        <v>367</v>
      </c>
      <c r="G957" s="15">
        <v>367</v>
      </c>
    </row>
    <row r="958" spans="1:7">
      <c r="A958" s="14">
        <v>2764</v>
      </c>
      <c r="B958" s="13" t="s">
        <v>13491</v>
      </c>
      <c r="C958" s="13" t="s">
        <v>13492</v>
      </c>
      <c r="D958" s="13" t="s">
        <v>2179</v>
      </c>
      <c r="E958" s="13" t="s">
        <v>1150</v>
      </c>
      <c r="F958" s="15">
        <v>367</v>
      </c>
      <c r="G958" s="15">
        <v>367</v>
      </c>
    </row>
    <row r="959" spans="1:7">
      <c r="A959" s="14">
        <v>2765</v>
      </c>
      <c r="B959" s="13" t="s">
        <v>13493</v>
      </c>
      <c r="C959" s="13" t="s">
        <v>13494</v>
      </c>
      <c r="D959" s="13" t="s">
        <v>2179</v>
      </c>
      <c r="E959" s="13" t="s">
        <v>1150</v>
      </c>
      <c r="F959" s="15">
        <v>367</v>
      </c>
      <c r="G959" s="15">
        <v>367</v>
      </c>
    </row>
    <row r="960" spans="1:7">
      <c r="A960" s="14">
        <v>2766</v>
      </c>
      <c r="B960" s="13" t="s">
        <v>13495</v>
      </c>
      <c r="C960" s="13" t="s">
        <v>13496</v>
      </c>
      <c r="D960" s="13" t="s">
        <v>2179</v>
      </c>
      <c r="E960" s="13" t="s">
        <v>1150</v>
      </c>
      <c r="F960" s="15">
        <v>367</v>
      </c>
      <c r="G960" s="15">
        <v>367</v>
      </c>
    </row>
    <row r="961" spans="1:7">
      <c r="A961" s="14">
        <v>2767</v>
      </c>
      <c r="B961" s="13" t="s">
        <v>13497</v>
      </c>
      <c r="C961" s="13" t="s">
        <v>13498</v>
      </c>
      <c r="D961" s="13" t="s">
        <v>2179</v>
      </c>
      <c r="E961" s="13" t="s">
        <v>1150</v>
      </c>
      <c r="F961" s="15">
        <v>367</v>
      </c>
      <c r="G961" s="15">
        <v>367</v>
      </c>
    </row>
    <row r="962" spans="1:7">
      <c r="A962" s="14">
        <v>2768</v>
      </c>
      <c r="B962" s="13" t="s">
        <v>13499</v>
      </c>
      <c r="C962" s="13" t="s">
        <v>13500</v>
      </c>
      <c r="D962" s="13" t="s">
        <v>2179</v>
      </c>
      <c r="E962" s="13" t="s">
        <v>1150</v>
      </c>
      <c r="F962" s="15">
        <v>367</v>
      </c>
      <c r="G962" s="15">
        <v>367</v>
      </c>
    </row>
    <row r="963" spans="1:7">
      <c r="A963" s="14">
        <v>2769</v>
      </c>
      <c r="B963" s="13" t="s">
        <v>13501</v>
      </c>
      <c r="C963" s="13" t="s">
        <v>13502</v>
      </c>
      <c r="D963" s="13" t="s">
        <v>2179</v>
      </c>
      <c r="E963" s="13" t="s">
        <v>1150</v>
      </c>
      <c r="F963" s="15">
        <v>367</v>
      </c>
      <c r="G963" s="15">
        <v>367</v>
      </c>
    </row>
    <row r="964" spans="1:7">
      <c r="A964" s="14">
        <v>2770</v>
      </c>
      <c r="B964" s="13" t="s">
        <v>13503</v>
      </c>
      <c r="C964" s="13" t="s">
        <v>13504</v>
      </c>
      <c r="D964" s="13" t="s">
        <v>2179</v>
      </c>
      <c r="E964" s="13" t="s">
        <v>1150</v>
      </c>
      <c r="F964" s="15">
        <v>367</v>
      </c>
      <c r="G964" s="15">
        <v>367</v>
      </c>
    </row>
    <row r="965" spans="1:7">
      <c r="A965" s="14">
        <v>2771</v>
      </c>
      <c r="B965" s="13" t="s">
        <v>13505</v>
      </c>
      <c r="C965" s="13" t="s">
        <v>13506</v>
      </c>
      <c r="D965" s="13" t="s">
        <v>2179</v>
      </c>
      <c r="E965" s="13" t="s">
        <v>1150</v>
      </c>
      <c r="F965" s="15">
        <v>367</v>
      </c>
      <c r="G965" s="15">
        <v>367</v>
      </c>
    </row>
    <row r="966" spans="1:7">
      <c r="A966" s="14">
        <v>2772</v>
      </c>
      <c r="B966" s="13" t="s">
        <v>13507</v>
      </c>
      <c r="C966" s="13" t="s">
        <v>13508</v>
      </c>
      <c r="D966" s="13" t="s">
        <v>2179</v>
      </c>
      <c r="E966" s="13" t="s">
        <v>1150</v>
      </c>
      <c r="F966" s="15">
        <v>367</v>
      </c>
      <c r="G966" s="15">
        <v>367</v>
      </c>
    </row>
    <row r="967" spans="1:7">
      <c r="A967" s="14">
        <v>2773</v>
      </c>
      <c r="B967" s="13" t="s">
        <v>13509</v>
      </c>
      <c r="C967" s="13" t="s">
        <v>13510</v>
      </c>
      <c r="D967" s="13" t="s">
        <v>2179</v>
      </c>
      <c r="E967" s="13" t="s">
        <v>1150</v>
      </c>
      <c r="F967" s="15">
        <v>367</v>
      </c>
      <c r="G967" s="15">
        <v>367</v>
      </c>
    </row>
    <row r="968" spans="1:7">
      <c r="A968" s="14">
        <v>2774</v>
      </c>
      <c r="B968" s="13" t="s">
        <v>13511</v>
      </c>
      <c r="C968" s="13" t="s">
        <v>13512</v>
      </c>
      <c r="D968" s="13" t="s">
        <v>2179</v>
      </c>
      <c r="E968" s="13" t="s">
        <v>1150</v>
      </c>
      <c r="F968" s="15">
        <v>367</v>
      </c>
      <c r="G968" s="15">
        <v>367</v>
      </c>
    </row>
    <row r="969" spans="1:7">
      <c r="A969" s="14">
        <v>2775</v>
      </c>
      <c r="B969" s="13" t="s">
        <v>13513</v>
      </c>
      <c r="C969" s="13" t="s">
        <v>13514</v>
      </c>
      <c r="D969" s="13" t="s">
        <v>2179</v>
      </c>
      <c r="E969" s="13" t="s">
        <v>1150</v>
      </c>
      <c r="F969" s="15">
        <v>367</v>
      </c>
      <c r="G969" s="15">
        <v>367</v>
      </c>
    </row>
    <row r="970" spans="1:7">
      <c r="A970" s="14">
        <v>2776</v>
      </c>
      <c r="B970" s="13" t="s">
        <v>13515</v>
      </c>
      <c r="C970" s="13" t="s">
        <v>13516</v>
      </c>
      <c r="D970" s="13" t="s">
        <v>2179</v>
      </c>
      <c r="E970" s="13" t="s">
        <v>1150</v>
      </c>
      <c r="F970" s="15">
        <v>367</v>
      </c>
      <c r="G970" s="15">
        <v>367</v>
      </c>
    </row>
    <row r="971" spans="1:7">
      <c r="A971" s="14">
        <v>2777</v>
      </c>
      <c r="B971" s="13" t="s">
        <v>13517</v>
      </c>
      <c r="C971" s="13" t="s">
        <v>13518</v>
      </c>
      <c r="D971" s="13" t="s">
        <v>2179</v>
      </c>
      <c r="E971" s="13" t="s">
        <v>1150</v>
      </c>
      <c r="F971" s="15">
        <v>39965</v>
      </c>
      <c r="G971" s="15">
        <v>39965</v>
      </c>
    </row>
    <row r="972" spans="1:7">
      <c r="A972" s="14">
        <v>2778</v>
      </c>
      <c r="B972" s="13" t="s">
        <v>13519</v>
      </c>
      <c r="C972" s="13" t="s">
        <v>13520</v>
      </c>
      <c r="D972" s="13" t="s">
        <v>2179</v>
      </c>
      <c r="E972" s="13" t="s">
        <v>1150</v>
      </c>
      <c r="F972" s="15">
        <v>37742</v>
      </c>
      <c r="G972" s="15">
        <v>37742</v>
      </c>
    </row>
    <row r="973" spans="1:7">
      <c r="A973" s="14">
        <v>2779</v>
      </c>
      <c r="B973" s="13" t="s">
        <v>13521</v>
      </c>
      <c r="C973" s="13" t="s">
        <v>13522</v>
      </c>
      <c r="D973" s="13" t="s">
        <v>2179</v>
      </c>
      <c r="E973" s="13" t="s">
        <v>1150</v>
      </c>
      <c r="F973" s="15">
        <v>39965</v>
      </c>
      <c r="G973" s="15">
        <v>39965</v>
      </c>
    </row>
    <row r="974" spans="1:7">
      <c r="A974" s="14">
        <v>2780</v>
      </c>
      <c r="B974" s="13" t="s">
        <v>13523</v>
      </c>
      <c r="C974" s="13" t="s">
        <v>13524</v>
      </c>
      <c r="D974" s="13" t="s">
        <v>2179</v>
      </c>
      <c r="E974" s="13" t="s">
        <v>1150</v>
      </c>
      <c r="F974" s="15">
        <v>39965</v>
      </c>
      <c r="G974" s="15">
        <v>39965</v>
      </c>
    </row>
    <row r="975" spans="1:7">
      <c r="A975" s="14">
        <v>2781</v>
      </c>
      <c r="B975" s="13" t="s">
        <v>13525</v>
      </c>
      <c r="C975" s="13" t="s">
        <v>13526</v>
      </c>
      <c r="D975" s="13" t="s">
        <v>2179</v>
      </c>
      <c r="E975" s="13" t="s">
        <v>1150</v>
      </c>
      <c r="F975" s="15">
        <v>39965</v>
      </c>
      <c r="G975" s="15">
        <v>39965</v>
      </c>
    </row>
    <row r="976" spans="1:7">
      <c r="A976" s="14">
        <v>2782</v>
      </c>
      <c r="B976" s="13" t="s">
        <v>13527</v>
      </c>
      <c r="C976" s="13" t="s">
        <v>13528</v>
      </c>
      <c r="D976" s="13" t="s">
        <v>2179</v>
      </c>
      <c r="E976" s="13" t="s">
        <v>1150</v>
      </c>
      <c r="F976" s="15">
        <v>39965</v>
      </c>
      <c r="G976" s="15">
        <v>39965</v>
      </c>
    </row>
    <row r="977" spans="1:7">
      <c r="A977" s="14">
        <v>2784</v>
      </c>
      <c r="B977" s="13" t="s">
        <v>13529</v>
      </c>
      <c r="C977" s="13" t="s">
        <v>13530</v>
      </c>
      <c r="D977" s="13" t="s">
        <v>2179</v>
      </c>
      <c r="E977" s="13" t="s">
        <v>1150</v>
      </c>
      <c r="F977" s="15">
        <v>41061</v>
      </c>
      <c r="G977" s="15">
        <v>41061</v>
      </c>
    </row>
    <row r="978" spans="1:7">
      <c r="A978" s="14">
        <v>2785</v>
      </c>
      <c r="B978" s="13" t="s">
        <v>13531</v>
      </c>
      <c r="C978" s="13" t="s">
        <v>13532</v>
      </c>
      <c r="D978" s="13" t="s">
        <v>2179</v>
      </c>
      <c r="E978" s="13" t="s">
        <v>1150</v>
      </c>
      <c r="F978" s="15">
        <v>42370</v>
      </c>
      <c r="G978" s="15">
        <v>42370</v>
      </c>
    </row>
    <row r="979" spans="1:7">
      <c r="A979" s="14">
        <v>2786</v>
      </c>
      <c r="B979" s="13" t="s">
        <v>13533</v>
      </c>
      <c r="C979" s="13" t="s">
        <v>13534</v>
      </c>
      <c r="D979" s="13" t="s">
        <v>2179</v>
      </c>
      <c r="E979" s="13" t="s">
        <v>1150</v>
      </c>
      <c r="F979" s="15">
        <v>43364</v>
      </c>
      <c r="G979" s="15">
        <v>43364</v>
      </c>
    </row>
    <row r="980" spans="1:7">
      <c r="A980" s="14">
        <v>2787</v>
      </c>
      <c r="B980" s="13" t="s">
        <v>13535</v>
      </c>
      <c r="C980" s="13" t="s">
        <v>13536</v>
      </c>
      <c r="D980" s="13" t="s">
        <v>2179</v>
      </c>
      <c r="E980" s="13" t="s">
        <v>1150</v>
      </c>
      <c r="F980" s="15">
        <v>43364</v>
      </c>
      <c r="G980" s="15">
        <v>43364</v>
      </c>
    </row>
    <row r="981" spans="1:7">
      <c r="A981" s="14">
        <v>2789</v>
      </c>
      <c r="B981" s="13" t="s">
        <v>13537</v>
      </c>
      <c r="C981" s="13" t="s">
        <v>13538</v>
      </c>
      <c r="D981" s="13" t="s">
        <v>2179</v>
      </c>
      <c r="E981" s="13" t="s">
        <v>1150</v>
      </c>
      <c r="F981" s="15">
        <v>44705</v>
      </c>
      <c r="G981" s="15">
        <v>44705</v>
      </c>
    </row>
    <row r="982" spans="1:7">
      <c r="A982" s="14">
        <v>2790</v>
      </c>
      <c r="B982" s="13" t="s">
        <v>13539</v>
      </c>
      <c r="C982" s="13" t="s">
        <v>13540</v>
      </c>
      <c r="D982" s="13" t="s">
        <v>12536</v>
      </c>
      <c r="E982" s="13" t="s">
        <v>1150</v>
      </c>
      <c r="F982" s="15">
        <v>44705</v>
      </c>
      <c r="G982" s="15">
        <v>44705</v>
      </c>
    </row>
    <row r="983" spans="1:7">
      <c r="A983" s="14">
        <v>2791</v>
      </c>
      <c r="B983" s="13" t="s">
        <v>13541</v>
      </c>
      <c r="C983" s="13" t="s">
        <v>13542</v>
      </c>
      <c r="D983" s="13" t="s">
        <v>2179</v>
      </c>
      <c r="E983" s="13" t="s">
        <v>1150</v>
      </c>
      <c r="F983" s="15">
        <v>44705</v>
      </c>
      <c r="G983" s="15">
        <v>44705</v>
      </c>
    </row>
    <row r="984" spans="1:7">
      <c r="A984" s="14">
        <v>2792</v>
      </c>
      <c r="B984" s="13" t="s">
        <v>13543</v>
      </c>
      <c r="C984" s="13" t="s">
        <v>13544</v>
      </c>
      <c r="D984" s="13" t="s">
        <v>2179</v>
      </c>
      <c r="E984" s="13" t="s">
        <v>1150</v>
      </c>
      <c r="F984" s="15">
        <v>44705</v>
      </c>
      <c r="G984" s="15">
        <v>44705</v>
      </c>
    </row>
    <row r="985" spans="1:7">
      <c r="A985" s="14">
        <v>3001</v>
      </c>
      <c r="B985" s="13" t="s">
        <v>13545</v>
      </c>
      <c r="C985" s="13" t="s">
        <v>13546</v>
      </c>
      <c r="D985" s="13" t="s">
        <v>13547</v>
      </c>
      <c r="E985" s="13" t="s">
        <v>1150</v>
      </c>
      <c r="F985" s="15">
        <v>367</v>
      </c>
      <c r="G985" s="15">
        <v>367</v>
      </c>
    </row>
    <row r="986" spans="1:7">
      <c r="A986" s="14">
        <v>3002</v>
      </c>
      <c r="B986" s="13" t="s">
        <v>13548</v>
      </c>
      <c r="C986" s="13" t="s">
        <v>13549</v>
      </c>
      <c r="D986" s="13" t="s">
        <v>13547</v>
      </c>
      <c r="E986" s="13" t="s">
        <v>1150</v>
      </c>
      <c r="F986" s="15">
        <v>37789</v>
      </c>
      <c r="G986" s="15">
        <v>37789</v>
      </c>
    </row>
    <row r="987" spans="1:7">
      <c r="A987" s="14">
        <v>3005</v>
      </c>
      <c r="B987" s="13" t="s">
        <v>13550</v>
      </c>
      <c r="C987" s="13" t="s">
        <v>13551</v>
      </c>
      <c r="D987" s="13" t="s">
        <v>13547</v>
      </c>
      <c r="E987" s="13" t="s">
        <v>1150</v>
      </c>
      <c r="F987" s="15">
        <v>368</v>
      </c>
      <c r="G987" s="15">
        <v>368</v>
      </c>
    </row>
    <row r="988" spans="1:7">
      <c r="A988" s="14">
        <v>3007</v>
      </c>
      <c r="B988" s="13" t="s">
        <v>13552</v>
      </c>
      <c r="C988" s="13" t="s">
        <v>13553</v>
      </c>
      <c r="D988" s="13" t="s">
        <v>13547</v>
      </c>
      <c r="E988" s="13" t="s">
        <v>1150</v>
      </c>
      <c r="F988" s="15">
        <v>368</v>
      </c>
      <c r="G988" s="15">
        <v>368</v>
      </c>
    </row>
    <row r="989" spans="1:7">
      <c r="A989" s="14">
        <v>3009</v>
      </c>
      <c r="B989" s="13" t="s">
        <v>13554</v>
      </c>
      <c r="C989" s="13" t="s">
        <v>13555</v>
      </c>
      <c r="D989" s="13" t="s">
        <v>13547</v>
      </c>
      <c r="E989" s="13" t="s">
        <v>1150</v>
      </c>
      <c r="F989" s="15">
        <v>42272</v>
      </c>
      <c r="G989" s="15">
        <v>42272</v>
      </c>
    </row>
    <row r="990" spans="1:7">
      <c r="A990" s="14">
        <v>3011</v>
      </c>
      <c r="B990" s="13" t="s">
        <v>13556</v>
      </c>
      <c r="C990" s="13" t="s">
        <v>13557</v>
      </c>
      <c r="D990" s="13" t="s">
        <v>13547</v>
      </c>
      <c r="E990" s="13" t="s">
        <v>1150</v>
      </c>
      <c r="F990" s="15">
        <v>42776</v>
      </c>
      <c r="G990" s="15">
        <v>42776</v>
      </c>
    </row>
    <row r="991" spans="1:7">
      <c r="A991" s="14">
        <v>3500</v>
      </c>
      <c r="B991" s="13" t="s">
        <v>13558</v>
      </c>
      <c r="C991" s="13" t="s">
        <v>13559</v>
      </c>
      <c r="D991" s="13" t="s">
        <v>13547</v>
      </c>
      <c r="E991" s="13" t="s">
        <v>1150</v>
      </c>
      <c r="F991" s="15">
        <v>43466</v>
      </c>
      <c r="G991" s="15">
        <v>43466</v>
      </c>
    </row>
    <row r="992" spans="1:7">
      <c r="A992" s="14">
        <v>3501</v>
      </c>
      <c r="B992" s="13" t="s">
        <v>13560</v>
      </c>
      <c r="C992" s="13" t="s">
        <v>13561</v>
      </c>
      <c r="D992" s="13" t="s">
        <v>13547</v>
      </c>
      <c r="E992" s="13" t="s">
        <v>1150</v>
      </c>
      <c r="F992" s="15">
        <v>43466</v>
      </c>
      <c r="G992" s="15">
        <v>43466</v>
      </c>
    </row>
    <row r="993" spans="1:7">
      <c r="A993" s="14">
        <v>4001</v>
      </c>
      <c r="B993" s="13" t="s">
        <v>13562</v>
      </c>
      <c r="C993" s="13" t="s">
        <v>13563</v>
      </c>
      <c r="D993" s="13" t="s">
        <v>13564</v>
      </c>
      <c r="E993" s="13" t="s">
        <v>1150</v>
      </c>
      <c r="F993" s="15">
        <v>368</v>
      </c>
      <c r="G993" s="15">
        <v>368</v>
      </c>
    </row>
    <row r="994" spans="1:7">
      <c r="A994" s="14">
        <v>4002</v>
      </c>
      <c r="B994" s="13" t="s">
        <v>13565</v>
      </c>
      <c r="C994" s="13" t="s">
        <v>13566</v>
      </c>
      <c r="D994" s="13" t="s">
        <v>13564</v>
      </c>
      <c r="E994" s="13" t="s">
        <v>1150</v>
      </c>
      <c r="F994" s="15">
        <v>368</v>
      </c>
      <c r="G994" s="15">
        <v>368</v>
      </c>
    </row>
    <row r="995" spans="1:7">
      <c r="A995" s="14">
        <v>4003</v>
      </c>
      <c r="B995" s="13" t="s">
        <v>13567</v>
      </c>
      <c r="C995" s="13" t="s">
        <v>13568</v>
      </c>
      <c r="D995" s="13" t="s">
        <v>13564</v>
      </c>
      <c r="E995" s="13" t="s">
        <v>1150</v>
      </c>
      <c r="F995" s="15">
        <v>38899</v>
      </c>
      <c r="G995" s="15">
        <v>38899</v>
      </c>
    </row>
    <row r="996" spans="1:7">
      <c r="A996" s="14">
        <v>4004</v>
      </c>
      <c r="B996" s="13" t="s">
        <v>13569</v>
      </c>
      <c r="C996" s="13" t="s">
        <v>13570</v>
      </c>
      <c r="D996" s="13" t="s">
        <v>13564</v>
      </c>
      <c r="E996" s="13" t="s">
        <v>1150</v>
      </c>
      <c r="F996" s="15">
        <v>38899</v>
      </c>
      <c r="G996" s="15">
        <v>38899</v>
      </c>
    </row>
    <row r="997" spans="1:7">
      <c r="A997" s="14">
        <v>4005</v>
      </c>
      <c r="B997" s="13" t="s">
        <v>13571</v>
      </c>
      <c r="C997" s="13" t="s">
        <v>13572</v>
      </c>
      <c r="D997" s="13" t="s">
        <v>13564</v>
      </c>
      <c r="E997" s="13" t="s">
        <v>1150</v>
      </c>
      <c r="F997" s="15">
        <v>367</v>
      </c>
      <c r="G997" s="15">
        <v>367</v>
      </c>
    </row>
    <row r="998" spans="1:7">
      <c r="A998" s="14">
        <v>4007</v>
      </c>
      <c r="B998" s="13" t="s">
        <v>13573</v>
      </c>
      <c r="C998" s="13" t="s">
        <v>13574</v>
      </c>
      <c r="D998" s="13" t="s">
        <v>13564</v>
      </c>
      <c r="E998" s="13" t="s">
        <v>1150</v>
      </c>
      <c r="F998" s="15">
        <v>367</v>
      </c>
      <c r="G998" s="15">
        <v>367</v>
      </c>
    </row>
    <row r="999" spans="1:7">
      <c r="A999" s="14">
        <v>4009</v>
      </c>
      <c r="B999" s="13" t="s">
        <v>13575</v>
      </c>
      <c r="C999" s="13" t="s">
        <v>13576</v>
      </c>
      <c r="D999" s="13" t="s">
        <v>13564</v>
      </c>
      <c r="E999" s="13" t="s">
        <v>1150</v>
      </c>
      <c r="F999" s="15">
        <v>367</v>
      </c>
      <c r="G999" s="15">
        <v>367</v>
      </c>
    </row>
    <row r="1000" spans="1:7">
      <c r="A1000" s="14">
        <v>4011</v>
      </c>
      <c r="B1000" s="13" t="s">
        <v>13577</v>
      </c>
      <c r="C1000" s="13" t="s">
        <v>13578</v>
      </c>
      <c r="D1000" s="13" t="s">
        <v>13564</v>
      </c>
      <c r="E1000" s="13" t="s">
        <v>1150</v>
      </c>
      <c r="F1000" s="15">
        <v>38899</v>
      </c>
      <c r="G1000" s="15">
        <v>38899</v>
      </c>
    </row>
    <row r="1001" spans="1:7">
      <c r="A1001" s="14">
        <v>4013</v>
      </c>
      <c r="B1001" s="13" t="s">
        <v>13579</v>
      </c>
      <c r="C1001" s="13" t="s">
        <v>12481</v>
      </c>
      <c r="D1001" s="13" t="s">
        <v>13564</v>
      </c>
      <c r="E1001" s="13" t="s">
        <v>1150</v>
      </c>
      <c r="F1001" s="15">
        <v>38899</v>
      </c>
      <c r="G1001" s="15">
        <v>38899</v>
      </c>
    </row>
    <row r="1002" spans="1:7">
      <c r="A1002" s="14">
        <v>4014</v>
      </c>
      <c r="B1002" s="13" t="s">
        <v>13580</v>
      </c>
      <c r="C1002" s="13" t="s">
        <v>13581</v>
      </c>
      <c r="D1002" s="13" t="s">
        <v>13564</v>
      </c>
      <c r="E1002" s="13" t="s">
        <v>1150</v>
      </c>
      <c r="F1002" s="15">
        <v>38899</v>
      </c>
      <c r="G1002" s="15">
        <v>38899</v>
      </c>
    </row>
    <row r="1003" spans="1:7">
      <c r="A1003" s="14">
        <v>4016</v>
      </c>
      <c r="B1003" s="13" t="s">
        <v>13582</v>
      </c>
      <c r="C1003" s="13" t="s">
        <v>13583</v>
      </c>
      <c r="D1003" s="13" t="s">
        <v>13564</v>
      </c>
      <c r="E1003" s="13" t="s">
        <v>1150</v>
      </c>
      <c r="F1003" s="15">
        <v>38899</v>
      </c>
      <c r="G1003" s="15">
        <v>38899</v>
      </c>
    </row>
    <row r="1004" spans="1:7">
      <c r="A1004" s="14">
        <v>4017</v>
      </c>
      <c r="B1004" s="13" t="s">
        <v>13584</v>
      </c>
      <c r="C1004" s="13" t="s">
        <v>13585</v>
      </c>
      <c r="D1004" s="13" t="s">
        <v>13564</v>
      </c>
      <c r="E1004" s="13" t="s">
        <v>1150</v>
      </c>
      <c r="F1004" s="15">
        <v>367</v>
      </c>
      <c r="G1004" s="15">
        <v>367</v>
      </c>
    </row>
    <row r="1005" spans="1:7">
      <c r="A1005" s="14">
        <v>4020</v>
      </c>
      <c r="B1005" s="13" t="s">
        <v>13586</v>
      </c>
      <c r="C1005" s="13" t="s">
        <v>13587</v>
      </c>
      <c r="D1005" s="13" t="s">
        <v>13564</v>
      </c>
      <c r="E1005" s="13" t="s">
        <v>1150</v>
      </c>
      <c r="F1005" s="15">
        <v>367</v>
      </c>
      <c r="G1005" s="15">
        <v>367</v>
      </c>
    </row>
    <row r="1006" spans="1:7">
      <c r="A1006" s="14">
        <v>4025</v>
      </c>
      <c r="B1006" s="13" t="s">
        <v>13588</v>
      </c>
      <c r="C1006" s="13" t="s">
        <v>13589</v>
      </c>
      <c r="D1006" s="13" t="s">
        <v>13564</v>
      </c>
      <c r="E1006" s="13" t="s">
        <v>1150</v>
      </c>
      <c r="F1006" s="15">
        <v>367</v>
      </c>
      <c r="G1006" s="15">
        <v>367</v>
      </c>
    </row>
    <row r="1007" spans="1:7">
      <c r="A1007" s="14">
        <v>4030</v>
      </c>
      <c r="B1007" s="13" t="s">
        <v>13590</v>
      </c>
      <c r="C1007" s="13" t="s">
        <v>13591</v>
      </c>
      <c r="D1007" s="13" t="s">
        <v>13564</v>
      </c>
      <c r="E1007" s="13" t="s">
        <v>1150</v>
      </c>
      <c r="F1007" s="15">
        <v>367</v>
      </c>
      <c r="G1007" s="15">
        <v>367</v>
      </c>
    </row>
    <row r="1008" spans="1:7">
      <c r="A1008" s="14">
        <v>4035</v>
      </c>
      <c r="B1008" s="13" t="s">
        <v>13592</v>
      </c>
      <c r="C1008" s="13" t="s">
        <v>13593</v>
      </c>
      <c r="D1008" s="13" t="s">
        <v>13564</v>
      </c>
      <c r="E1008" s="13" t="s">
        <v>1150</v>
      </c>
      <c r="F1008" s="15">
        <v>367</v>
      </c>
      <c r="G1008" s="15">
        <v>367</v>
      </c>
    </row>
    <row r="1009" spans="1:7">
      <c r="A1009" s="14">
        <v>4040</v>
      </c>
      <c r="B1009" s="13" t="s">
        <v>13594</v>
      </c>
      <c r="C1009" s="13" t="s">
        <v>13595</v>
      </c>
      <c r="D1009" s="13" t="s">
        <v>13564</v>
      </c>
      <c r="E1009" s="13" t="s">
        <v>1150</v>
      </c>
      <c r="F1009" s="15">
        <v>367</v>
      </c>
      <c r="G1009" s="15">
        <v>367</v>
      </c>
    </row>
    <row r="1010" spans="1:7">
      <c r="A1010" s="14">
        <v>4045</v>
      </c>
      <c r="B1010" s="13" t="s">
        <v>13596</v>
      </c>
      <c r="C1010" s="13" t="s">
        <v>13597</v>
      </c>
      <c r="D1010" s="13" t="s">
        <v>13564</v>
      </c>
      <c r="E1010" s="13" t="s">
        <v>1150</v>
      </c>
      <c r="F1010" s="15">
        <v>367</v>
      </c>
      <c r="G1010" s="15">
        <v>367</v>
      </c>
    </row>
    <row r="1011" spans="1:7">
      <c r="A1011" s="14">
        <v>4050</v>
      </c>
      <c r="B1011" s="13" t="s">
        <v>13598</v>
      </c>
      <c r="C1011" s="13" t="s">
        <v>13599</v>
      </c>
      <c r="D1011" s="13" t="s">
        <v>13564</v>
      </c>
      <c r="E1011" s="13" t="s">
        <v>1150</v>
      </c>
      <c r="F1011" s="15">
        <v>367</v>
      </c>
      <c r="G1011" s="15">
        <v>367</v>
      </c>
    </row>
    <row r="1012" spans="1:7">
      <c r="A1012" s="14">
        <v>4055</v>
      </c>
      <c r="B1012" s="13" t="s">
        <v>13600</v>
      </c>
      <c r="C1012" s="13" t="s">
        <v>13601</v>
      </c>
      <c r="D1012" s="13" t="s">
        <v>13564</v>
      </c>
      <c r="E1012" s="13" t="s">
        <v>1150</v>
      </c>
      <c r="F1012" s="15">
        <v>367</v>
      </c>
      <c r="G1012" s="15">
        <v>367</v>
      </c>
    </row>
    <row r="1013" spans="1:7">
      <c r="A1013" s="14">
        <v>4060</v>
      </c>
      <c r="B1013" s="13" t="s">
        <v>13602</v>
      </c>
      <c r="C1013" s="13" t="s">
        <v>13011</v>
      </c>
      <c r="D1013" s="13" t="s">
        <v>13564</v>
      </c>
      <c r="E1013" s="13" t="s">
        <v>1150</v>
      </c>
      <c r="F1013" s="15">
        <v>367</v>
      </c>
      <c r="G1013" s="15">
        <v>367</v>
      </c>
    </row>
    <row r="1014" spans="1:7">
      <c r="A1014" s="14">
        <v>4065</v>
      </c>
      <c r="B1014" s="13" t="s">
        <v>13603</v>
      </c>
      <c r="C1014" s="13" t="s">
        <v>13604</v>
      </c>
      <c r="D1014" s="13" t="s">
        <v>13564</v>
      </c>
      <c r="E1014" s="13" t="s">
        <v>1150</v>
      </c>
      <c r="F1014" s="15">
        <v>367</v>
      </c>
      <c r="G1014" s="15">
        <v>367</v>
      </c>
    </row>
    <row r="1015" spans="1:7">
      <c r="A1015" s="14">
        <v>4070</v>
      </c>
      <c r="B1015" s="13" t="s">
        <v>13605</v>
      </c>
      <c r="C1015" s="13" t="s">
        <v>13606</v>
      </c>
      <c r="D1015" s="13" t="s">
        <v>13564</v>
      </c>
      <c r="E1015" s="13" t="s">
        <v>1150</v>
      </c>
      <c r="F1015" s="15">
        <v>367</v>
      </c>
      <c r="G1015" s="15">
        <v>367</v>
      </c>
    </row>
    <row r="1016" spans="1:7">
      <c r="A1016" s="14">
        <v>4075</v>
      </c>
      <c r="B1016" s="13" t="s">
        <v>13607</v>
      </c>
      <c r="C1016" s="13" t="s">
        <v>13608</v>
      </c>
      <c r="D1016" s="13" t="s">
        <v>13564</v>
      </c>
      <c r="E1016" s="13" t="s">
        <v>1150</v>
      </c>
      <c r="F1016" s="15">
        <v>367</v>
      </c>
      <c r="G1016" s="15">
        <v>367</v>
      </c>
    </row>
    <row r="1017" spans="1:7">
      <c r="A1017" s="14">
        <v>4076</v>
      </c>
      <c r="B1017" s="13" t="s">
        <v>13609</v>
      </c>
      <c r="C1017" s="13" t="s">
        <v>13610</v>
      </c>
      <c r="D1017" s="13" t="s">
        <v>13564</v>
      </c>
      <c r="E1017" s="13" t="s">
        <v>1150</v>
      </c>
      <c r="F1017" s="15">
        <v>39965</v>
      </c>
      <c r="G1017" s="15">
        <v>39965</v>
      </c>
    </row>
    <row r="1018" spans="1:7">
      <c r="A1018" s="14">
        <v>4077</v>
      </c>
      <c r="B1018" s="13" t="s">
        <v>13611</v>
      </c>
      <c r="C1018" s="13" t="s">
        <v>13612</v>
      </c>
      <c r="D1018" s="13" t="s">
        <v>13564</v>
      </c>
      <c r="E1018" s="13" t="s">
        <v>1150</v>
      </c>
      <c r="F1018" s="15">
        <v>39965</v>
      </c>
      <c r="G1018" s="15">
        <v>39965</v>
      </c>
    </row>
    <row r="1019" spans="1:7">
      <c r="A1019" s="14">
        <v>4079</v>
      </c>
      <c r="B1019" s="13" t="s">
        <v>13613</v>
      </c>
      <c r="C1019" s="13" t="s">
        <v>13614</v>
      </c>
      <c r="D1019" s="13" t="s">
        <v>13564</v>
      </c>
      <c r="E1019" s="13" t="s">
        <v>1150</v>
      </c>
      <c r="F1019" s="15">
        <v>42429</v>
      </c>
      <c r="G1019" s="15">
        <v>42429</v>
      </c>
    </row>
    <row r="1020" spans="1:7">
      <c r="A1020" s="14">
        <v>4078</v>
      </c>
      <c r="B1020" s="13" t="s">
        <v>13615</v>
      </c>
      <c r="C1020" s="13" t="s">
        <v>11776</v>
      </c>
      <c r="D1020" s="13" t="s">
        <v>13564</v>
      </c>
      <c r="E1020" s="13" t="s">
        <v>1150</v>
      </c>
      <c r="F1020" s="15">
        <v>39965</v>
      </c>
      <c r="G1020" s="15">
        <v>39965</v>
      </c>
    </row>
    <row r="1021" spans="1:7">
      <c r="A1021" s="14">
        <v>4080</v>
      </c>
      <c r="B1021" s="13" t="s">
        <v>13616</v>
      </c>
      <c r="C1021" s="13" t="s">
        <v>13617</v>
      </c>
      <c r="D1021" s="13" t="s">
        <v>13564</v>
      </c>
      <c r="E1021" s="13" t="s">
        <v>1150</v>
      </c>
      <c r="F1021" s="15">
        <v>367</v>
      </c>
      <c r="G1021" s="15">
        <v>367</v>
      </c>
    </row>
    <row r="1022" spans="1:7">
      <c r="A1022" s="14">
        <v>4082</v>
      </c>
      <c r="B1022" s="13" t="s">
        <v>13618</v>
      </c>
      <c r="C1022" s="13" t="s">
        <v>12271</v>
      </c>
      <c r="D1022" s="13" t="s">
        <v>13564</v>
      </c>
      <c r="E1022" s="13" t="s">
        <v>1150</v>
      </c>
      <c r="F1022" s="15">
        <v>39965</v>
      </c>
      <c r="G1022" s="15">
        <v>39965</v>
      </c>
    </row>
    <row r="1023" spans="1:7">
      <c r="A1023" s="14">
        <v>4084</v>
      </c>
      <c r="B1023" s="13" t="s">
        <v>13619</v>
      </c>
      <c r="C1023" s="13" t="s">
        <v>13620</v>
      </c>
      <c r="D1023" s="13" t="s">
        <v>13564</v>
      </c>
      <c r="E1023" s="13" t="s">
        <v>1150</v>
      </c>
      <c r="F1023" s="15">
        <v>39965</v>
      </c>
      <c r="G1023" s="15">
        <v>39965</v>
      </c>
    </row>
    <row r="1024" spans="1:7">
      <c r="A1024" s="14">
        <v>4085</v>
      </c>
      <c r="B1024" s="13" t="s">
        <v>13621</v>
      </c>
      <c r="C1024" s="13" t="s">
        <v>13622</v>
      </c>
      <c r="D1024" s="13" t="s">
        <v>13564</v>
      </c>
      <c r="E1024" s="13" t="s">
        <v>1150</v>
      </c>
      <c r="F1024" s="15">
        <v>367</v>
      </c>
      <c r="G1024" s="15">
        <v>367</v>
      </c>
    </row>
    <row r="1025" spans="1:7">
      <c r="A1025" s="14">
        <v>4090</v>
      </c>
      <c r="B1025" s="13" t="s">
        <v>13623</v>
      </c>
      <c r="C1025" s="13" t="s">
        <v>11752</v>
      </c>
      <c r="D1025" s="13" t="s">
        <v>13564</v>
      </c>
      <c r="E1025" s="13" t="s">
        <v>1150</v>
      </c>
      <c r="F1025" s="15">
        <v>367</v>
      </c>
      <c r="G1025" s="15">
        <v>367</v>
      </c>
    </row>
    <row r="1026" spans="1:7">
      <c r="A1026" s="14">
        <v>4095</v>
      </c>
      <c r="B1026" s="13" t="s">
        <v>13624</v>
      </c>
      <c r="C1026" s="13" t="s">
        <v>13625</v>
      </c>
      <c r="D1026" s="13" t="s">
        <v>13564</v>
      </c>
      <c r="E1026" s="13" t="s">
        <v>1150</v>
      </c>
      <c r="F1026" s="15">
        <v>367</v>
      </c>
      <c r="G1026" s="15">
        <v>367</v>
      </c>
    </row>
    <row r="1027" spans="1:7">
      <c r="A1027" s="14">
        <v>4100</v>
      </c>
      <c r="B1027" s="13" t="s">
        <v>13626</v>
      </c>
      <c r="C1027" s="13" t="s">
        <v>13627</v>
      </c>
      <c r="D1027" s="13" t="s">
        <v>13564</v>
      </c>
      <c r="E1027" s="13" t="s">
        <v>1150</v>
      </c>
      <c r="F1027" s="15">
        <v>367</v>
      </c>
      <c r="G1027" s="15">
        <v>367</v>
      </c>
    </row>
    <row r="1028" spans="1:7">
      <c r="A1028" s="14">
        <v>4105</v>
      </c>
      <c r="B1028" s="13" t="s">
        <v>13628</v>
      </c>
      <c r="C1028" s="13" t="s">
        <v>13629</v>
      </c>
      <c r="D1028" s="13" t="s">
        <v>13564</v>
      </c>
      <c r="E1028" s="13" t="s">
        <v>1150</v>
      </c>
      <c r="F1028" s="15">
        <v>367</v>
      </c>
      <c r="G1028" s="15">
        <v>367</v>
      </c>
    </row>
    <row r="1029" spans="1:7">
      <c r="A1029" s="14">
        <v>4110</v>
      </c>
      <c r="B1029" s="13" t="s">
        <v>13630</v>
      </c>
      <c r="C1029" s="13" t="s">
        <v>13631</v>
      </c>
      <c r="D1029" s="13" t="s">
        <v>13564</v>
      </c>
      <c r="E1029" s="13" t="s">
        <v>1150</v>
      </c>
      <c r="F1029" s="15">
        <v>367</v>
      </c>
      <c r="G1029" s="15">
        <v>367</v>
      </c>
    </row>
    <row r="1030" spans="1:7">
      <c r="A1030" s="14">
        <v>4115</v>
      </c>
      <c r="B1030" s="13" t="s">
        <v>13632</v>
      </c>
      <c r="C1030" s="13" t="s">
        <v>13633</v>
      </c>
      <c r="D1030" s="13" t="s">
        <v>13564</v>
      </c>
      <c r="E1030" s="13" t="s">
        <v>1150</v>
      </c>
      <c r="F1030" s="15">
        <v>367</v>
      </c>
      <c r="G1030" s="15">
        <v>367</v>
      </c>
    </row>
    <row r="1031" spans="1:7">
      <c r="A1031" s="14">
        <v>4117</v>
      </c>
      <c r="B1031" s="13" t="s">
        <v>13634</v>
      </c>
      <c r="C1031" s="13" t="s">
        <v>11940</v>
      </c>
      <c r="D1031" s="13" t="s">
        <v>13564</v>
      </c>
      <c r="E1031" s="13" t="s">
        <v>1150</v>
      </c>
      <c r="F1031" s="15">
        <v>39995</v>
      </c>
      <c r="G1031" s="15">
        <v>39995</v>
      </c>
    </row>
    <row r="1032" spans="1:7">
      <c r="A1032" s="14">
        <v>4120</v>
      </c>
      <c r="B1032" s="13" t="s">
        <v>13635</v>
      </c>
      <c r="C1032" s="13" t="s">
        <v>13636</v>
      </c>
      <c r="D1032" s="13" t="s">
        <v>13564</v>
      </c>
      <c r="E1032" s="13" t="s">
        <v>1150</v>
      </c>
      <c r="F1032" s="15">
        <v>367</v>
      </c>
      <c r="G1032" s="15">
        <v>367</v>
      </c>
    </row>
    <row r="1033" spans="1:7">
      <c r="A1033" s="14">
        <v>4125</v>
      </c>
      <c r="B1033" s="13" t="s">
        <v>13637</v>
      </c>
      <c r="C1033" s="13" t="s">
        <v>13638</v>
      </c>
      <c r="D1033" s="13" t="s">
        <v>13564</v>
      </c>
      <c r="E1033" s="13" t="s">
        <v>1150</v>
      </c>
      <c r="F1033" s="15">
        <v>367</v>
      </c>
      <c r="G1033" s="15">
        <v>367</v>
      </c>
    </row>
    <row r="1034" spans="1:7">
      <c r="A1034" s="14">
        <v>4130</v>
      </c>
      <c r="B1034" s="13" t="s">
        <v>13639</v>
      </c>
      <c r="C1034" s="13" t="s">
        <v>13640</v>
      </c>
      <c r="D1034" s="13" t="s">
        <v>13564</v>
      </c>
      <c r="E1034" s="13" t="s">
        <v>1150</v>
      </c>
      <c r="F1034" s="15">
        <v>367</v>
      </c>
      <c r="G1034" s="15">
        <v>367</v>
      </c>
    </row>
    <row r="1035" spans="1:7">
      <c r="A1035" s="14">
        <v>4135</v>
      </c>
      <c r="B1035" s="13" t="s">
        <v>13641</v>
      </c>
      <c r="C1035" s="13" t="s">
        <v>13642</v>
      </c>
      <c r="D1035" s="13" t="s">
        <v>13564</v>
      </c>
      <c r="E1035" s="13" t="s">
        <v>1150</v>
      </c>
      <c r="F1035" s="15">
        <v>367</v>
      </c>
      <c r="G1035" s="15">
        <v>367</v>
      </c>
    </row>
    <row r="1036" spans="1:7">
      <c r="A1036" s="14">
        <v>4140</v>
      </c>
      <c r="B1036" s="13" t="s">
        <v>13643</v>
      </c>
      <c r="C1036" s="13" t="s">
        <v>13644</v>
      </c>
      <c r="D1036" s="13" t="s">
        <v>13564</v>
      </c>
      <c r="E1036" s="13" t="s">
        <v>1150</v>
      </c>
      <c r="F1036" s="15">
        <v>367</v>
      </c>
      <c r="G1036" s="15">
        <v>367</v>
      </c>
    </row>
    <row r="1037" spans="1:7">
      <c r="A1037" s="14">
        <v>4145</v>
      </c>
      <c r="B1037" s="13" t="s">
        <v>13645</v>
      </c>
      <c r="C1037" s="13" t="s">
        <v>13646</v>
      </c>
      <c r="D1037" s="13" t="s">
        <v>13564</v>
      </c>
      <c r="E1037" s="13" t="s">
        <v>1150</v>
      </c>
      <c r="F1037" s="15">
        <v>367</v>
      </c>
      <c r="G1037" s="15">
        <v>367</v>
      </c>
    </row>
    <row r="1038" spans="1:7">
      <c r="A1038" s="14">
        <v>4150</v>
      </c>
      <c r="B1038" s="13" t="s">
        <v>13647</v>
      </c>
      <c r="C1038" s="13" t="s">
        <v>13648</v>
      </c>
      <c r="D1038" s="13" t="s">
        <v>13564</v>
      </c>
      <c r="E1038" s="13" t="s">
        <v>1150</v>
      </c>
      <c r="F1038" s="15">
        <v>367</v>
      </c>
      <c r="G1038" s="15">
        <v>367</v>
      </c>
    </row>
    <row r="1039" spans="1:7">
      <c r="A1039" s="14">
        <v>4152</v>
      </c>
      <c r="B1039" s="13" t="s">
        <v>13649</v>
      </c>
      <c r="C1039" s="13" t="s">
        <v>13650</v>
      </c>
      <c r="D1039" s="13" t="s">
        <v>13564</v>
      </c>
      <c r="E1039" s="13" t="s">
        <v>1150</v>
      </c>
      <c r="F1039" s="15">
        <v>39965</v>
      </c>
      <c r="G1039" s="15">
        <v>39965</v>
      </c>
    </row>
    <row r="1040" spans="1:7">
      <c r="A1040" s="14">
        <v>4153</v>
      </c>
      <c r="B1040" s="13" t="s">
        <v>13651</v>
      </c>
      <c r="C1040" s="13" t="s">
        <v>13652</v>
      </c>
      <c r="D1040" s="13" t="s">
        <v>13564</v>
      </c>
      <c r="E1040" s="13" t="s">
        <v>1150</v>
      </c>
      <c r="F1040" s="15">
        <v>41518</v>
      </c>
      <c r="G1040" s="15">
        <v>41518</v>
      </c>
    </row>
    <row r="1041" spans="1:7">
      <c r="A1041" s="14">
        <v>4155</v>
      </c>
      <c r="B1041" s="13" t="s">
        <v>13653</v>
      </c>
      <c r="C1041" s="13" t="s">
        <v>13654</v>
      </c>
      <c r="D1041" s="13" t="s">
        <v>13564</v>
      </c>
      <c r="E1041" s="13" t="s">
        <v>1150</v>
      </c>
      <c r="F1041" s="15">
        <v>42662</v>
      </c>
      <c r="G1041" s="15">
        <v>42662</v>
      </c>
    </row>
    <row r="1042" spans="1:7">
      <c r="A1042" s="14">
        <v>4157</v>
      </c>
      <c r="B1042" s="13" t="s">
        <v>13655</v>
      </c>
      <c r="C1042" s="13" t="s">
        <v>13656</v>
      </c>
      <c r="D1042" s="13" t="s">
        <v>13564</v>
      </c>
      <c r="E1042" s="13" t="s">
        <v>1150</v>
      </c>
      <c r="F1042" s="15">
        <v>367</v>
      </c>
      <c r="G1042" s="15">
        <v>367</v>
      </c>
    </row>
    <row r="1043" spans="1:7">
      <c r="A1043" s="14">
        <v>4160</v>
      </c>
      <c r="B1043" s="13" t="s">
        <v>13657</v>
      </c>
      <c r="C1043" s="13" t="s">
        <v>13658</v>
      </c>
      <c r="D1043" s="13" t="s">
        <v>13564</v>
      </c>
      <c r="E1043" s="13" t="s">
        <v>1150</v>
      </c>
      <c r="F1043" s="15">
        <v>367</v>
      </c>
      <c r="G1043" s="15">
        <v>367</v>
      </c>
    </row>
    <row r="1044" spans="1:7">
      <c r="A1044" s="14">
        <v>4162</v>
      </c>
      <c r="B1044" s="13" t="s">
        <v>13659</v>
      </c>
      <c r="C1044" s="13" t="s">
        <v>13660</v>
      </c>
      <c r="D1044" s="13" t="s">
        <v>13564</v>
      </c>
      <c r="E1044" s="13" t="s">
        <v>1150</v>
      </c>
      <c r="F1044" s="15">
        <v>39965</v>
      </c>
      <c r="G1044" s="15">
        <v>39965</v>
      </c>
    </row>
    <row r="1045" spans="1:7">
      <c r="A1045" s="14">
        <v>4165</v>
      </c>
      <c r="B1045" s="13" t="s">
        <v>13661</v>
      </c>
      <c r="C1045" s="13" t="s">
        <v>13625</v>
      </c>
      <c r="D1045" s="13" t="s">
        <v>13564</v>
      </c>
      <c r="E1045" s="13" t="s">
        <v>1150</v>
      </c>
      <c r="F1045" s="15">
        <v>367</v>
      </c>
      <c r="G1045" s="15">
        <v>367</v>
      </c>
    </row>
    <row r="1046" spans="1:7">
      <c r="A1046" s="14">
        <v>4170</v>
      </c>
      <c r="B1046" s="13" t="s">
        <v>13662</v>
      </c>
      <c r="C1046" s="13" t="s">
        <v>13663</v>
      </c>
      <c r="D1046" s="13" t="s">
        <v>13564</v>
      </c>
      <c r="E1046" s="13" t="s">
        <v>1150</v>
      </c>
      <c r="F1046" s="15">
        <v>367</v>
      </c>
      <c r="G1046" s="15">
        <v>367</v>
      </c>
    </row>
    <row r="1047" spans="1:7">
      <c r="A1047" s="14">
        <v>4175</v>
      </c>
      <c r="B1047" s="13" t="s">
        <v>13664</v>
      </c>
      <c r="C1047" s="13" t="s">
        <v>13665</v>
      </c>
      <c r="D1047" s="13" t="s">
        <v>13564</v>
      </c>
      <c r="E1047" s="13" t="s">
        <v>1150</v>
      </c>
      <c r="F1047" s="15">
        <v>367</v>
      </c>
      <c r="G1047" s="15">
        <v>367</v>
      </c>
    </row>
    <row r="1048" spans="1:7">
      <c r="A1048" s="14">
        <v>4180</v>
      </c>
      <c r="B1048" s="13" t="s">
        <v>13666</v>
      </c>
      <c r="C1048" s="13" t="s">
        <v>13667</v>
      </c>
      <c r="D1048" s="13" t="s">
        <v>13564</v>
      </c>
      <c r="E1048" s="13" t="s">
        <v>1150</v>
      </c>
      <c r="F1048" s="15">
        <v>367</v>
      </c>
      <c r="G1048" s="15">
        <v>367</v>
      </c>
    </row>
    <row r="1049" spans="1:7">
      <c r="A1049" s="14">
        <v>4185</v>
      </c>
      <c r="B1049" s="13" t="s">
        <v>13668</v>
      </c>
      <c r="C1049" s="13" t="s">
        <v>13669</v>
      </c>
      <c r="D1049" s="13" t="s">
        <v>13564</v>
      </c>
      <c r="E1049" s="13" t="s">
        <v>1150</v>
      </c>
      <c r="F1049" s="15">
        <v>367</v>
      </c>
      <c r="G1049" s="15">
        <v>367</v>
      </c>
    </row>
    <row r="1050" spans="1:7">
      <c r="A1050" s="14">
        <v>4190</v>
      </c>
      <c r="B1050" s="13" t="s">
        <v>13670</v>
      </c>
      <c r="C1050" s="13" t="s">
        <v>13671</v>
      </c>
      <c r="D1050" s="13" t="s">
        <v>13564</v>
      </c>
      <c r="E1050" s="13" t="s">
        <v>1150</v>
      </c>
      <c r="F1050" s="15">
        <v>367</v>
      </c>
      <c r="G1050" s="15">
        <v>367</v>
      </c>
    </row>
    <row r="1051" spans="1:7">
      <c r="A1051" s="14">
        <v>4195</v>
      </c>
      <c r="B1051" s="13" t="s">
        <v>13672</v>
      </c>
      <c r="C1051" s="13" t="s">
        <v>13673</v>
      </c>
      <c r="D1051" s="13" t="s">
        <v>13564</v>
      </c>
      <c r="E1051" s="13" t="s">
        <v>1150</v>
      </c>
      <c r="F1051" s="15">
        <v>367</v>
      </c>
      <c r="G1051" s="15">
        <v>367</v>
      </c>
    </row>
    <row r="1052" spans="1:7">
      <c r="A1052" s="14">
        <v>4200</v>
      </c>
      <c r="B1052" s="13" t="s">
        <v>13674</v>
      </c>
      <c r="C1052" s="13" t="s">
        <v>13675</v>
      </c>
      <c r="D1052" s="13" t="s">
        <v>13564</v>
      </c>
      <c r="E1052" s="13" t="s">
        <v>1150</v>
      </c>
      <c r="F1052" s="15">
        <v>367</v>
      </c>
      <c r="G1052" s="15">
        <v>367</v>
      </c>
    </row>
    <row r="1053" spans="1:7">
      <c r="A1053" s="14">
        <v>4205</v>
      </c>
      <c r="B1053" s="13" t="s">
        <v>13676</v>
      </c>
      <c r="C1053" s="13" t="s">
        <v>13677</v>
      </c>
      <c r="D1053" s="13" t="s">
        <v>13564</v>
      </c>
      <c r="E1053" s="13" t="s">
        <v>1150</v>
      </c>
      <c r="F1053" s="15">
        <v>367</v>
      </c>
      <c r="G1053" s="15">
        <v>367</v>
      </c>
    </row>
    <row r="1054" spans="1:7">
      <c r="A1054" s="14">
        <v>4210</v>
      </c>
      <c r="B1054" s="13" t="s">
        <v>13678</v>
      </c>
      <c r="C1054" s="13" t="s">
        <v>13679</v>
      </c>
      <c r="D1054" s="13" t="s">
        <v>13564</v>
      </c>
      <c r="E1054" s="13" t="s">
        <v>1150</v>
      </c>
      <c r="F1054" s="15">
        <v>367</v>
      </c>
      <c r="G1054" s="15">
        <v>367</v>
      </c>
    </row>
    <row r="1055" spans="1:7">
      <c r="A1055" s="14">
        <v>4215</v>
      </c>
      <c r="B1055" s="13" t="s">
        <v>13680</v>
      </c>
      <c r="C1055" s="13" t="s">
        <v>13681</v>
      </c>
      <c r="D1055" s="13" t="s">
        <v>13564</v>
      </c>
      <c r="E1055" s="13" t="s">
        <v>1150</v>
      </c>
      <c r="F1055" s="15">
        <v>367</v>
      </c>
      <c r="G1055" s="15">
        <v>367</v>
      </c>
    </row>
    <row r="1056" spans="1:7">
      <c r="A1056" s="14">
        <v>4220</v>
      </c>
      <c r="B1056" s="13" t="s">
        <v>13682</v>
      </c>
      <c r="C1056" s="13" t="s">
        <v>13683</v>
      </c>
      <c r="D1056" s="13" t="s">
        <v>13564</v>
      </c>
      <c r="E1056" s="13" t="s">
        <v>1150</v>
      </c>
      <c r="F1056" s="15">
        <v>367</v>
      </c>
      <c r="G1056" s="15">
        <v>367</v>
      </c>
    </row>
    <row r="1057" spans="1:7">
      <c r="A1057" s="14">
        <v>4225</v>
      </c>
      <c r="B1057" s="13" t="s">
        <v>13684</v>
      </c>
      <c r="C1057" s="13" t="s">
        <v>13276</v>
      </c>
      <c r="D1057" s="13" t="s">
        <v>13564</v>
      </c>
      <c r="E1057" s="13" t="s">
        <v>1150</v>
      </c>
      <c r="F1057" s="15">
        <v>367</v>
      </c>
      <c r="G1057" s="15">
        <v>367</v>
      </c>
    </row>
    <row r="1058" spans="1:7">
      <c r="A1058" s="14">
        <v>4230</v>
      </c>
      <c r="B1058" s="13" t="s">
        <v>13685</v>
      </c>
      <c r="C1058" s="13" t="s">
        <v>13686</v>
      </c>
      <c r="D1058" s="13" t="s">
        <v>13564</v>
      </c>
      <c r="E1058" s="13" t="s">
        <v>1150</v>
      </c>
      <c r="F1058" s="15">
        <v>367</v>
      </c>
      <c r="G1058" s="15">
        <v>367</v>
      </c>
    </row>
    <row r="1059" spans="1:7">
      <c r="A1059" s="14">
        <v>4235</v>
      </c>
      <c r="B1059" s="13" t="s">
        <v>13687</v>
      </c>
      <c r="C1059" s="13" t="s">
        <v>13688</v>
      </c>
      <c r="D1059" s="13" t="s">
        <v>13564</v>
      </c>
      <c r="E1059" s="13" t="s">
        <v>1150</v>
      </c>
      <c r="F1059" s="15">
        <v>367</v>
      </c>
      <c r="G1059" s="15">
        <v>367</v>
      </c>
    </row>
    <row r="1060" spans="1:7">
      <c r="A1060" s="14">
        <v>4240</v>
      </c>
      <c r="B1060" s="13" t="s">
        <v>13689</v>
      </c>
      <c r="C1060" s="13" t="s">
        <v>13690</v>
      </c>
      <c r="D1060" s="13" t="s">
        <v>13564</v>
      </c>
      <c r="E1060" s="13" t="s">
        <v>1150</v>
      </c>
      <c r="F1060" s="15">
        <v>367</v>
      </c>
      <c r="G1060" s="15">
        <v>367</v>
      </c>
    </row>
    <row r="1061" spans="1:7">
      <c r="A1061" s="14">
        <v>4245</v>
      </c>
      <c r="B1061" s="13" t="s">
        <v>13691</v>
      </c>
      <c r="C1061" s="13" t="s">
        <v>13692</v>
      </c>
      <c r="D1061" s="13" t="s">
        <v>13564</v>
      </c>
      <c r="E1061" s="13" t="s">
        <v>1150</v>
      </c>
      <c r="F1061" s="15">
        <v>367</v>
      </c>
      <c r="G1061" s="15">
        <v>367</v>
      </c>
    </row>
    <row r="1062" spans="1:7">
      <c r="A1062" s="14">
        <v>4250</v>
      </c>
      <c r="B1062" s="13" t="s">
        <v>13693</v>
      </c>
      <c r="C1062" s="13" t="s">
        <v>13694</v>
      </c>
      <c r="D1062" s="13" t="s">
        <v>13564</v>
      </c>
      <c r="E1062" s="13" t="s">
        <v>1150</v>
      </c>
      <c r="F1062" s="15">
        <v>367</v>
      </c>
      <c r="G1062" s="15">
        <v>367</v>
      </c>
    </row>
    <row r="1063" spans="1:7">
      <c r="A1063" s="14">
        <v>4255</v>
      </c>
      <c r="B1063" s="13" t="s">
        <v>13695</v>
      </c>
      <c r="C1063" s="13" t="s">
        <v>13696</v>
      </c>
      <c r="D1063" s="13" t="s">
        <v>13564</v>
      </c>
      <c r="E1063" s="13" t="s">
        <v>1150</v>
      </c>
      <c r="F1063" s="15">
        <v>367</v>
      </c>
      <c r="G1063" s="15">
        <v>367</v>
      </c>
    </row>
    <row r="1064" spans="1:7">
      <c r="A1064" s="14">
        <v>4260</v>
      </c>
      <c r="B1064" s="13" t="s">
        <v>13697</v>
      </c>
      <c r="C1064" s="13" t="s">
        <v>13698</v>
      </c>
      <c r="D1064" s="13" t="s">
        <v>13564</v>
      </c>
      <c r="E1064" s="13" t="s">
        <v>1150</v>
      </c>
      <c r="F1064" s="15">
        <v>367</v>
      </c>
      <c r="G1064" s="15">
        <v>367</v>
      </c>
    </row>
    <row r="1065" spans="1:7">
      <c r="A1065" s="14">
        <v>4261</v>
      </c>
      <c r="B1065" s="13" t="s">
        <v>13699</v>
      </c>
      <c r="C1065" s="13" t="s">
        <v>13700</v>
      </c>
      <c r="D1065" s="13" t="s">
        <v>13564</v>
      </c>
      <c r="E1065" s="13" t="s">
        <v>1150</v>
      </c>
      <c r="F1065" s="15">
        <v>39965</v>
      </c>
      <c r="G1065" s="15">
        <v>39965</v>
      </c>
    </row>
    <row r="1066" spans="1:7">
      <c r="A1066" s="14">
        <v>4262</v>
      </c>
      <c r="B1066" s="13" t="s">
        <v>13701</v>
      </c>
      <c r="C1066" s="13" t="s">
        <v>13702</v>
      </c>
      <c r="D1066" s="13" t="s">
        <v>13564</v>
      </c>
      <c r="E1066" s="13" t="s">
        <v>1150</v>
      </c>
      <c r="F1066" s="15">
        <v>39965</v>
      </c>
      <c r="G1066" s="15">
        <v>39965</v>
      </c>
    </row>
    <row r="1067" spans="1:7">
      <c r="A1067" s="14">
        <v>4265</v>
      </c>
      <c r="B1067" s="13" t="s">
        <v>13703</v>
      </c>
      <c r="C1067" s="13" t="s">
        <v>13704</v>
      </c>
      <c r="D1067" s="13" t="s">
        <v>13564</v>
      </c>
      <c r="E1067" s="13" t="s">
        <v>1150</v>
      </c>
      <c r="F1067" s="15">
        <v>367</v>
      </c>
      <c r="G1067" s="15">
        <v>367</v>
      </c>
    </row>
    <row r="1068" spans="1:7">
      <c r="A1068" s="14">
        <v>4267</v>
      </c>
      <c r="B1068" s="13" t="s">
        <v>13705</v>
      </c>
      <c r="C1068" s="13" t="s">
        <v>13706</v>
      </c>
      <c r="D1068" s="13" t="s">
        <v>13564</v>
      </c>
      <c r="E1068" s="13" t="s">
        <v>1150</v>
      </c>
      <c r="F1068" s="15">
        <v>44378</v>
      </c>
      <c r="G1068" s="15">
        <v>44378</v>
      </c>
    </row>
    <row r="1069" spans="1:7">
      <c r="A1069" s="14">
        <v>4270</v>
      </c>
      <c r="B1069" s="13" t="s">
        <v>13707</v>
      </c>
      <c r="C1069" s="13" t="s">
        <v>13708</v>
      </c>
      <c r="D1069" s="13" t="s">
        <v>13564</v>
      </c>
      <c r="E1069" s="13" t="s">
        <v>1150</v>
      </c>
      <c r="F1069" s="15">
        <v>367</v>
      </c>
      <c r="G1069" s="15">
        <v>367</v>
      </c>
    </row>
    <row r="1070" spans="1:7">
      <c r="A1070" s="14">
        <v>4275</v>
      </c>
      <c r="B1070" s="13" t="s">
        <v>13709</v>
      </c>
      <c r="C1070" s="13" t="s">
        <v>13710</v>
      </c>
      <c r="D1070" s="13" t="s">
        <v>13564</v>
      </c>
      <c r="E1070" s="13" t="s">
        <v>1150</v>
      </c>
      <c r="F1070" s="15">
        <v>367</v>
      </c>
      <c r="G1070" s="15">
        <v>367</v>
      </c>
    </row>
    <row r="1071" spans="1:7">
      <c r="A1071" s="14">
        <v>4280</v>
      </c>
      <c r="B1071" s="13" t="s">
        <v>13711</v>
      </c>
      <c r="C1071" s="13" t="s">
        <v>13712</v>
      </c>
      <c r="D1071" s="13" t="s">
        <v>13564</v>
      </c>
      <c r="E1071" s="13" t="s">
        <v>1150</v>
      </c>
      <c r="F1071" s="15">
        <v>367</v>
      </c>
      <c r="G1071" s="15">
        <v>367</v>
      </c>
    </row>
    <row r="1072" spans="1:7">
      <c r="A1072" s="14">
        <v>4285</v>
      </c>
      <c r="B1072" s="13" t="s">
        <v>13713</v>
      </c>
      <c r="C1072" s="13" t="s">
        <v>13714</v>
      </c>
      <c r="D1072" s="13" t="s">
        <v>13564</v>
      </c>
      <c r="E1072" s="13" t="s">
        <v>1150</v>
      </c>
      <c r="F1072" s="15">
        <v>367</v>
      </c>
      <c r="G1072" s="15">
        <v>367</v>
      </c>
    </row>
    <row r="1073" spans="1:7">
      <c r="A1073" s="14">
        <v>4290</v>
      </c>
      <c r="B1073" s="13" t="s">
        <v>13715</v>
      </c>
      <c r="C1073" s="13" t="s">
        <v>13716</v>
      </c>
      <c r="D1073" s="13" t="s">
        <v>13564</v>
      </c>
      <c r="E1073" s="13" t="s">
        <v>1150</v>
      </c>
      <c r="F1073" s="15">
        <v>367</v>
      </c>
      <c r="G1073" s="15">
        <v>367</v>
      </c>
    </row>
    <row r="1074" spans="1:7">
      <c r="A1074" s="14">
        <v>4295</v>
      </c>
      <c r="B1074" s="13" t="s">
        <v>13717</v>
      </c>
      <c r="C1074" s="13" t="s">
        <v>13718</v>
      </c>
      <c r="D1074" s="13" t="s">
        <v>13564</v>
      </c>
      <c r="E1074" s="13" t="s">
        <v>1150</v>
      </c>
      <c r="F1074" s="15">
        <v>367</v>
      </c>
      <c r="G1074" s="15">
        <v>367</v>
      </c>
    </row>
    <row r="1075" spans="1:7">
      <c r="A1075" s="14">
        <v>4300</v>
      </c>
      <c r="B1075" s="13" t="s">
        <v>13719</v>
      </c>
      <c r="C1075" s="13" t="s">
        <v>13720</v>
      </c>
      <c r="D1075" s="13" t="s">
        <v>13564</v>
      </c>
      <c r="E1075" s="13" t="s">
        <v>1150</v>
      </c>
      <c r="F1075" s="15">
        <v>367</v>
      </c>
      <c r="G1075" s="15">
        <v>367</v>
      </c>
    </row>
    <row r="1076" spans="1:7">
      <c r="A1076" s="14">
        <v>4305</v>
      </c>
      <c r="B1076" s="13" t="s">
        <v>13721</v>
      </c>
      <c r="C1076" s="13" t="s">
        <v>13722</v>
      </c>
      <c r="D1076" s="13" t="s">
        <v>13564</v>
      </c>
      <c r="E1076" s="13" t="s">
        <v>1150</v>
      </c>
      <c r="F1076" s="15">
        <v>367</v>
      </c>
      <c r="G1076" s="15">
        <v>367</v>
      </c>
    </row>
    <row r="1077" spans="1:7">
      <c r="A1077" s="14">
        <v>4310</v>
      </c>
      <c r="B1077" s="13" t="s">
        <v>13723</v>
      </c>
      <c r="C1077" s="13" t="s">
        <v>13724</v>
      </c>
      <c r="D1077" s="13" t="s">
        <v>13564</v>
      </c>
      <c r="E1077" s="13" t="s">
        <v>1150</v>
      </c>
      <c r="F1077" s="15">
        <v>367</v>
      </c>
      <c r="G1077" s="15">
        <v>367</v>
      </c>
    </row>
    <row r="1078" spans="1:7">
      <c r="A1078" s="14">
        <v>4315</v>
      </c>
      <c r="B1078" s="13" t="s">
        <v>13725</v>
      </c>
      <c r="C1078" s="13" t="s">
        <v>13726</v>
      </c>
      <c r="D1078" s="13" t="s">
        <v>13564</v>
      </c>
      <c r="E1078" s="13" t="s">
        <v>1150</v>
      </c>
      <c r="F1078" s="15">
        <v>367</v>
      </c>
      <c r="G1078" s="15">
        <v>367</v>
      </c>
    </row>
    <row r="1079" spans="1:7">
      <c r="A1079" s="14">
        <v>4320</v>
      </c>
      <c r="B1079" s="13" t="s">
        <v>13727</v>
      </c>
      <c r="C1079" s="13" t="s">
        <v>13728</v>
      </c>
      <c r="D1079" s="13" t="s">
        <v>13564</v>
      </c>
      <c r="E1079" s="13" t="s">
        <v>1150</v>
      </c>
      <c r="F1079" s="15">
        <v>367</v>
      </c>
      <c r="G1079" s="15">
        <v>367</v>
      </c>
    </row>
    <row r="1080" spans="1:7">
      <c r="A1080" s="14">
        <v>4325</v>
      </c>
      <c r="B1080" s="13" t="s">
        <v>13729</v>
      </c>
      <c r="C1080" s="13" t="s">
        <v>13730</v>
      </c>
      <c r="D1080" s="13" t="s">
        <v>13564</v>
      </c>
      <c r="E1080" s="13" t="s">
        <v>1150</v>
      </c>
      <c r="F1080" s="15">
        <v>367</v>
      </c>
      <c r="G1080" s="15">
        <v>367</v>
      </c>
    </row>
    <row r="1081" spans="1:7">
      <c r="A1081" s="14">
        <v>4330</v>
      </c>
      <c r="B1081" s="13" t="s">
        <v>13731</v>
      </c>
      <c r="C1081" s="13" t="s">
        <v>13732</v>
      </c>
      <c r="D1081" s="13" t="s">
        <v>13564</v>
      </c>
      <c r="E1081" s="13" t="s">
        <v>1150</v>
      </c>
      <c r="F1081" s="15">
        <v>367</v>
      </c>
      <c r="G1081" s="15">
        <v>367</v>
      </c>
    </row>
    <row r="1082" spans="1:7">
      <c r="A1082" s="14">
        <v>4332</v>
      </c>
      <c r="B1082" s="13" t="s">
        <v>13733</v>
      </c>
      <c r="C1082" s="13" t="s">
        <v>13734</v>
      </c>
      <c r="D1082" s="13" t="s">
        <v>13564</v>
      </c>
      <c r="E1082" s="13" t="s">
        <v>1150</v>
      </c>
      <c r="F1082" s="15">
        <v>39965</v>
      </c>
      <c r="G1082" s="15">
        <v>39965</v>
      </c>
    </row>
    <row r="1083" spans="1:7">
      <c r="A1083" s="14">
        <v>4335</v>
      </c>
      <c r="B1083" s="13" t="s">
        <v>13735</v>
      </c>
      <c r="C1083" s="13" t="s">
        <v>13736</v>
      </c>
      <c r="D1083" s="13" t="s">
        <v>13564</v>
      </c>
      <c r="E1083" s="13" t="s">
        <v>1150</v>
      </c>
      <c r="F1083" s="15">
        <v>367</v>
      </c>
      <c r="G1083" s="15">
        <v>367</v>
      </c>
    </row>
    <row r="1084" spans="1:7">
      <c r="A1084" s="14">
        <v>4340</v>
      </c>
      <c r="B1084" s="13" t="s">
        <v>13737</v>
      </c>
      <c r="C1084" s="13" t="s">
        <v>13738</v>
      </c>
      <c r="D1084" s="13" t="s">
        <v>13564</v>
      </c>
      <c r="E1084" s="13" t="s">
        <v>1150</v>
      </c>
      <c r="F1084" s="15">
        <v>367</v>
      </c>
      <c r="G1084" s="15">
        <v>367</v>
      </c>
    </row>
    <row r="1085" spans="1:7">
      <c r="A1085" s="14">
        <v>4345</v>
      </c>
      <c r="B1085" s="13" t="s">
        <v>13739</v>
      </c>
      <c r="C1085" s="13" t="s">
        <v>13740</v>
      </c>
      <c r="D1085" s="13" t="s">
        <v>13564</v>
      </c>
      <c r="E1085" s="13" t="s">
        <v>1150</v>
      </c>
      <c r="F1085" s="15">
        <v>367</v>
      </c>
      <c r="G1085" s="15">
        <v>367</v>
      </c>
    </row>
    <row r="1086" spans="1:7">
      <c r="A1086" s="14">
        <v>4350</v>
      </c>
      <c r="B1086" s="13" t="s">
        <v>13741</v>
      </c>
      <c r="C1086" s="13" t="s">
        <v>13742</v>
      </c>
      <c r="D1086" s="13" t="s">
        <v>13564</v>
      </c>
      <c r="E1086" s="13" t="s">
        <v>1150</v>
      </c>
      <c r="F1086" s="15">
        <v>367</v>
      </c>
      <c r="G1086" s="15">
        <v>367</v>
      </c>
    </row>
    <row r="1087" spans="1:7">
      <c r="A1087" s="14">
        <v>4355</v>
      </c>
      <c r="B1087" s="13" t="s">
        <v>13743</v>
      </c>
      <c r="C1087" s="13" t="s">
        <v>13744</v>
      </c>
      <c r="D1087" s="13" t="s">
        <v>13564</v>
      </c>
      <c r="E1087" s="13" t="s">
        <v>1150</v>
      </c>
      <c r="F1087" s="15">
        <v>367</v>
      </c>
      <c r="G1087" s="15">
        <v>367</v>
      </c>
    </row>
    <row r="1088" spans="1:7">
      <c r="A1088" s="14">
        <v>4360</v>
      </c>
      <c r="B1088" s="13" t="s">
        <v>13745</v>
      </c>
      <c r="C1088" s="13" t="s">
        <v>13583</v>
      </c>
      <c r="D1088" s="13" t="s">
        <v>13564</v>
      </c>
      <c r="E1088" s="13" t="s">
        <v>1150</v>
      </c>
      <c r="F1088" s="15">
        <v>367</v>
      </c>
      <c r="G1088" s="15">
        <v>367</v>
      </c>
    </row>
    <row r="1089" spans="1:7">
      <c r="A1089" s="14">
        <v>4365</v>
      </c>
      <c r="B1089" s="13" t="s">
        <v>13746</v>
      </c>
      <c r="C1089" s="13" t="s">
        <v>13747</v>
      </c>
      <c r="D1089" s="13" t="s">
        <v>13564</v>
      </c>
      <c r="E1089" s="13" t="s">
        <v>1150</v>
      </c>
      <c r="F1089" s="15">
        <v>367</v>
      </c>
      <c r="G1089" s="15">
        <v>367</v>
      </c>
    </row>
    <row r="1090" spans="1:7">
      <c r="A1090" s="14">
        <v>4370</v>
      </c>
      <c r="B1090" s="13" t="s">
        <v>13748</v>
      </c>
      <c r="C1090" s="13" t="s">
        <v>13749</v>
      </c>
      <c r="D1090" s="13" t="s">
        <v>13564</v>
      </c>
      <c r="E1090" s="13" t="s">
        <v>1150</v>
      </c>
      <c r="F1090" s="15">
        <v>367</v>
      </c>
      <c r="G1090" s="15">
        <v>367</v>
      </c>
    </row>
    <row r="1091" spans="1:7">
      <c r="A1091" s="14">
        <v>4375</v>
      </c>
      <c r="B1091" s="13" t="s">
        <v>13750</v>
      </c>
      <c r="C1091" s="13" t="s">
        <v>13751</v>
      </c>
      <c r="D1091" s="13" t="s">
        <v>13564</v>
      </c>
      <c r="E1091" s="13" t="s">
        <v>1150</v>
      </c>
      <c r="F1091" s="15">
        <v>367</v>
      </c>
      <c r="G1091" s="15">
        <v>367</v>
      </c>
    </row>
    <row r="1092" spans="1:7">
      <c r="A1092" s="14">
        <v>4380</v>
      </c>
      <c r="B1092" s="13" t="s">
        <v>13752</v>
      </c>
      <c r="C1092" s="13" t="s">
        <v>13753</v>
      </c>
      <c r="D1092" s="13" t="s">
        <v>13564</v>
      </c>
      <c r="E1092" s="13" t="s">
        <v>1150</v>
      </c>
      <c r="F1092" s="15">
        <v>367</v>
      </c>
      <c r="G1092" s="15">
        <v>367</v>
      </c>
    </row>
    <row r="1093" spans="1:7">
      <c r="A1093" s="14">
        <v>4382</v>
      </c>
      <c r="B1093" s="13" t="s">
        <v>13754</v>
      </c>
      <c r="C1093" s="13" t="s">
        <v>13755</v>
      </c>
      <c r="D1093" s="13" t="s">
        <v>13564</v>
      </c>
      <c r="E1093" s="13" t="s">
        <v>1150</v>
      </c>
      <c r="F1093" s="15">
        <v>42429</v>
      </c>
      <c r="G1093" s="15">
        <v>42429</v>
      </c>
    </row>
    <row r="1094" spans="1:7">
      <c r="A1094" s="14">
        <v>4383</v>
      </c>
      <c r="B1094" s="13" t="s">
        <v>13756</v>
      </c>
      <c r="C1094" s="13" t="s">
        <v>13757</v>
      </c>
      <c r="D1094" s="13" t="s">
        <v>13564</v>
      </c>
      <c r="E1094" s="13" t="s">
        <v>1150</v>
      </c>
      <c r="F1094" s="15">
        <v>39965</v>
      </c>
      <c r="G1094" s="15">
        <v>39965</v>
      </c>
    </row>
    <row r="1095" spans="1:7">
      <c r="A1095" s="14">
        <v>4385</v>
      </c>
      <c r="B1095" s="13" t="s">
        <v>13758</v>
      </c>
      <c r="C1095" s="13" t="s">
        <v>13759</v>
      </c>
      <c r="D1095" s="13" t="s">
        <v>13564</v>
      </c>
      <c r="E1095" s="13" t="s">
        <v>1150</v>
      </c>
      <c r="F1095" s="15">
        <v>367</v>
      </c>
      <c r="G1095" s="15">
        <v>367</v>
      </c>
    </row>
    <row r="1096" spans="1:7">
      <c r="A1096" s="14">
        <v>4390</v>
      </c>
      <c r="B1096" s="13" t="s">
        <v>13760</v>
      </c>
      <c r="C1096" s="13" t="s">
        <v>13761</v>
      </c>
      <c r="D1096" s="13" t="s">
        <v>13564</v>
      </c>
      <c r="E1096" s="13" t="s">
        <v>1150</v>
      </c>
      <c r="F1096" s="15">
        <v>367</v>
      </c>
      <c r="G1096" s="15">
        <v>367</v>
      </c>
    </row>
    <row r="1097" spans="1:7">
      <c r="A1097" s="14">
        <v>4395</v>
      </c>
      <c r="B1097" s="13" t="s">
        <v>13762</v>
      </c>
      <c r="C1097" s="13" t="s">
        <v>13763</v>
      </c>
      <c r="D1097" s="13" t="s">
        <v>13564</v>
      </c>
      <c r="E1097" s="13" t="s">
        <v>1150</v>
      </c>
      <c r="F1097" s="15">
        <v>367</v>
      </c>
      <c r="G1097" s="15">
        <v>367</v>
      </c>
    </row>
    <row r="1098" spans="1:7">
      <c r="A1098" s="14">
        <v>4400</v>
      </c>
      <c r="B1098" s="13" t="s">
        <v>13764</v>
      </c>
      <c r="C1098" s="13" t="s">
        <v>13765</v>
      </c>
      <c r="D1098" s="13" t="s">
        <v>13564</v>
      </c>
      <c r="E1098" s="13" t="s">
        <v>1150</v>
      </c>
      <c r="F1098" s="15">
        <v>367</v>
      </c>
      <c r="G1098" s="15">
        <v>367</v>
      </c>
    </row>
    <row r="1099" spans="1:7">
      <c r="A1099" s="14">
        <v>4405</v>
      </c>
      <c r="B1099" s="13" t="s">
        <v>13766</v>
      </c>
      <c r="C1099" s="13" t="s">
        <v>13767</v>
      </c>
      <c r="D1099" s="13" t="s">
        <v>13564</v>
      </c>
      <c r="E1099" s="13" t="s">
        <v>1150</v>
      </c>
      <c r="F1099" s="15">
        <v>367</v>
      </c>
      <c r="G1099" s="15">
        <v>367</v>
      </c>
    </row>
    <row r="1100" spans="1:7">
      <c r="A1100" s="14">
        <v>4407</v>
      </c>
      <c r="B1100" s="13" t="s">
        <v>13768</v>
      </c>
      <c r="C1100" s="13" t="s">
        <v>13769</v>
      </c>
      <c r="D1100" s="13" t="s">
        <v>13564</v>
      </c>
      <c r="E1100" s="13" t="s">
        <v>1150</v>
      </c>
      <c r="F1100" s="15">
        <v>37622</v>
      </c>
      <c r="G1100" s="15">
        <v>37622</v>
      </c>
    </row>
    <row r="1101" spans="1:7">
      <c r="A1101" s="14">
        <v>4410</v>
      </c>
      <c r="B1101" s="13" t="s">
        <v>13770</v>
      </c>
      <c r="C1101" s="13" t="s">
        <v>12796</v>
      </c>
      <c r="D1101" s="13" t="s">
        <v>13564</v>
      </c>
      <c r="E1101" s="13" t="s">
        <v>1150</v>
      </c>
      <c r="F1101" s="15">
        <v>367</v>
      </c>
      <c r="G1101" s="15">
        <v>367</v>
      </c>
    </row>
    <row r="1102" spans="1:7">
      <c r="A1102" s="14">
        <v>4411</v>
      </c>
      <c r="B1102" s="13" t="s">
        <v>13771</v>
      </c>
      <c r="C1102" s="13" t="s">
        <v>13772</v>
      </c>
      <c r="D1102" s="13" t="s">
        <v>13773</v>
      </c>
      <c r="E1102" s="13" t="s">
        <v>1150</v>
      </c>
      <c r="F1102" s="15">
        <v>39083</v>
      </c>
      <c r="G1102" s="15">
        <v>39083</v>
      </c>
    </row>
    <row r="1103" spans="1:7">
      <c r="A1103" s="14">
        <v>4415</v>
      </c>
      <c r="B1103" s="13" t="s">
        <v>13774</v>
      </c>
      <c r="C1103" s="13" t="s">
        <v>13775</v>
      </c>
      <c r="D1103" s="13" t="s">
        <v>13564</v>
      </c>
      <c r="E1103" s="13" t="s">
        <v>1150</v>
      </c>
      <c r="F1103" s="15">
        <v>367</v>
      </c>
      <c r="G1103" s="15">
        <v>367</v>
      </c>
    </row>
    <row r="1104" spans="1:7">
      <c r="A1104" s="14">
        <v>4416</v>
      </c>
      <c r="B1104" s="13" t="s">
        <v>13776</v>
      </c>
      <c r="C1104" s="13" t="s">
        <v>13777</v>
      </c>
      <c r="D1104" s="13" t="s">
        <v>13564</v>
      </c>
      <c r="E1104" s="13" t="s">
        <v>1150</v>
      </c>
      <c r="F1104" s="15">
        <v>44378</v>
      </c>
      <c r="G1104" s="15">
        <v>44378</v>
      </c>
    </row>
    <row r="1105" spans="1:7">
      <c r="A1105" s="14">
        <v>4420</v>
      </c>
      <c r="B1105" s="13" t="s">
        <v>13778</v>
      </c>
      <c r="C1105" s="13" t="s">
        <v>13779</v>
      </c>
      <c r="D1105" s="13" t="s">
        <v>13564</v>
      </c>
      <c r="E1105" s="13" t="s">
        <v>1150</v>
      </c>
      <c r="F1105" s="15">
        <v>367</v>
      </c>
      <c r="G1105" s="15">
        <v>367</v>
      </c>
    </row>
    <row r="1106" spans="1:7">
      <c r="A1106" s="14">
        <v>4425</v>
      </c>
      <c r="B1106" s="13" t="s">
        <v>13780</v>
      </c>
      <c r="C1106" s="13" t="s">
        <v>13781</v>
      </c>
      <c r="D1106" s="13" t="s">
        <v>13564</v>
      </c>
      <c r="E1106" s="13" t="s">
        <v>1150</v>
      </c>
      <c r="F1106" s="15">
        <v>367</v>
      </c>
      <c r="G1106" s="15">
        <v>367</v>
      </c>
    </row>
    <row r="1107" spans="1:7">
      <c r="A1107" s="14">
        <v>4430</v>
      </c>
      <c r="B1107" s="13" t="s">
        <v>13782</v>
      </c>
      <c r="C1107" s="13" t="s">
        <v>13783</v>
      </c>
      <c r="D1107" s="13" t="s">
        <v>13564</v>
      </c>
      <c r="E1107" s="13" t="s">
        <v>1150</v>
      </c>
      <c r="F1107" s="15">
        <v>367</v>
      </c>
      <c r="G1107" s="15">
        <v>367</v>
      </c>
    </row>
    <row r="1108" spans="1:7">
      <c r="A1108" s="14">
        <v>4435</v>
      </c>
      <c r="B1108" s="13" t="s">
        <v>13784</v>
      </c>
      <c r="C1108" s="13" t="s">
        <v>13785</v>
      </c>
      <c r="D1108" s="13" t="s">
        <v>13564</v>
      </c>
      <c r="E1108" s="13" t="s">
        <v>1150</v>
      </c>
      <c r="F1108" s="15">
        <v>367</v>
      </c>
      <c r="G1108" s="15">
        <v>367</v>
      </c>
    </row>
    <row r="1109" spans="1:7">
      <c r="A1109" s="14">
        <v>4440</v>
      </c>
      <c r="B1109" s="13" t="s">
        <v>13786</v>
      </c>
      <c r="C1109" s="13" t="s">
        <v>13787</v>
      </c>
      <c r="D1109" s="13" t="s">
        <v>13564</v>
      </c>
      <c r="E1109" s="13" t="s">
        <v>1150</v>
      </c>
      <c r="F1109" s="15">
        <v>367</v>
      </c>
      <c r="G1109" s="15">
        <v>367</v>
      </c>
    </row>
    <row r="1110" spans="1:7">
      <c r="A1110" s="14">
        <v>4445</v>
      </c>
      <c r="B1110" s="13" t="s">
        <v>13788</v>
      </c>
      <c r="C1110" s="13" t="s">
        <v>13789</v>
      </c>
      <c r="D1110" s="13" t="s">
        <v>13564</v>
      </c>
      <c r="E1110" s="13" t="s">
        <v>1150</v>
      </c>
      <c r="F1110" s="15">
        <v>367</v>
      </c>
      <c r="G1110" s="15">
        <v>367</v>
      </c>
    </row>
    <row r="1111" spans="1:7">
      <c r="A1111" s="14">
        <v>4450</v>
      </c>
      <c r="B1111" s="13" t="s">
        <v>13790</v>
      </c>
      <c r="C1111" s="13" t="s">
        <v>13791</v>
      </c>
      <c r="D1111" s="13" t="s">
        <v>13564</v>
      </c>
      <c r="E1111" s="13" t="s">
        <v>1150</v>
      </c>
      <c r="F1111" s="15">
        <v>367</v>
      </c>
      <c r="G1111" s="15">
        <v>367</v>
      </c>
    </row>
    <row r="1112" spans="1:7">
      <c r="A1112" s="14">
        <v>4455</v>
      </c>
      <c r="B1112" s="13" t="s">
        <v>13792</v>
      </c>
      <c r="C1112" s="13" t="s">
        <v>13793</v>
      </c>
      <c r="D1112" s="13" t="s">
        <v>13564</v>
      </c>
      <c r="E1112" s="13" t="s">
        <v>1150</v>
      </c>
      <c r="F1112" s="15">
        <v>367</v>
      </c>
      <c r="G1112" s="15">
        <v>367</v>
      </c>
    </row>
    <row r="1113" spans="1:7">
      <c r="A1113" s="14">
        <v>4457</v>
      </c>
      <c r="B1113" s="13" t="s">
        <v>13794</v>
      </c>
      <c r="C1113" s="13" t="s">
        <v>13795</v>
      </c>
      <c r="D1113" s="13" t="s">
        <v>13564</v>
      </c>
      <c r="E1113" s="13" t="s">
        <v>1150</v>
      </c>
      <c r="F1113" s="15">
        <v>39965</v>
      </c>
      <c r="G1113" s="15">
        <v>39965</v>
      </c>
    </row>
    <row r="1114" spans="1:7">
      <c r="A1114" s="14">
        <v>4462</v>
      </c>
      <c r="B1114" s="13" t="s">
        <v>13796</v>
      </c>
      <c r="C1114" s="13" t="s">
        <v>13797</v>
      </c>
      <c r="D1114" s="13" t="s">
        <v>13564</v>
      </c>
      <c r="E1114" s="13" t="s">
        <v>1150</v>
      </c>
      <c r="F1114" s="15">
        <v>39965</v>
      </c>
      <c r="G1114" s="15">
        <v>39965</v>
      </c>
    </row>
    <row r="1115" spans="1:7">
      <c r="A1115" s="14">
        <v>4460</v>
      </c>
      <c r="B1115" s="13" t="s">
        <v>13798</v>
      </c>
      <c r="C1115" s="13" t="s">
        <v>13799</v>
      </c>
      <c r="D1115" s="13" t="s">
        <v>13564</v>
      </c>
      <c r="E1115" s="13" t="s">
        <v>1150</v>
      </c>
      <c r="F1115" s="15">
        <v>367</v>
      </c>
      <c r="G1115" s="15">
        <v>367</v>
      </c>
    </row>
    <row r="1116" spans="1:7">
      <c r="A1116" s="14">
        <v>4465</v>
      </c>
      <c r="B1116" s="13" t="s">
        <v>13800</v>
      </c>
      <c r="C1116" s="13" t="s">
        <v>13801</v>
      </c>
      <c r="D1116" s="13" t="s">
        <v>13564</v>
      </c>
      <c r="E1116" s="13" t="s">
        <v>1150</v>
      </c>
      <c r="F1116" s="15">
        <v>367</v>
      </c>
      <c r="G1116" s="15">
        <v>367</v>
      </c>
    </row>
    <row r="1117" spans="1:7">
      <c r="A1117" s="14">
        <v>4470</v>
      </c>
      <c r="B1117" s="13" t="s">
        <v>13802</v>
      </c>
      <c r="C1117" s="13" t="s">
        <v>13803</v>
      </c>
      <c r="D1117" s="13" t="s">
        <v>13564</v>
      </c>
      <c r="E1117" s="13" t="s">
        <v>1150</v>
      </c>
      <c r="F1117" s="15">
        <v>367</v>
      </c>
      <c r="G1117" s="15">
        <v>367</v>
      </c>
    </row>
    <row r="1118" spans="1:7">
      <c r="A1118" s="14">
        <v>4475</v>
      </c>
      <c r="B1118" s="13" t="s">
        <v>13804</v>
      </c>
      <c r="C1118" s="13" t="s">
        <v>13805</v>
      </c>
      <c r="D1118" s="13" t="s">
        <v>13564</v>
      </c>
      <c r="E1118" s="13" t="s">
        <v>1150</v>
      </c>
      <c r="F1118" s="15">
        <v>367</v>
      </c>
      <c r="G1118" s="15">
        <v>367</v>
      </c>
    </row>
    <row r="1119" spans="1:7">
      <c r="A1119" s="14">
        <v>4480</v>
      </c>
      <c r="B1119" s="13" t="s">
        <v>13806</v>
      </c>
      <c r="C1119" s="13" t="s">
        <v>13807</v>
      </c>
      <c r="D1119" s="13" t="s">
        <v>13564</v>
      </c>
      <c r="E1119" s="13" t="s">
        <v>1150</v>
      </c>
      <c r="F1119" s="15">
        <v>367</v>
      </c>
      <c r="G1119" s="15">
        <v>367</v>
      </c>
    </row>
    <row r="1120" spans="1:7">
      <c r="A1120" s="14">
        <v>4485</v>
      </c>
      <c r="B1120" s="13" t="s">
        <v>13808</v>
      </c>
      <c r="C1120" s="13" t="s">
        <v>13809</v>
      </c>
      <c r="D1120" s="13" t="s">
        <v>13564</v>
      </c>
      <c r="E1120" s="13" t="s">
        <v>1150</v>
      </c>
      <c r="F1120" s="15">
        <v>367</v>
      </c>
      <c r="G1120" s="15">
        <v>367</v>
      </c>
    </row>
    <row r="1121" spans="1:7">
      <c r="A1121" s="14">
        <v>4490</v>
      </c>
      <c r="B1121" s="13" t="s">
        <v>13810</v>
      </c>
      <c r="C1121" s="13" t="s">
        <v>13811</v>
      </c>
      <c r="D1121" s="13" t="s">
        <v>13564</v>
      </c>
      <c r="E1121" s="13" t="s">
        <v>1150</v>
      </c>
      <c r="F1121" s="15">
        <v>367</v>
      </c>
      <c r="G1121" s="15">
        <v>367</v>
      </c>
    </row>
    <row r="1122" spans="1:7">
      <c r="A1122" s="14">
        <v>4495</v>
      </c>
      <c r="B1122" s="13" t="s">
        <v>13812</v>
      </c>
      <c r="C1122" s="13" t="s">
        <v>13813</v>
      </c>
      <c r="D1122" s="13" t="s">
        <v>13564</v>
      </c>
      <c r="E1122" s="13" t="s">
        <v>1150</v>
      </c>
      <c r="F1122" s="15">
        <v>367</v>
      </c>
      <c r="G1122" s="15">
        <v>367</v>
      </c>
    </row>
    <row r="1123" spans="1:7">
      <c r="A1123" s="14">
        <v>4500</v>
      </c>
      <c r="B1123" s="13" t="s">
        <v>13814</v>
      </c>
      <c r="C1123" s="13" t="s">
        <v>13815</v>
      </c>
      <c r="D1123" s="13" t="s">
        <v>13564</v>
      </c>
      <c r="E1123" s="13" t="s">
        <v>1150</v>
      </c>
      <c r="F1123" s="15">
        <v>367</v>
      </c>
      <c r="G1123" s="15">
        <v>367</v>
      </c>
    </row>
    <row r="1124" spans="1:7">
      <c r="A1124" s="14">
        <v>4505</v>
      </c>
      <c r="B1124" s="13" t="s">
        <v>13816</v>
      </c>
      <c r="C1124" s="13" t="s">
        <v>13817</v>
      </c>
      <c r="D1124" s="13" t="s">
        <v>13564</v>
      </c>
      <c r="E1124" s="13" t="s">
        <v>1150</v>
      </c>
      <c r="F1124" s="15">
        <v>367</v>
      </c>
      <c r="G1124" s="15">
        <v>367</v>
      </c>
    </row>
    <row r="1125" spans="1:7">
      <c r="A1125" s="14">
        <v>4510</v>
      </c>
      <c r="B1125" s="13" t="s">
        <v>13818</v>
      </c>
      <c r="C1125" s="13" t="s">
        <v>13819</v>
      </c>
      <c r="D1125" s="13" t="s">
        <v>13564</v>
      </c>
      <c r="E1125" s="13" t="s">
        <v>1150</v>
      </c>
      <c r="F1125" s="15">
        <v>367</v>
      </c>
      <c r="G1125" s="15">
        <v>367</v>
      </c>
    </row>
    <row r="1126" spans="1:7">
      <c r="A1126" s="14">
        <v>4515</v>
      </c>
      <c r="B1126" s="13" t="s">
        <v>13820</v>
      </c>
      <c r="C1126" s="13" t="s">
        <v>13821</v>
      </c>
      <c r="D1126" s="13" t="s">
        <v>13564</v>
      </c>
      <c r="E1126" s="13" t="s">
        <v>1150</v>
      </c>
      <c r="F1126" s="15">
        <v>367</v>
      </c>
      <c r="G1126" s="15">
        <v>367</v>
      </c>
    </row>
    <row r="1127" spans="1:7">
      <c r="A1127" s="14">
        <v>4520</v>
      </c>
      <c r="B1127" s="13" t="s">
        <v>13822</v>
      </c>
      <c r="C1127" s="13" t="s">
        <v>13823</v>
      </c>
      <c r="D1127" s="13" t="s">
        <v>13564</v>
      </c>
      <c r="E1127" s="13" t="s">
        <v>1150</v>
      </c>
      <c r="F1127" s="15">
        <v>367</v>
      </c>
      <c r="G1127" s="15">
        <v>367</v>
      </c>
    </row>
    <row r="1128" spans="1:7">
      <c r="A1128" s="14">
        <v>4525</v>
      </c>
      <c r="B1128" s="13" t="s">
        <v>13824</v>
      </c>
      <c r="C1128" s="13" t="s">
        <v>13825</v>
      </c>
      <c r="D1128" s="13" t="s">
        <v>13564</v>
      </c>
      <c r="E1128" s="13" t="s">
        <v>1150</v>
      </c>
      <c r="F1128" s="15">
        <v>367</v>
      </c>
      <c r="G1128" s="15">
        <v>367</v>
      </c>
    </row>
    <row r="1129" spans="1:7">
      <c r="A1129" s="14">
        <v>4530</v>
      </c>
      <c r="B1129" s="13" t="s">
        <v>13826</v>
      </c>
      <c r="C1129" s="13" t="s">
        <v>13827</v>
      </c>
      <c r="D1129" s="13" t="s">
        <v>13564</v>
      </c>
      <c r="E1129" s="13" t="s">
        <v>1150</v>
      </c>
      <c r="F1129" s="15">
        <v>367</v>
      </c>
      <c r="G1129" s="15">
        <v>367</v>
      </c>
    </row>
    <row r="1130" spans="1:7">
      <c r="A1130" s="14">
        <v>4535</v>
      </c>
      <c r="B1130" s="13" t="s">
        <v>13828</v>
      </c>
      <c r="C1130" s="13" t="s">
        <v>13829</v>
      </c>
      <c r="D1130" s="13" t="s">
        <v>13564</v>
      </c>
      <c r="E1130" s="13" t="s">
        <v>1150</v>
      </c>
      <c r="F1130" s="15">
        <v>367</v>
      </c>
      <c r="G1130" s="15">
        <v>367</v>
      </c>
    </row>
    <row r="1131" spans="1:7">
      <c r="A1131" s="14">
        <v>4540</v>
      </c>
      <c r="B1131" s="13" t="s">
        <v>13830</v>
      </c>
      <c r="C1131" s="13" t="s">
        <v>13831</v>
      </c>
      <c r="D1131" s="13" t="s">
        <v>13564</v>
      </c>
      <c r="E1131" s="13" t="s">
        <v>1150</v>
      </c>
      <c r="F1131" s="15">
        <v>367</v>
      </c>
      <c r="G1131" s="15">
        <v>367</v>
      </c>
    </row>
    <row r="1132" spans="1:7">
      <c r="A1132" s="14">
        <v>4541</v>
      </c>
      <c r="B1132" s="13" t="s">
        <v>13832</v>
      </c>
      <c r="C1132" s="13" t="s">
        <v>13833</v>
      </c>
      <c r="D1132" s="13" t="s">
        <v>13564</v>
      </c>
      <c r="E1132" s="13" t="s">
        <v>1150</v>
      </c>
      <c r="F1132" s="15">
        <v>42634</v>
      </c>
      <c r="G1132" s="15">
        <v>42634</v>
      </c>
    </row>
    <row r="1133" spans="1:7">
      <c r="A1133" s="14">
        <v>4542</v>
      </c>
      <c r="B1133" s="13" t="s">
        <v>13834</v>
      </c>
      <c r="C1133" s="13" t="s">
        <v>13835</v>
      </c>
      <c r="D1133" s="13" t="s">
        <v>13564</v>
      </c>
      <c r="E1133" s="13" t="s">
        <v>1150</v>
      </c>
      <c r="F1133" s="15">
        <v>42634</v>
      </c>
      <c r="G1133" s="15">
        <v>42634</v>
      </c>
    </row>
    <row r="1134" spans="1:7">
      <c r="A1134" s="14">
        <v>4543</v>
      </c>
      <c r="B1134" s="13" t="s">
        <v>13836</v>
      </c>
      <c r="C1134" s="13" t="s">
        <v>13837</v>
      </c>
      <c r="D1134" s="13" t="s">
        <v>13564</v>
      </c>
      <c r="E1134" s="13" t="s">
        <v>1150</v>
      </c>
      <c r="F1134" s="15">
        <v>43005</v>
      </c>
      <c r="G1134" s="15">
        <v>43005</v>
      </c>
    </row>
    <row r="1135" spans="1:7">
      <c r="A1135" s="14">
        <v>4544</v>
      </c>
      <c r="B1135" s="13" t="s">
        <v>13838</v>
      </c>
      <c r="C1135" s="13" t="s">
        <v>13839</v>
      </c>
      <c r="D1135" s="13" t="s">
        <v>13564</v>
      </c>
      <c r="E1135" s="13" t="s">
        <v>1150</v>
      </c>
      <c r="F1135" s="15">
        <v>43647</v>
      </c>
      <c r="G1135" s="15">
        <v>43647</v>
      </c>
    </row>
    <row r="1136" spans="1:7">
      <c r="A1136" s="14">
        <v>4545</v>
      </c>
      <c r="B1136" s="13" t="s">
        <v>13840</v>
      </c>
      <c r="C1136" s="13" t="s">
        <v>13841</v>
      </c>
      <c r="D1136" s="13" t="s">
        <v>13564</v>
      </c>
      <c r="E1136" s="13" t="s">
        <v>1150</v>
      </c>
      <c r="F1136" s="15">
        <v>367</v>
      </c>
      <c r="G1136" s="15">
        <v>367</v>
      </c>
    </row>
    <row r="1137" spans="1:7">
      <c r="A1137" s="14">
        <v>4550</v>
      </c>
      <c r="B1137" s="13" t="s">
        <v>13842</v>
      </c>
      <c r="C1137" s="13" t="s">
        <v>13843</v>
      </c>
      <c r="D1137" s="13" t="s">
        <v>13564</v>
      </c>
      <c r="E1137" s="13" t="s">
        <v>1150</v>
      </c>
      <c r="F1137" s="15">
        <v>367</v>
      </c>
      <c r="G1137" s="15">
        <v>367</v>
      </c>
    </row>
    <row r="1138" spans="1:7">
      <c r="A1138" s="14">
        <v>4555</v>
      </c>
      <c r="B1138" s="13" t="s">
        <v>13844</v>
      </c>
      <c r="C1138" s="13" t="s">
        <v>13845</v>
      </c>
      <c r="D1138" s="13" t="s">
        <v>13564</v>
      </c>
      <c r="E1138" s="13" t="s">
        <v>1150</v>
      </c>
      <c r="F1138" s="15">
        <v>367</v>
      </c>
      <c r="G1138" s="15">
        <v>367</v>
      </c>
    </row>
    <row r="1139" spans="1:7">
      <c r="A1139" s="14">
        <v>4560</v>
      </c>
      <c r="B1139" s="13" t="s">
        <v>13846</v>
      </c>
      <c r="C1139" s="13" t="s">
        <v>13847</v>
      </c>
      <c r="D1139" s="13" t="s">
        <v>13564</v>
      </c>
      <c r="E1139" s="13" t="s">
        <v>1150</v>
      </c>
      <c r="F1139" s="15">
        <v>367</v>
      </c>
      <c r="G1139" s="15">
        <v>367</v>
      </c>
    </row>
    <row r="1140" spans="1:7">
      <c r="A1140" s="14">
        <v>4565</v>
      </c>
      <c r="B1140" s="13" t="s">
        <v>13848</v>
      </c>
      <c r="C1140" s="13" t="s">
        <v>13849</v>
      </c>
      <c r="D1140" s="13" t="s">
        <v>13564</v>
      </c>
      <c r="E1140" s="13" t="s">
        <v>1150</v>
      </c>
      <c r="F1140" s="15">
        <v>367</v>
      </c>
      <c r="G1140" s="15">
        <v>367</v>
      </c>
    </row>
    <row r="1141" spans="1:7">
      <c r="A1141" s="14">
        <v>4570</v>
      </c>
      <c r="B1141" s="13" t="s">
        <v>13850</v>
      </c>
      <c r="C1141" s="13" t="s">
        <v>13851</v>
      </c>
      <c r="D1141" s="13" t="s">
        <v>13564</v>
      </c>
      <c r="E1141" s="13" t="s">
        <v>1150</v>
      </c>
      <c r="F1141" s="15">
        <v>367</v>
      </c>
      <c r="G1141" s="15">
        <v>367</v>
      </c>
    </row>
    <row r="1142" spans="1:7">
      <c r="A1142" s="14">
        <v>4575</v>
      </c>
      <c r="B1142" s="13" t="s">
        <v>13852</v>
      </c>
      <c r="C1142" s="13" t="s">
        <v>13853</v>
      </c>
      <c r="D1142" s="13" t="s">
        <v>13564</v>
      </c>
      <c r="E1142" s="13" t="s">
        <v>1150</v>
      </c>
      <c r="F1142" s="15">
        <v>367</v>
      </c>
      <c r="G1142" s="15">
        <v>367</v>
      </c>
    </row>
    <row r="1143" spans="1:7">
      <c r="A1143" s="14">
        <v>4580</v>
      </c>
      <c r="B1143" s="13" t="s">
        <v>13854</v>
      </c>
      <c r="C1143" s="13" t="s">
        <v>13855</v>
      </c>
      <c r="D1143" s="13" t="s">
        <v>13564</v>
      </c>
      <c r="E1143" s="13" t="s">
        <v>1150</v>
      </c>
      <c r="F1143" s="15">
        <v>367</v>
      </c>
      <c r="G1143" s="15">
        <v>367</v>
      </c>
    </row>
    <row r="1144" spans="1:7">
      <c r="A1144" s="14">
        <v>4585</v>
      </c>
      <c r="B1144" s="13" t="s">
        <v>13856</v>
      </c>
      <c r="C1144" s="13" t="s">
        <v>13857</v>
      </c>
      <c r="D1144" s="13" t="s">
        <v>13564</v>
      </c>
      <c r="E1144" s="13" t="s">
        <v>1150</v>
      </c>
      <c r="F1144" s="15">
        <v>367</v>
      </c>
      <c r="G1144" s="15">
        <v>367</v>
      </c>
    </row>
    <row r="1145" spans="1:7">
      <c r="A1145" s="14">
        <v>4590</v>
      </c>
      <c r="B1145" s="13" t="s">
        <v>13858</v>
      </c>
      <c r="C1145" s="13" t="s">
        <v>13859</v>
      </c>
      <c r="D1145" s="13" t="s">
        <v>13564</v>
      </c>
      <c r="E1145" s="13" t="s">
        <v>1150</v>
      </c>
      <c r="F1145" s="15">
        <v>367</v>
      </c>
      <c r="G1145" s="15">
        <v>367</v>
      </c>
    </row>
    <row r="1146" spans="1:7">
      <c r="A1146" s="14">
        <v>4595</v>
      </c>
      <c r="B1146" s="13" t="s">
        <v>13860</v>
      </c>
      <c r="C1146" s="13" t="s">
        <v>13861</v>
      </c>
      <c r="D1146" s="13" t="s">
        <v>13564</v>
      </c>
      <c r="E1146" s="13" t="s">
        <v>1150</v>
      </c>
      <c r="F1146" s="15">
        <v>367</v>
      </c>
      <c r="G1146" s="15">
        <v>367</v>
      </c>
    </row>
    <row r="1147" spans="1:7">
      <c r="A1147" s="14">
        <v>4600</v>
      </c>
      <c r="B1147" s="13" t="s">
        <v>13862</v>
      </c>
      <c r="C1147" s="13" t="s">
        <v>13863</v>
      </c>
      <c r="D1147" s="13" t="s">
        <v>13564</v>
      </c>
      <c r="E1147" s="13" t="s">
        <v>1150</v>
      </c>
      <c r="F1147" s="15">
        <v>367</v>
      </c>
      <c r="G1147" s="15">
        <v>367</v>
      </c>
    </row>
    <row r="1148" spans="1:7">
      <c r="A1148" s="14">
        <v>4605</v>
      </c>
      <c r="B1148" s="13" t="s">
        <v>13864</v>
      </c>
      <c r="C1148" s="13" t="s">
        <v>13865</v>
      </c>
      <c r="D1148" s="13" t="s">
        <v>13564</v>
      </c>
      <c r="E1148" s="13" t="s">
        <v>1150</v>
      </c>
      <c r="F1148" s="15">
        <v>367</v>
      </c>
      <c r="G1148" s="15">
        <v>367</v>
      </c>
    </row>
    <row r="1149" spans="1:7">
      <c r="A1149" s="14">
        <v>4610</v>
      </c>
      <c r="B1149" s="13" t="s">
        <v>13866</v>
      </c>
      <c r="C1149" s="13" t="s">
        <v>13867</v>
      </c>
      <c r="D1149" s="13" t="s">
        <v>13564</v>
      </c>
      <c r="E1149" s="13" t="s">
        <v>1150</v>
      </c>
      <c r="F1149" s="15">
        <v>367</v>
      </c>
      <c r="G1149" s="15">
        <v>367</v>
      </c>
    </row>
    <row r="1150" spans="1:7">
      <c r="A1150" s="14">
        <v>4615</v>
      </c>
      <c r="B1150" s="13" t="s">
        <v>13868</v>
      </c>
      <c r="C1150" s="13" t="s">
        <v>12623</v>
      </c>
      <c r="D1150" s="13" t="s">
        <v>13564</v>
      </c>
      <c r="E1150" s="13" t="s">
        <v>1150</v>
      </c>
      <c r="F1150" s="15">
        <v>367</v>
      </c>
      <c r="G1150" s="15">
        <v>367</v>
      </c>
    </row>
    <row r="1151" spans="1:7">
      <c r="A1151" s="14">
        <v>4620</v>
      </c>
      <c r="B1151" s="13" t="s">
        <v>13869</v>
      </c>
      <c r="C1151" s="13" t="s">
        <v>13870</v>
      </c>
      <c r="D1151" s="13" t="s">
        <v>13564</v>
      </c>
      <c r="E1151" s="13" t="s">
        <v>1150</v>
      </c>
      <c r="F1151" s="15">
        <v>367</v>
      </c>
      <c r="G1151" s="15">
        <v>367</v>
      </c>
    </row>
    <row r="1152" spans="1:7">
      <c r="A1152" s="14">
        <v>4625</v>
      </c>
      <c r="B1152" s="13" t="s">
        <v>13871</v>
      </c>
      <c r="C1152" s="13" t="s">
        <v>13872</v>
      </c>
      <c r="D1152" s="13" t="s">
        <v>13564</v>
      </c>
      <c r="E1152" s="13" t="s">
        <v>1150</v>
      </c>
      <c r="F1152" s="15">
        <v>367</v>
      </c>
      <c r="G1152" s="15">
        <v>367</v>
      </c>
    </row>
    <row r="1153" spans="1:7">
      <c r="A1153" s="14">
        <v>4630</v>
      </c>
      <c r="B1153" s="13" t="s">
        <v>13873</v>
      </c>
      <c r="C1153" s="13" t="s">
        <v>11876</v>
      </c>
      <c r="D1153" s="13" t="s">
        <v>13564</v>
      </c>
      <c r="E1153" s="13" t="s">
        <v>1150</v>
      </c>
      <c r="F1153" s="15">
        <v>367</v>
      </c>
      <c r="G1153" s="15">
        <v>367</v>
      </c>
    </row>
    <row r="1154" spans="1:7">
      <c r="A1154" s="14">
        <v>4635</v>
      </c>
      <c r="B1154" s="13" t="s">
        <v>13874</v>
      </c>
      <c r="C1154" s="13" t="s">
        <v>13875</v>
      </c>
      <c r="D1154" s="13" t="s">
        <v>13564</v>
      </c>
      <c r="E1154" s="13" t="s">
        <v>1150</v>
      </c>
      <c r="F1154" s="15">
        <v>367</v>
      </c>
      <c r="G1154" s="15">
        <v>367</v>
      </c>
    </row>
    <row r="1155" spans="1:7">
      <c r="A1155" s="14">
        <v>4641</v>
      </c>
      <c r="B1155" s="13" t="s">
        <v>13876</v>
      </c>
      <c r="C1155" s="13" t="s">
        <v>13877</v>
      </c>
      <c r="D1155" s="13" t="s">
        <v>13564</v>
      </c>
      <c r="E1155" s="13" t="s">
        <v>1150</v>
      </c>
      <c r="F1155" s="15">
        <v>38534</v>
      </c>
      <c r="G1155" s="15">
        <v>38534</v>
      </c>
    </row>
    <row r="1156" spans="1:7">
      <c r="A1156" s="14">
        <v>4643</v>
      </c>
      <c r="B1156" s="13" t="s">
        <v>13878</v>
      </c>
      <c r="C1156" s="13" t="s">
        <v>13879</v>
      </c>
      <c r="D1156" s="13" t="s">
        <v>13564</v>
      </c>
      <c r="E1156" s="13" t="s">
        <v>1150</v>
      </c>
      <c r="F1156" s="15">
        <v>38534</v>
      </c>
      <c r="G1156" s="15">
        <v>38534</v>
      </c>
    </row>
    <row r="1157" spans="1:7">
      <c r="A1157" s="14">
        <v>4640</v>
      </c>
      <c r="B1157" s="13" t="s">
        <v>13880</v>
      </c>
      <c r="C1157" s="13" t="s">
        <v>13881</v>
      </c>
      <c r="D1157" s="13" t="s">
        <v>13564</v>
      </c>
      <c r="E1157" s="13" t="s">
        <v>1150</v>
      </c>
      <c r="F1157" s="15">
        <v>367</v>
      </c>
      <c r="G1157" s="15">
        <v>367</v>
      </c>
    </row>
    <row r="1158" spans="1:7">
      <c r="A1158" s="14">
        <v>4645</v>
      </c>
      <c r="B1158" s="13" t="s">
        <v>13882</v>
      </c>
      <c r="C1158" s="13" t="s">
        <v>13883</v>
      </c>
      <c r="D1158" s="13" t="s">
        <v>13564</v>
      </c>
      <c r="E1158" s="13" t="s">
        <v>1150</v>
      </c>
      <c r="F1158" s="15">
        <v>367</v>
      </c>
      <c r="G1158" s="15">
        <v>367</v>
      </c>
    </row>
    <row r="1159" spans="1:7">
      <c r="A1159" s="14">
        <v>4647</v>
      </c>
      <c r="B1159" s="13" t="s">
        <v>13884</v>
      </c>
      <c r="C1159" s="13" t="s">
        <v>13885</v>
      </c>
      <c r="D1159" s="13" t="s">
        <v>13564</v>
      </c>
      <c r="E1159" s="13" t="s">
        <v>1150</v>
      </c>
      <c r="F1159" s="15">
        <v>37622</v>
      </c>
      <c r="G1159" s="15">
        <v>37622</v>
      </c>
    </row>
    <row r="1160" spans="1:7">
      <c r="A1160" s="14">
        <v>4650</v>
      </c>
      <c r="B1160" s="13" t="s">
        <v>13886</v>
      </c>
      <c r="C1160" s="13" t="s">
        <v>13887</v>
      </c>
      <c r="D1160" s="13" t="s">
        <v>13564</v>
      </c>
      <c r="E1160" s="13" t="s">
        <v>1150</v>
      </c>
      <c r="F1160" s="15">
        <v>367</v>
      </c>
      <c r="G1160" s="15">
        <v>367</v>
      </c>
    </row>
    <row r="1161" spans="1:7">
      <c r="A1161" s="14">
        <v>4655</v>
      </c>
      <c r="B1161" s="13" t="s">
        <v>13888</v>
      </c>
      <c r="C1161" s="13" t="s">
        <v>13889</v>
      </c>
      <c r="D1161" s="13" t="s">
        <v>13564</v>
      </c>
      <c r="E1161" s="13" t="s">
        <v>1150</v>
      </c>
      <c r="F1161" s="15">
        <v>367</v>
      </c>
      <c r="G1161" s="15">
        <v>367</v>
      </c>
    </row>
    <row r="1162" spans="1:7">
      <c r="A1162" s="14">
        <v>4660</v>
      </c>
      <c r="B1162" s="13" t="s">
        <v>13890</v>
      </c>
      <c r="C1162" s="13" t="s">
        <v>13891</v>
      </c>
      <c r="D1162" s="13" t="s">
        <v>13564</v>
      </c>
      <c r="E1162" s="13" t="s">
        <v>1150</v>
      </c>
      <c r="F1162" s="15">
        <v>367</v>
      </c>
      <c r="G1162" s="15">
        <v>367</v>
      </c>
    </row>
    <row r="1163" spans="1:7">
      <c r="A1163" s="14">
        <v>4665</v>
      </c>
      <c r="B1163" s="13" t="s">
        <v>13892</v>
      </c>
      <c r="C1163" s="13" t="s">
        <v>13893</v>
      </c>
      <c r="D1163" s="13" t="s">
        <v>13564</v>
      </c>
      <c r="E1163" s="13" t="s">
        <v>1150</v>
      </c>
      <c r="F1163" s="15">
        <v>367</v>
      </c>
      <c r="G1163" s="15">
        <v>367</v>
      </c>
    </row>
    <row r="1164" spans="1:7">
      <c r="A1164" s="14">
        <v>4670</v>
      </c>
      <c r="B1164" s="13" t="s">
        <v>13894</v>
      </c>
      <c r="C1164" s="13" t="s">
        <v>13895</v>
      </c>
      <c r="D1164" s="13" t="s">
        <v>13564</v>
      </c>
      <c r="E1164" s="13" t="s">
        <v>1150</v>
      </c>
      <c r="F1164" s="15">
        <v>367</v>
      </c>
      <c r="G1164" s="15">
        <v>367</v>
      </c>
    </row>
    <row r="1165" spans="1:7">
      <c r="A1165" s="14">
        <v>4675</v>
      </c>
      <c r="B1165" s="13" t="s">
        <v>13896</v>
      </c>
      <c r="C1165" s="13" t="s">
        <v>13897</v>
      </c>
      <c r="D1165" s="13" t="s">
        <v>13564</v>
      </c>
      <c r="E1165" s="13" t="s">
        <v>1150</v>
      </c>
      <c r="F1165" s="15">
        <v>367</v>
      </c>
      <c r="G1165" s="15">
        <v>367</v>
      </c>
    </row>
    <row r="1166" spans="1:7">
      <c r="A1166" s="14">
        <v>4678</v>
      </c>
      <c r="B1166" s="13" t="s">
        <v>13898</v>
      </c>
      <c r="C1166" s="13" t="s">
        <v>13899</v>
      </c>
      <c r="D1166" s="13" t="s">
        <v>13564</v>
      </c>
      <c r="E1166" s="13" t="s">
        <v>1150</v>
      </c>
      <c r="F1166" s="15">
        <v>41640</v>
      </c>
      <c r="G1166" s="15">
        <v>41640</v>
      </c>
    </row>
    <row r="1167" spans="1:7">
      <c r="A1167" s="14">
        <v>4680</v>
      </c>
      <c r="B1167" s="13" t="s">
        <v>13900</v>
      </c>
      <c r="C1167" s="13" t="s">
        <v>13901</v>
      </c>
      <c r="D1167" s="13" t="s">
        <v>13564</v>
      </c>
      <c r="E1167" s="13" t="s">
        <v>1150</v>
      </c>
      <c r="F1167" s="15">
        <v>367</v>
      </c>
      <c r="G1167" s="15">
        <v>367</v>
      </c>
    </row>
    <row r="1168" spans="1:7">
      <c r="A1168" s="14">
        <v>4685</v>
      </c>
      <c r="B1168" s="13" t="s">
        <v>13902</v>
      </c>
      <c r="C1168" s="13" t="s">
        <v>13903</v>
      </c>
      <c r="D1168" s="13" t="s">
        <v>13564</v>
      </c>
      <c r="E1168" s="13" t="s">
        <v>1150</v>
      </c>
      <c r="F1168" s="15">
        <v>367</v>
      </c>
      <c r="G1168" s="15">
        <v>367</v>
      </c>
    </row>
    <row r="1169" spans="1:7">
      <c r="A1169" s="14">
        <v>4690</v>
      </c>
      <c r="B1169" s="13" t="s">
        <v>13904</v>
      </c>
      <c r="C1169" s="13" t="s">
        <v>13905</v>
      </c>
      <c r="D1169" s="13" t="s">
        <v>13564</v>
      </c>
      <c r="E1169" s="13" t="s">
        <v>1150</v>
      </c>
      <c r="F1169" s="15">
        <v>367</v>
      </c>
      <c r="G1169" s="15">
        <v>367</v>
      </c>
    </row>
    <row r="1170" spans="1:7">
      <c r="A1170" s="14">
        <v>4695</v>
      </c>
      <c r="B1170" s="13" t="s">
        <v>13906</v>
      </c>
      <c r="C1170" s="13" t="s">
        <v>13907</v>
      </c>
      <c r="D1170" s="13" t="s">
        <v>13564</v>
      </c>
      <c r="E1170" s="13" t="s">
        <v>1150</v>
      </c>
      <c r="F1170" s="15">
        <v>367</v>
      </c>
      <c r="G1170" s="15">
        <v>367</v>
      </c>
    </row>
    <row r="1171" spans="1:7">
      <c r="A1171" s="14">
        <v>4700</v>
      </c>
      <c r="B1171" s="13" t="s">
        <v>13908</v>
      </c>
      <c r="C1171" s="13" t="s">
        <v>13909</v>
      </c>
      <c r="D1171" s="13" t="s">
        <v>13564</v>
      </c>
      <c r="E1171" s="13" t="s">
        <v>1150</v>
      </c>
      <c r="F1171" s="15">
        <v>367</v>
      </c>
      <c r="G1171" s="15">
        <v>367</v>
      </c>
    </row>
    <row r="1172" spans="1:7">
      <c r="A1172" s="14">
        <v>4705</v>
      </c>
      <c r="B1172" s="13" t="s">
        <v>13910</v>
      </c>
      <c r="C1172" s="13" t="s">
        <v>12798</v>
      </c>
      <c r="D1172" s="13" t="s">
        <v>13564</v>
      </c>
      <c r="E1172" s="13" t="s">
        <v>1150</v>
      </c>
      <c r="F1172" s="15">
        <v>367</v>
      </c>
      <c r="G1172" s="15">
        <v>367</v>
      </c>
    </row>
    <row r="1173" spans="1:7">
      <c r="A1173" s="14">
        <v>4710</v>
      </c>
      <c r="B1173" s="13" t="s">
        <v>13911</v>
      </c>
      <c r="C1173" s="13" t="s">
        <v>13912</v>
      </c>
      <c r="D1173" s="13" t="s">
        <v>13564</v>
      </c>
      <c r="E1173" s="13" t="s">
        <v>1150</v>
      </c>
      <c r="F1173" s="15">
        <v>367</v>
      </c>
      <c r="G1173" s="15">
        <v>367</v>
      </c>
    </row>
    <row r="1174" spans="1:7">
      <c r="A1174" s="14">
        <v>4715</v>
      </c>
      <c r="B1174" s="13" t="s">
        <v>13913</v>
      </c>
      <c r="C1174" s="13" t="s">
        <v>13914</v>
      </c>
      <c r="D1174" s="13" t="s">
        <v>13564</v>
      </c>
      <c r="E1174" s="13" t="s">
        <v>1150</v>
      </c>
      <c r="F1174" s="15">
        <v>367</v>
      </c>
      <c r="G1174" s="15">
        <v>367</v>
      </c>
    </row>
    <row r="1175" spans="1:7">
      <c r="A1175" s="14">
        <v>4720</v>
      </c>
      <c r="B1175" s="13" t="s">
        <v>13915</v>
      </c>
      <c r="C1175" s="13" t="s">
        <v>13916</v>
      </c>
      <c r="D1175" s="13" t="s">
        <v>13564</v>
      </c>
      <c r="E1175" s="13" t="s">
        <v>1150</v>
      </c>
      <c r="F1175" s="15">
        <v>367</v>
      </c>
      <c r="G1175" s="15">
        <v>367</v>
      </c>
    </row>
    <row r="1176" spans="1:7">
      <c r="A1176" s="14">
        <v>4725</v>
      </c>
      <c r="B1176" s="13" t="s">
        <v>13917</v>
      </c>
      <c r="C1176" s="13" t="s">
        <v>13918</v>
      </c>
      <c r="D1176" s="13" t="s">
        <v>13564</v>
      </c>
      <c r="E1176" s="13" t="s">
        <v>1150</v>
      </c>
      <c r="F1176" s="15">
        <v>367</v>
      </c>
      <c r="G1176" s="15">
        <v>367</v>
      </c>
    </row>
    <row r="1177" spans="1:7">
      <c r="A1177" s="14">
        <v>4730</v>
      </c>
      <c r="B1177" s="13" t="s">
        <v>13919</v>
      </c>
      <c r="C1177" s="13" t="s">
        <v>13920</v>
      </c>
      <c r="D1177" s="13" t="s">
        <v>13564</v>
      </c>
      <c r="E1177" s="13" t="s">
        <v>1150</v>
      </c>
      <c r="F1177" s="15">
        <v>367</v>
      </c>
      <c r="G1177" s="15">
        <v>367</v>
      </c>
    </row>
    <row r="1178" spans="1:7">
      <c r="A1178" s="14">
        <v>4733</v>
      </c>
      <c r="B1178" s="13" t="s">
        <v>13921</v>
      </c>
      <c r="C1178" s="13" t="s">
        <v>13922</v>
      </c>
      <c r="D1178" s="13" t="s">
        <v>13564</v>
      </c>
      <c r="E1178" s="13" t="s">
        <v>1150</v>
      </c>
      <c r="F1178" s="15">
        <v>37771</v>
      </c>
      <c r="G1178" s="15">
        <v>37771</v>
      </c>
    </row>
    <row r="1179" spans="1:7">
      <c r="A1179" s="14">
        <v>4735</v>
      </c>
      <c r="B1179" s="13" t="s">
        <v>13923</v>
      </c>
      <c r="C1179" s="13" t="s">
        <v>13924</v>
      </c>
      <c r="D1179" s="13" t="s">
        <v>13564</v>
      </c>
      <c r="E1179" s="13" t="s">
        <v>1150</v>
      </c>
      <c r="F1179" s="15">
        <v>367</v>
      </c>
      <c r="G1179" s="15">
        <v>367</v>
      </c>
    </row>
    <row r="1180" spans="1:7">
      <c r="A1180" s="14">
        <v>4737</v>
      </c>
      <c r="B1180" s="13" t="s">
        <v>13925</v>
      </c>
      <c r="C1180" s="13" t="s">
        <v>13926</v>
      </c>
      <c r="D1180" s="13" t="s">
        <v>13564</v>
      </c>
      <c r="E1180" s="13" t="s">
        <v>1150</v>
      </c>
      <c r="F1180" s="15">
        <v>37771</v>
      </c>
      <c r="G1180" s="15">
        <v>37771</v>
      </c>
    </row>
    <row r="1181" spans="1:7">
      <c r="A1181" s="14">
        <v>4740</v>
      </c>
      <c r="B1181" s="13" t="s">
        <v>13927</v>
      </c>
      <c r="C1181" s="13" t="s">
        <v>13928</v>
      </c>
      <c r="D1181" s="13" t="s">
        <v>13564</v>
      </c>
      <c r="E1181" s="13" t="s">
        <v>1150</v>
      </c>
      <c r="F1181" s="15">
        <v>367</v>
      </c>
      <c r="G1181" s="15">
        <v>367</v>
      </c>
    </row>
    <row r="1182" spans="1:7">
      <c r="A1182" s="14">
        <v>4745</v>
      </c>
      <c r="B1182" s="13" t="s">
        <v>13929</v>
      </c>
      <c r="C1182" s="13" t="s">
        <v>13930</v>
      </c>
      <c r="D1182" s="13" t="s">
        <v>13564</v>
      </c>
      <c r="E1182" s="13" t="s">
        <v>1150</v>
      </c>
      <c r="F1182" s="15">
        <v>367</v>
      </c>
      <c r="G1182" s="15">
        <v>367</v>
      </c>
    </row>
    <row r="1183" spans="1:7">
      <c r="A1183" s="14">
        <v>4750</v>
      </c>
      <c r="B1183" s="13" t="s">
        <v>13931</v>
      </c>
      <c r="C1183" s="13" t="s">
        <v>13932</v>
      </c>
      <c r="D1183" s="13" t="s">
        <v>13564</v>
      </c>
      <c r="E1183" s="13" t="s">
        <v>1150</v>
      </c>
      <c r="F1183" s="15">
        <v>367</v>
      </c>
      <c r="G1183" s="15">
        <v>367</v>
      </c>
    </row>
    <row r="1184" spans="1:7">
      <c r="A1184" s="14">
        <v>4755</v>
      </c>
      <c r="B1184" s="13" t="s">
        <v>13933</v>
      </c>
      <c r="C1184" s="13" t="s">
        <v>13934</v>
      </c>
      <c r="D1184" s="13" t="s">
        <v>13564</v>
      </c>
      <c r="E1184" s="13" t="s">
        <v>1150</v>
      </c>
      <c r="F1184" s="15">
        <v>367</v>
      </c>
      <c r="G1184" s="15">
        <v>367</v>
      </c>
    </row>
    <row r="1185" spans="1:7">
      <c r="A1185" s="14">
        <v>4760</v>
      </c>
      <c r="B1185" s="13" t="s">
        <v>13935</v>
      </c>
      <c r="C1185" s="13" t="s">
        <v>13936</v>
      </c>
      <c r="D1185" s="13" t="s">
        <v>13564</v>
      </c>
      <c r="E1185" s="13" t="s">
        <v>1150</v>
      </c>
      <c r="F1185" s="15">
        <v>367</v>
      </c>
      <c r="G1185" s="15">
        <v>367</v>
      </c>
    </row>
    <row r="1186" spans="1:7">
      <c r="A1186" s="14">
        <v>4763</v>
      </c>
      <c r="B1186" s="13" t="s">
        <v>13937</v>
      </c>
      <c r="C1186" s="13" t="s">
        <v>13938</v>
      </c>
      <c r="D1186" s="13" t="s">
        <v>13564</v>
      </c>
      <c r="E1186" s="13" t="s">
        <v>1150</v>
      </c>
      <c r="F1186" s="15">
        <v>39995</v>
      </c>
      <c r="G1186" s="15">
        <v>39995</v>
      </c>
    </row>
    <row r="1187" spans="1:7">
      <c r="A1187" s="14">
        <v>4765</v>
      </c>
      <c r="B1187" s="13" t="s">
        <v>13939</v>
      </c>
      <c r="C1187" s="13" t="s">
        <v>13940</v>
      </c>
      <c r="D1187" s="13" t="s">
        <v>13564</v>
      </c>
      <c r="E1187" s="13" t="s">
        <v>1150</v>
      </c>
      <c r="F1187" s="15">
        <v>367</v>
      </c>
      <c r="G1187" s="15">
        <v>367</v>
      </c>
    </row>
    <row r="1188" spans="1:7">
      <c r="A1188" s="14">
        <v>4767</v>
      </c>
      <c r="B1188" s="13" t="s">
        <v>13941</v>
      </c>
      <c r="C1188" s="13" t="s">
        <v>12291</v>
      </c>
      <c r="D1188" s="13" t="s">
        <v>13564</v>
      </c>
      <c r="E1188" s="13" t="s">
        <v>1150</v>
      </c>
      <c r="F1188" s="15">
        <v>368</v>
      </c>
      <c r="G1188" s="15">
        <v>368</v>
      </c>
    </row>
    <row r="1189" spans="1:7">
      <c r="A1189" s="14">
        <v>4768</v>
      </c>
      <c r="B1189" s="13" t="s">
        <v>13942</v>
      </c>
      <c r="C1189" s="13" t="s">
        <v>13943</v>
      </c>
      <c r="D1189" s="13" t="s">
        <v>13564</v>
      </c>
      <c r="E1189" s="13" t="s">
        <v>1150</v>
      </c>
      <c r="F1189" s="15">
        <v>37771</v>
      </c>
      <c r="G1189" s="15">
        <v>37771</v>
      </c>
    </row>
    <row r="1190" spans="1:7">
      <c r="A1190" s="14">
        <v>4770</v>
      </c>
      <c r="B1190" s="13" t="s">
        <v>13944</v>
      </c>
      <c r="C1190" s="13" t="s">
        <v>13945</v>
      </c>
      <c r="D1190" s="13" t="s">
        <v>13564</v>
      </c>
      <c r="E1190" s="13" t="s">
        <v>1150</v>
      </c>
      <c r="F1190" s="15">
        <v>367</v>
      </c>
      <c r="G1190" s="15">
        <v>367</v>
      </c>
    </row>
    <row r="1191" spans="1:7">
      <c r="A1191" s="14">
        <v>4775</v>
      </c>
      <c r="B1191" s="13" t="s">
        <v>13946</v>
      </c>
      <c r="C1191" s="13" t="s">
        <v>13947</v>
      </c>
      <c r="D1191" s="13" t="s">
        <v>13564</v>
      </c>
      <c r="E1191" s="13" t="s">
        <v>1150</v>
      </c>
      <c r="F1191" s="15">
        <v>367</v>
      </c>
      <c r="G1191" s="15">
        <v>367</v>
      </c>
    </row>
    <row r="1192" spans="1:7">
      <c r="A1192" s="14">
        <v>4777</v>
      </c>
      <c r="B1192" s="13" t="s">
        <v>13948</v>
      </c>
      <c r="C1192" s="13" t="s">
        <v>13949</v>
      </c>
      <c r="D1192" s="13" t="s">
        <v>13564</v>
      </c>
      <c r="E1192" s="13" t="s">
        <v>1150</v>
      </c>
      <c r="F1192" s="15">
        <v>37771</v>
      </c>
      <c r="G1192" s="15">
        <v>37771</v>
      </c>
    </row>
    <row r="1193" spans="1:7">
      <c r="A1193" s="14">
        <v>4780</v>
      </c>
      <c r="B1193" s="13" t="s">
        <v>13950</v>
      </c>
      <c r="C1193" s="13" t="s">
        <v>13951</v>
      </c>
      <c r="D1193" s="13" t="s">
        <v>13564</v>
      </c>
      <c r="E1193" s="13" t="s">
        <v>1150</v>
      </c>
      <c r="F1193" s="15">
        <v>367</v>
      </c>
      <c r="G1193" s="15">
        <v>367</v>
      </c>
    </row>
    <row r="1194" spans="1:7">
      <c r="A1194" s="14">
        <v>4785</v>
      </c>
      <c r="B1194" s="13" t="s">
        <v>13952</v>
      </c>
      <c r="C1194" s="13" t="s">
        <v>13953</v>
      </c>
      <c r="D1194" s="13" t="s">
        <v>13564</v>
      </c>
      <c r="E1194" s="13" t="s">
        <v>1150</v>
      </c>
      <c r="F1194" s="15">
        <v>367</v>
      </c>
      <c r="G1194" s="15">
        <v>367</v>
      </c>
    </row>
    <row r="1195" spans="1:7">
      <c r="A1195" s="14">
        <v>4790</v>
      </c>
      <c r="B1195" s="13" t="s">
        <v>13954</v>
      </c>
      <c r="C1195" s="13" t="s">
        <v>13955</v>
      </c>
      <c r="D1195" s="13" t="s">
        <v>13564</v>
      </c>
      <c r="E1195" s="13" t="s">
        <v>1150</v>
      </c>
      <c r="F1195" s="15">
        <v>367</v>
      </c>
      <c r="G1195" s="15">
        <v>367</v>
      </c>
    </row>
    <row r="1196" spans="1:7">
      <c r="A1196" s="14">
        <v>4795</v>
      </c>
      <c r="B1196" s="13" t="s">
        <v>13956</v>
      </c>
      <c r="C1196" s="13" t="s">
        <v>13957</v>
      </c>
      <c r="D1196" s="13" t="s">
        <v>13564</v>
      </c>
      <c r="E1196" s="13" t="s">
        <v>1150</v>
      </c>
      <c r="F1196" s="15">
        <v>367</v>
      </c>
      <c r="G1196" s="15">
        <v>367</v>
      </c>
    </row>
    <row r="1197" spans="1:7">
      <c r="A1197" s="14">
        <v>4797</v>
      </c>
      <c r="B1197" s="13" t="s">
        <v>13958</v>
      </c>
      <c r="C1197" s="13" t="s">
        <v>13959</v>
      </c>
      <c r="D1197" s="13" t="s">
        <v>13564</v>
      </c>
      <c r="E1197" s="13" t="s">
        <v>1150</v>
      </c>
      <c r="F1197" s="15">
        <v>39965</v>
      </c>
      <c r="G1197" s="15">
        <v>39965</v>
      </c>
    </row>
    <row r="1198" spans="1:7">
      <c r="A1198" s="14">
        <v>4800</v>
      </c>
      <c r="B1198" s="13" t="s">
        <v>13960</v>
      </c>
      <c r="C1198" s="13" t="s">
        <v>13961</v>
      </c>
      <c r="D1198" s="13" t="s">
        <v>13564</v>
      </c>
      <c r="E1198" s="13" t="s">
        <v>1150</v>
      </c>
      <c r="F1198" s="15">
        <v>367</v>
      </c>
      <c r="G1198" s="15">
        <v>367</v>
      </c>
    </row>
    <row r="1199" spans="1:7">
      <c r="A1199" s="14">
        <v>4805</v>
      </c>
      <c r="B1199" s="13" t="s">
        <v>13962</v>
      </c>
      <c r="C1199" s="13" t="s">
        <v>13963</v>
      </c>
      <c r="D1199" s="13" t="s">
        <v>13564</v>
      </c>
      <c r="E1199" s="13" t="s">
        <v>1150</v>
      </c>
      <c r="F1199" s="15">
        <v>367</v>
      </c>
      <c r="G1199" s="15">
        <v>367</v>
      </c>
    </row>
    <row r="1200" spans="1:7">
      <c r="A1200" s="14">
        <v>4810</v>
      </c>
      <c r="B1200" s="13" t="s">
        <v>13964</v>
      </c>
      <c r="C1200" s="13" t="s">
        <v>13965</v>
      </c>
      <c r="D1200" s="13" t="s">
        <v>13564</v>
      </c>
      <c r="E1200" s="13" t="s">
        <v>1150</v>
      </c>
      <c r="F1200" s="15">
        <v>367</v>
      </c>
      <c r="G1200" s="15">
        <v>367</v>
      </c>
    </row>
    <row r="1201" spans="1:7">
      <c r="A1201" s="14">
        <v>4815</v>
      </c>
      <c r="B1201" s="13" t="s">
        <v>13966</v>
      </c>
      <c r="C1201" s="13" t="s">
        <v>13967</v>
      </c>
      <c r="D1201" s="13" t="s">
        <v>13564</v>
      </c>
      <c r="E1201" s="13" t="s">
        <v>1150</v>
      </c>
      <c r="F1201" s="15">
        <v>367</v>
      </c>
      <c r="G1201" s="15">
        <v>367</v>
      </c>
    </row>
    <row r="1202" spans="1:7">
      <c r="A1202" s="14">
        <v>4820</v>
      </c>
      <c r="B1202" s="13" t="s">
        <v>13968</v>
      </c>
      <c r="C1202" s="13" t="s">
        <v>13969</v>
      </c>
      <c r="D1202" s="13" t="s">
        <v>13564</v>
      </c>
      <c r="E1202" s="13" t="s">
        <v>1150</v>
      </c>
      <c r="F1202" s="15">
        <v>367</v>
      </c>
      <c r="G1202" s="15">
        <v>367</v>
      </c>
    </row>
    <row r="1203" spans="1:7">
      <c r="A1203" s="14">
        <v>4825</v>
      </c>
      <c r="B1203" s="13" t="s">
        <v>13970</v>
      </c>
      <c r="C1203" s="13" t="s">
        <v>13971</v>
      </c>
      <c r="D1203" s="13" t="s">
        <v>13564</v>
      </c>
      <c r="E1203" s="13" t="s">
        <v>1150</v>
      </c>
      <c r="F1203" s="15">
        <v>367</v>
      </c>
      <c r="G1203" s="15">
        <v>367</v>
      </c>
    </row>
    <row r="1204" spans="1:7">
      <c r="A1204" s="14">
        <v>4830</v>
      </c>
      <c r="B1204" s="13" t="s">
        <v>13972</v>
      </c>
      <c r="C1204" s="13" t="s">
        <v>13973</v>
      </c>
      <c r="D1204" s="13" t="s">
        <v>13564</v>
      </c>
      <c r="E1204" s="13" t="s">
        <v>1150</v>
      </c>
      <c r="F1204" s="15">
        <v>367</v>
      </c>
      <c r="G1204" s="15">
        <v>367</v>
      </c>
    </row>
    <row r="1205" spans="1:7">
      <c r="A1205" s="14">
        <v>4835</v>
      </c>
      <c r="B1205" s="13" t="s">
        <v>13974</v>
      </c>
      <c r="C1205" s="13" t="s">
        <v>13975</v>
      </c>
      <c r="D1205" s="13" t="s">
        <v>13564</v>
      </c>
      <c r="E1205" s="13" t="s">
        <v>1150</v>
      </c>
      <c r="F1205" s="15">
        <v>367</v>
      </c>
      <c r="G1205" s="15">
        <v>367</v>
      </c>
    </row>
    <row r="1206" spans="1:7">
      <c r="A1206" s="14">
        <v>4840</v>
      </c>
      <c r="B1206" s="13" t="s">
        <v>13976</v>
      </c>
      <c r="C1206" s="13" t="s">
        <v>13977</v>
      </c>
      <c r="D1206" s="13" t="s">
        <v>13564</v>
      </c>
      <c r="E1206" s="13" t="s">
        <v>1150</v>
      </c>
      <c r="F1206" s="15">
        <v>367</v>
      </c>
      <c r="G1206" s="15">
        <v>367</v>
      </c>
    </row>
    <row r="1207" spans="1:7">
      <c r="A1207" s="14">
        <v>4845</v>
      </c>
      <c r="B1207" s="13" t="s">
        <v>13978</v>
      </c>
      <c r="C1207" s="13" t="s">
        <v>13979</v>
      </c>
      <c r="D1207" s="13" t="s">
        <v>13564</v>
      </c>
      <c r="E1207" s="13" t="s">
        <v>1150</v>
      </c>
      <c r="F1207" s="15">
        <v>367</v>
      </c>
      <c r="G1207" s="15">
        <v>367</v>
      </c>
    </row>
    <row r="1208" spans="1:7">
      <c r="A1208" s="14">
        <v>4850</v>
      </c>
      <c r="B1208" s="13" t="s">
        <v>13980</v>
      </c>
      <c r="C1208" s="13" t="s">
        <v>13981</v>
      </c>
      <c r="D1208" s="13" t="s">
        <v>13564</v>
      </c>
      <c r="E1208" s="13" t="s">
        <v>1150</v>
      </c>
      <c r="F1208" s="15">
        <v>367</v>
      </c>
      <c r="G1208" s="15">
        <v>367</v>
      </c>
    </row>
    <row r="1209" spans="1:7">
      <c r="A1209" s="14">
        <v>4855</v>
      </c>
      <c r="B1209" s="13" t="s">
        <v>13982</v>
      </c>
      <c r="C1209" s="13" t="s">
        <v>13983</v>
      </c>
      <c r="D1209" s="13" t="s">
        <v>13564</v>
      </c>
      <c r="E1209" s="13" t="s">
        <v>1150</v>
      </c>
      <c r="F1209" s="15">
        <v>367</v>
      </c>
      <c r="G1209" s="15">
        <v>367</v>
      </c>
    </row>
    <row r="1210" spans="1:7">
      <c r="A1210" s="14">
        <v>4860</v>
      </c>
      <c r="B1210" s="13" t="s">
        <v>13984</v>
      </c>
      <c r="C1210" s="13" t="s">
        <v>13985</v>
      </c>
      <c r="D1210" s="13" t="s">
        <v>13564</v>
      </c>
      <c r="E1210" s="13" t="s">
        <v>1150</v>
      </c>
      <c r="F1210" s="15">
        <v>367</v>
      </c>
      <c r="G1210" s="15">
        <v>367</v>
      </c>
    </row>
    <row r="1211" spans="1:7">
      <c r="A1211" s="14">
        <v>4865</v>
      </c>
      <c r="B1211" s="13" t="s">
        <v>13986</v>
      </c>
      <c r="C1211" s="13" t="s">
        <v>13987</v>
      </c>
      <c r="D1211" s="13" t="s">
        <v>13564</v>
      </c>
      <c r="E1211" s="13" t="s">
        <v>1150</v>
      </c>
      <c r="F1211" s="15">
        <v>367</v>
      </c>
      <c r="G1211" s="15">
        <v>367</v>
      </c>
    </row>
    <row r="1212" spans="1:7">
      <c r="A1212" s="14">
        <v>4870</v>
      </c>
      <c r="B1212" s="13" t="s">
        <v>13988</v>
      </c>
      <c r="C1212" s="13" t="s">
        <v>13989</v>
      </c>
      <c r="D1212" s="13" t="s">
        <v>13564</v>
      </c>
      <c r="E1212" s="13" t="s">
        <v>1150</v>
      </c>
      <c r="F1212" s="15">
        <v>367</v>
      </c>
      <c r="G1212" s="15">
        <v>367</v>
      </c>
    </row>
    <row r="1213" spans="1:7">
      <c r="A1213" s="14">
        <v>4872</v>
      </c>
      <c r="B1213" s="13" t="s">
        <v>13990</v>
      </c>
      <c r="C1213" s="13" t="s">
        <v>13991</v>
      </c>
      <c r="D1213" s="13" t="s">
        <v>13564</v>
      </c>
      <c r="E1213" s="13" t="s">
        <v>1150</v>
      </c>
      <c r="F1213" s="15">
        <v>37561</v>
      </c>
      <c r="G1213" s="15">
        <v>37561</v>
      </c>
    </row>
    <row r="1214" spans="1:7">
      <c r="A1214" s="14">
        <v>4875</v>
      </c>
      <c r="B1214" s="13" t="s">
        <v>13992</v>
      </c>
      <c r="C1214" s="13" t="s">
        <v>13993</v>
      </c>
      <c r="D1214" s="13" t="s">
        <v>13564</v>
      </c>
      <c r="E1214" s="13" t="s">
        <v>1150</v>
      </c>
      <c r="F1214" s="15">
        <v>367</v>
      </c>
      <c r="G1214" s="15">
        <v>367</v>
      </c>
    </row>
    <row r="1215" spans="1:7">
      <c r="A1215" s="14">
        <v>4880</v>
      </c>
      <c r="B1215" s="13" t="s">
        <v>13994</v>
      </c>
      <c r="C1215" s="13" t="s">
        <v>13995</v>
      </c>
      <c r="D1215" s="13" t="s">
        <v>13564</v>
      </c>
      <c r="E1215" s="13" t="s">
        <v>1150</v>
      </c>
      <c r="F1215" s="15">
        <v>367</v>
      </c>
      <c r="G1215" s="15">
        <v>367</v>
      </c>
    </row>
    <row r="1216" spans="1:7">
      <c r="A1216" s="14">
        <v>4885</v>
      </c>
      <c r="B1216" s="13" t="s">
        <v>13996</v>
      </c>
      <c r="C1216" s="13" t="s">
        <v>13997</v>
      </c>
      <c r="D1216" s="13" t="s">
        <v>13564</v>
      </c>
      <c r="E1216" s="13" t="s">
        <v>1150</v>
      </c>
      <c r="F1216" s="15">
        <v>367</v>
      </c>
      <c r="G1216" s="15">
        <v>367</v>
      </c>
    </row>
    <row r="1217" spans="1:7">
      <c r="A1217" s="14">
        <v>4890</v>
      </c>
      <c r="B1217" s="13" t="s">
        <v>13998</v>
      </c>
      <c r="C1217" s="13" t="s">
        <v>13999</v>
      </c>
      <c r="D1217" s="13" t="s">
        <v>13564</v>
      </c>
      <c r="E1217" s="13" t="s">
        <v>1150</v>
      </c>
      <c r="F1217" s="15">
        <v>367</v>
      </c>
      <c r="G1217" s="15">
        <v>367</v>
      </c>
    </row>
    <row r="1218" spans="1:7">
      <c r="A1218" s="14">
        <v>4895</v>
      </c>
      <c r="B1218" s="13" t="s">
        <v>14000</v>
      </c>
      <c r="C1218" s="13" t="s">
        <v>14001</v>
      </c>
      <c r="D1218" s="13" t="s">
        <v>13564</v>
      </c>
      <c r="E1218" s="13" t="s">
        <v>1150</v>
      </c>
      <c r="F1218" s="15">
        <v>367</v>
      </c>
      <c r="G1218" s="15">
        <v>367</v>
      </c>
    </row>
    <row r="1219" spans="1:7">
      <c r="A1219" s="14">
        <v>4900</v>
      </c>
      <c r="B1219" s="13" t="s">
        <v>14002</v>
      </c>
      <c r="C1219" s="13" t="s">
        <v>14003</v>
      </c>
      <c r="D1219" s="13" t="s">
        <v>13564</v>
      </c>
      <c r="E1219" s="13" t="s">
        <v>1150</v>
      </c>
      <c r="F1219" s="15">
        <v>367</v>
      </c>
      <c r="G1219" s="15">
        <v>367</v>
      </c>
    </row>
    <row r="1220" spans="1:7">
      <c r="A1220" s="14">
        <v>4905</v>
      </c>
      <c r="B1220" s="13" t="s">
        <v>14004</v>
      </c>
      <c r="C1220" s="13" t="s">
        <v>14005</v>
      </c>
      <c r="D1220" s="13" t="s">
        <v>13564</v>
      </c>
      <c r="E1220" s="13" t="s">
        <v>1150</v>
      </c>
      <c r="F1220" s="15">
        <v>367</v>
      </c>
      <c r="G1220" s="15">
        <v>367</v>
      </c>
    </row>
    <row r="1221" spans="1:7">
      <c r="A1221" s="14">
        <v>4914</v>
      </c>
      <c r="B1221" s="13" t="s">
        <v>14006</v>
      </c>
      <c r="C1221" s="13" t="s">
        <v>12481</v>
      </c>
      <c r="D1221" s="13" t="s">
        <v>13564</v>
      </c>
      <c r="E1221" s="13" t="s">
        <v>1150</v>
      </c>
      <c r="F1221" s="15">
        <v>39965</v>
      </c>
      <c r="G1221" s="15">
        <v>39965</v>
      </c>
    </row>
    <row r="1222" spans="1:7">
      <c r="A1222" s="14">
        <v>4910</v>
      </c>
      <c r="B1222" s="13" t="s">
        <v>14007</v>
      </c>
      <c r="C1222" s="13" t="s">
        <v>14008</v>
      </c>
      <c r="D1222" s="13" t="s">
        <v>13564</v>
      </c>
      <c r="E1222" s="13" t="s">
        <v>1150</v>
      </c>
      <c r="F1222" s="15">
        <v>367</v>
      </c>
      <c r="G1222" s="15">
        <v>367</v>
      </c>
    </row>
    <row r="1223" spans="1:7">
      <c r="A1223" s="14">
        <v>4911</v>
      </c>
      <c r="B1223" s="13" t="s">
        <v>14009</v>
      </c>
      <c r="C1223" s="13" t="s">
        <v>14010</v>
      </c>
      <c r="D1223" s="13" t="s">
        <v>13564</v>
      </c>
      <c r="E1223" s="13" t="s">
        <v>1150</v>
      </c>
      <c r="F1223" s="15">
        <v>39965</v>
      </c>
      <c r="G1223" s="15">
        <v>39965</v>
      </c>
    </row>
    <row r="1224" spans="1:7">
      <c r="A1224" s="14">
        <v>4913</v>
      </c>
      <c r="B1224" s="13" t="s">
        <v>14011</v>
      </c>
      <c r="C1224" s="13" t="s">
        <v>14012</v>
      </c>
      <c r="D1224" s="13" t="s">
        <v>13564</v>
      </c>
      <c r="E1224" s="13" t="s">
        <v>1150</v>
      </c>
      <c r="F1224" s="15">
        <v>368</v>
      </c>
      <c r="G1224" s="15">
        <v>368</v>
      </c>
    </row>
    <row r="1225" spans="1:7">
      <c r="A1225" s="14">
        <v>4915</v>
      </c>
      <c r="B1225" s="13" t="s">
        <v>14013</v>
      </c>
      <c r="C1225" s="13" t="s">
        <v>14014</v>
      </c>
      <c r="D1225" s="13" t="s">
        <v>13564</v>
      </c>
      <c r="E1225" s="13" t="s">
        <v>1150</v>
      </c>
      <c r="F1225" s="15">
        <v>367</v>
      </c>
      <c r="G1225" s="15">
        <v>367</v>
      </c>
    </row>
    <row r="1226" spans="1:7">
      <c r="A1226" s="14">
        <v>4920</v>
      </c>
      <c r="B1226" s="13" t="s">
        <v>14015</v>
      </c>
      <c r="C1226" s="13" t="s">
        <v>14016</v>
      </c>
      <c r="D1226" s="13" t="s">
        <v>13564</v>
      </c>
      <c r="E1226" s="13" t="s">
        <v>1150</v>
      </c>
      <c r="F1226" s="15">
        <v>367</v>
      </c>
      <c r="G1226" s="15">
        <v>367</v>
      </c>
    </row>
    <row r="1227" spans="1:7">
      <c r="A1227" s="14">
        <v>4925</v>
      </c>
      <c r="B1227" s="13" t="s">
        <v>14017</v>
      </c>
      <c r="C1227" s="13" t="s">
        <v>13424</v>
      </c>
      <c r="D1227" s="13" t="s">
        <v>13564</v>
      </c>
      <c r="E1227" s="13" t="s">
        <v>1150</v>
      </c>
      <c r="F1227" s="15">
        <v>367</v>
      </c>
      <c r="G1227" s="15">
        <v>367</v>
      </c>
    </row>
    <row r="1228" spans="1:7">
      <c r="A1228" s="14">
        <v>4930</v>
      </c>
      <c r="B1228" s="13" t="s">
        <v>14018</v>
      </c>
      <c r="C1228" s="13" t="s">
        <v>14019</v>
      </c>
      <c r="D1228" s="13" t="s">
        <v>13564</v>
      </c>
      <c r="E1228" s="13" t="s">
        <v>1150</v>
      </c>
      <c r="F1228" s="15">
        <v>367</v>
      </c>
      <c r="G1228" s="15">
        <v>367</v>
      </c>
    </row>
    <row r="1229" spans="1:7">
      <c r="A1229" s="14">
        <v>4935</v>
      </c>
      <c r="B1229" s="13" t="s">
        <v>14020</v>
      </c>
      <c r="C1229" s="13" t="s">
        <v>14021</v>
      </c>
      <c r="D1229" s="13" t="s">
        <v>13564</v>
      </c>
      <c r="E1229" s="13" t="s">
        <v>1150</v>
      </c>
      <c r="F1229" s="15">
        <v>367</v>
      </c>
      <c r="G1229" s="15">
        <v>367</v>
      </c>
    </row>
    <row r="1230" spans="1:7">
      <c r="A1230" s="14">
        <v>4940</v>
      </c>
      <c r="B1230" s="13" t="s">
        <v>14022</v>
      </c>
      <c r="C1230" s="13" t="s">
        <v>14023</v>
      </c>
      <c r="D1230" s="13" t="s">
        <v>13564</v>
      </c>
      <c r="E1230" s="13" t="s">
        <v>1150</v>
      </c>
      <c r="F1230" s="15">
        <v>367</v>
      </c>
      <c r="G1230" s="15">
        <v>367</v>
      </c>
    </row>
    <row r="1231" spans="1:7">
      <c r="A1231" s="14">
        <v>4945</v>
      </c>
      <c r="B1231" s="13" t="s">
        <v>14024</v>
      </c>
      <c r="C1231" s="13" t="s">
        <v>14025</v>
      </c>
      <c r="D1231" s="13" t="s">
        <v>13564</v>
      </c>
      <c r="E1231" s="13" t="s">
        <v>1150</v>
      </c>
      <c r="F1231" s="15">
        <v>367</v>
      </c>
      <c r="G1231" s="15">
        <v>367</v>
      </c>
    </row>
    <row r="1232" spans="1:7">
      <c r="A1232" s="14">
        <v>4950</v>
      </c>
      <c r="B1232" s="13" t="s">
        <v>14026</v>
      </c>
      <c r="C1232" s="13" t="s">
        <v>14027</v>
      </c>
      <c r="D1232" s="13" t="s">
        <v>13564</v>
      </c>
      <c r="E1232" s="13" t="s">
        <v>1150</v>
      </c>
      <c r="F1232" s="15">
        <v>367</v>
      </c>
      <c r="G1232" s="15">
        <v>367</v>
      </c>
    </row>
    <row r="1233" spans="1:7">
      <c r="A1233" s="14">
        <v>4954</v>
      </c>
      <c r="B1233" s="13" t="s">
        <v>14028</v>
      </c>
      <c r="C1233" s="13" t="s">
        <v>14029</v>
      </c>
      <c r="D1233" s="13" t="s">
        <v>13564</v>
      </c>
      <c r="E1233" s="13" t="s">
        <v>1150</v>
      </c>
      <c r="F1233" s="15">
        <v>38415</v>
      </c>
      <c r="G1233" s="15">
        <v>38415</v>
      </c>
    </row>
    <row r="1234" spans="1:7">
      <c r="A1234" s="14">
        <v>4955</v>
      </c>
      <c r="B1234" s="13" t="s">
        <v>14030</v>
      </c>
      <c r="C1234" s="13" t="s">
        <v>14031</v>
      </c>
      <c r="D1234" s="13" t="s">
        <v>13564</v>
      </c>
      <c r="E1234" s="13" t="s">
        <v>1150</v>
      </c>
      <c r="F1234" s="15">
        <v>367</v>
      </c>
      <c r="G1234" s="15">
        <v>367</v>
      </c>
    </row>
    <row r="1235" spans="1:7">
      <c r="A1235" s="14">
        <v>4956</v>
      </c>
      <c r="B1235" s="13" t="s">
        <v>14032</v>
      </c>
      <c r="C1235" s="13" t="s">
        <v>12685</v>
      </c>
      <c r="D1235" s="13" t="s">
        <v>13564</v>
      </c>
      <c r="E1235" s="13" t="s">
        <v>1150</v>
      </c>
      <c r="F1235" s="15">
        <v>38415</v>
      </c>
      <c r="G1235" s="15">
        <v>38415</v>
      </c>
    </row>
    <row r="1236" spans="1:7">
      <c r="A1236" s="14">
        <v>4960</v>
      </c>
      <c r="B1236" s="13" t="s">
        <v>14033</v>
      </c>
      <c r="C1236" s="13" t="s">
        <v>13486</v>
      </c>
      <c r="D1236" s="13" t="s">
        <v>13564</v>
      </c>
      <c r="E1236" s="13" t="s">
        <v>1150</v>
      </c>
      <c r="F1236" s="15">
        <v>367</v>
      </c>
      <c r="G1236" s="15">
        <v>367</v>
      </c>
    </row>
    <row r="1237" spans="1:7">
      <c r="A1237" s="14">
        <v>4965</v>
      </c>
      <c r="B1237" s="13" t="s">
        <v>14034</v>
      </c>
      <c r="C1237" s="13" t="s">
        <v>13470</v>
      </c>
      <c r="D1237" s="13" t="s">
        <v>13564</v>
      </c>
      <c r="E1237" s="13" t="s">
        <v>1150</v>
      </c>
      <c r="F1237" s="15">
        <v>367</v>
      </c>
      <c r="G1237" s="15">
        <v>367</v>
      </c>
    </row>
    <row r="1238" spans="1:7">
      <c r="A1238" s="14">
        <v>4970</v>
      </c>
      <c r="B1238" s="13" t="s">
        <v>14035</v>
      </c>
      <c r="C1238" s="13" t="s">
        <v>13480</v>
      </c>
      <c r="D1238" s="13" t="s">
        <v>13564</v>
      </c>
      <c r="E1238" s="13" t="s">
        <v>1150</v>
      </c>
      <c r="F1238" s="15">
        <v>367</v>
      </c>
      <c r="G1238" s="15">
        <v>367</v>
      </c>
    </row>
    <row r="1239" spans="1:7">
      <c r="A1239" s="14">
        <v>4975</v>
      </c>
      <c r="B1239" s="13" t="s">
        <v>14036</v>
      </c>
      <c r="C1239" s="13" t="s">
        <v>14037</v>
      </c>
      <c r="D1239" s="13" t="s">
        <v>13564</v>
      </c>
      <c r="E1239" s="13" t="s">
        <v>1150</v>
      </c>
      <c r="F1239" s="15">
        <v>367</v>
      </c>
      <c r="G1239" s="15">
        <v>367</v>
      </c>
    </row>
    <row r="1240" spans="1:7">
      <c r="A1240" s="14">
        <v>4980</v>
      </c>
      <c r="B1240" s="13" t="s">
        <v>14038</v>
      </c>
      <c r="C1240" s="13" t="s">
        <v>14039</v>
      </c>
      <c r="D1240" s="13" t="s">
        <v>13564</v>
      </c>
      <c r="E1240" s="13" t="s">
        <v>1150</v>
      </c>
      <c r="F1240" s="15">
        <v>367</v>
      </c>
      <c r="G1240" s="15">
        <v>367</v>
      </c>
    </row>
    <row r="1241" spans="1:7">
      <c r="A1241" s="14">
        <v>4985</v>
      </c>
      <c r="B1241" s="13" t="s">
        <v>14040</v>
      </c>
      <c r="C1241" s="13" t="s">
        <v>14041</v>
      </c>
      <c r="D1241" s="13" t="s">
        <v>13564</v>
      </c>
      <c r="E1241" s="13" t="s">
        <v>1150</v>
      </c>
      <c r="F1241" s="15">
        <v>367</v>
      </c>
      <c r="G1241" s="15">
        <v>367</v>
      </c>
    </row>
    <row r="1242" spans="1:7">
      <c r="A1242" s="14">
        <v>4990</v>
      </c>
      <c r="B1242" s="13" t="s">
        <v>14042</v>
      </c>
      <c r="C1242" s="13" t="s">
        <v>14043</v>
      </c>
      <c r="D1242" s="13" t="s">
        <v>13564</v>
      </c>
      <c r="E1242" s="13" t="s">
        <v>1150</v>
      </c>
      <c r="F1242" s="15">
        <v>367</v>
      </c>
      <c r="G1242" s="15">
        <v>367</v>
      </c>
    </row>
    <row r="1243" spans="1:7">
      <c r="A1243" s="14">
        <v>4995</v>
      </c>
      <c r="B1243" s="13" t="s">
        <v>14044</v>
      </c>
      <c r="C1243" s="13" t="s">
        <v>13478</v>
      </c>
      <c r="D1243" s="13" t="s">
        <v>13564</v>
      </c>
      <c r="E1243" s="13" t="s">
        <v>1150</v>
      </c>
      <c r="F1243" s="15">
        <v>367</v>
      </c>
      <c r="G1243" s="15">
        <v>367</v>
      </c>
    </row>
    <row r="1244" spans="1:7">
      <c r="A1244" s="14">
        <v>5000</v>
      </c>
      <c r="B1244" s="13" t="s">
        <v>14045</v>
      </c>
      <c r="C1244" s="13" t="s">
        <v>14046</v>
      </c>
      <c r="D1244" s="13" t="s">
        <v>13564</v>
      </c>
      <c r="E1244" s="13" t="s">
        <v>1150</v>
      </c>
      <c r="F1244" s="15">
        <v>367</v>
      </c>
      <c r="G1244" s="15">
        <v>367</v>
      </c>
    </row>
    <row r="1245" spans="1:7">
      <c r="A1245" s="14">
        <v>5005</v>
      </c>
      <c r="B1245" s="13" t="s">
        <v>14047</v>
      </c>
      <c r="C1245" s="13" t="s">
        <v>14048</v>
      </c>
      <c r="D1245" s="13" t="s">
        <v>13564</v>
      </c>
      <c r="E1245" s="13" t="s">
        <v>1150</v>
      </c>
      <c r="F1245" s="15">
        <v>367</v>
      </c>
      <c r="G1245" s="15">
        <v>367</v>
      </c>
    </row>
    <row r="1246" spans="1:7">
      <c r="A1246" s="14">
        <v>5010</v>
      </c>
      <c r="B1246" s="13" t="s">
        <v>14049</v>
      </c>
      <c r="C1246" s="13" t="s">
        <v>14050</v>
      </c>
      <c r="D1246" s="13" t="s">
        <v>13564</v>
      </c>
      <c r="E1246" s="13" t="s">
        <v>1150</v>
      </c>
      <c r="F1246" s="15">
        <v>367</v>
      </c>
      <c r="G1246" s="15">
        <v>367</v>
      </c>
    </row>
    <row r="1247" spans="1:7">
      <c r="A1247" s="14">
        <v>5015</v>
      </c>
      <c r="B1247" s="13" t="s">
        <v>14051</v>
      </c>
      <c r="C1247" s="13" t="s">
        <v>14052</v>
      </c>
      <c r="D1247" s="13" t="s">
        <v>13564</v>
      </c>
      <c r="E1247" s="13" t="s">
        <v>1150</v>
      </c>
      <c r="F1247" s="15">
        <v>367</v>
      </c>
      <c r="G1247" s="15">
        <v>367</v>
      </c>
    </row>
    <row r="1248" spans="1:7">
      <c r="A1248" s="14">
        <v>5020</v>
      </c>
      <c r="B1248" s="13" t="s">
        <v>14053</v>
      </c>
      <c r="C1248" s="13" t="s">
        <v>14054</v>
      </c>
      <c r="D1248" s="13" t="s">
        <v>13564</v>
      </c>
      <c r="E1248" s="13" t="s">
        <v>1150</v>
      </c>
      <c r="F1248" s="15">
        <v>367</v>
      </c>
      <c r="G1248" s="15">
        <v>367</v>
      </c>
    </row>
    <row r="1249" spans="1:7">
      <c r="A1249" s="14">
        <v>5025</v>
      </c>
      <c r="B1249" s="13" t="s">
        <v>14055</v>
      </c>
      <c r="C1249" s="13" t="s">
        <v>14056</v>
      </c>
      <c r="D1249" s="13" t="s">
        <v>13564</v>
      </c>
      <c r="E1249" s="13" t="s">
        <v>1150</v>
      </c>
      <c r="F1249" s="15">
        <v>367</v>
      </c>
      <c r="G1249" s="15">
        <v>367</v>
      </c>
    </row>
    <row r="1250" spans="1:7">
      <c r="A1250" s="14">
        <v>5030</v>
      </c>
      <c r="B1250" s="13" t="s">
        <v>14057</v>
      </c>
      <c r="C1250" s="13" t="s">
        <v>14058</v>
      </c>
      <c r="D1250" s="13" t="s">
        <v>13564</v>
      </c>
      <c r="E1250" s="13" t="s">
        <v>1150</v>
      </c>
      <c r="F1250" s="15">
        <v>367</v>
      </c>
      <c r="G1250" s="15">
        <v>367</v>
      </c>
    </row>
    <row r="1251" spans="1:7">
      <c r="A1251" s="14">
        <v>5035</v>
      </c>
      <c r="B1251" s="13" t="s">
        <v>14059</v>
      </c>
      <c r="C1251" s="13" t="s">
        <v>14060</v>
      </c>
      <c r="D1251" s="13" t="s">
        <v>13564</v>
      </c>
      <c r="E1251" s="13" t="s">
        <v>1150</v>
      </c>
      <c r="F1251" s="15">
        <v>367</v>
      </c>
      <c r="G1251" s="15">
        <v>367</v>
      </c>
    </row>
    <row r="1252" spans="1:7">
      <c r="A1252" s="14">
        <v>5040</v>
      </c>
      <c r="B1252" s="13" t="s">
        <v>14061</v>
      </c>
      <c r="C1252" s="13" t="s">
        <v>14062</v>
      </c>
      <c r="D1252" s="13" t="s">
        <v>13564</v>
      </c>
      <c r="E1252" s="13" t="s">
        <v>1150</v>
      </c>
      <c r="F1252" s="15">
        <v>367</v>
      </c>
      <c r="G1252" s="15">
        <v>367</v>
      </c>
    </row>
    <row r="1253" spans="1:7">
      <c r="A1253" s="14">
        <v>5045</v>
      </c>
      <c r="B1253" s="13" t="s">
        <v>14063</v>
      </c>
      <c r="C1253" s="13" t="s">
        <v>14064</v>
      </c>
      <c r="D1253" s="13" t="s">
        <v>13564</v>
      </c>
      <c r="E1253" s="13" t="s">
        <v>1150</v>
      </c>
      <c r="F1253" s="15">
        <v>367</v>
      </c>
      <c r="G1253" s="15">
        <v>367</v>
      </c>
    </row>
    <row r="1254" spans="1:7">
      <c r="A1254" s="14">
        <v>5046</v>
      </c>
      <c r="B1254" s="13" t="s">
        <v>14065</v>
      </c>
      <c r="C1254" s="13" t="s">
        <v>14066</v>
      </c>
      <c r="D1254" s="13" t="s">
        <v>13564</v>
      </c>
      <c r="E1254" s="13" t="s">
        <v>1150</v>
      </c>
      <c r="F1254" s="15">
        <v>44378</v>
      </c>
      <c r="G1254" s="15">
        <v>44378</v>
      </c>
    </row>
    <row r="1255" spans="1:7">
      <c r="A1255" s="14">
        <v>5047</v>
      </c>
      <c r="B1255" s="13" t="s">
        <v>14067</v>
      </c>
      <c r="C1255" s="13" t="s">
        <v>14068</v>
      </c>
      <c r="D1255" s="13" t="s">
        <v>13564</v>
      </c>
      <c r="E1255" s="13" t="s">
        <v>1150</v>
      </c>
      <c r="F1255" s="15">
        <v>44743</v>
      </c>
      <c r="G1255" s="15">
        <v>44743</v>
      </c>
    </row>
    <row r="1256" spans="1:7">
      <c r="A1256" s="14">
        <v>5048</v>
      </c>
      <c r="B1256" s="13" t="s">
        <v>14069</v>
      </c>
      <c r="C1256" s="13" t="s">
        <v>14070</v>
      </c>
      <c r="D1256" s="13" t="s">
        <v>13564</v>
      </c>
      <c r="E1256" s="13" t="s">
        <v>1150</v>
      </c>
      <c r="F1256" s="15">
        <v>39965</v>
      </c>
      <c r="G1256" s="15">
        <v>39965</v>
      </c>
    </row>
    <row r="1257" spans="1:7">
      <c r="A1257" s="14">
        <v>5050</v>
      </c>
      <c r="B1257" s="13" t="s">
        <v>14071</v>
      </c>
      <c r="C1257" s="13" t="s">
        <v>14072</v>
      </c>
      <c r="D1257" s="13" t="s">
        <v>13564</v>
      </c>
      <c r="E1257" s="13" t="s">
        <v>1150</v>
      </c>
      <c r="F1257" s="15">
        <v>367</v>
      </c>
      <c r="G1257" s="15">
        <v>367</v>
      </c>
    </row>
    <row r="1258" spans="1:7">
      <c r="A1258" s="14">
        <v>5055</v>
      </c>
      <c r="B1258" s="13" t="s">
        <v>14073</v>
      </c>
      <c r="C1258" s="13" t="s">
        <v>14074</v>
      </c>
      <c r="D1258" s="13" t="s">
        <v>13564</v>
      </c>
      <c r="E1258" s="13" t="s">
        <v>1150</v>
      </c>
      <c r="F1258" s="15">
        <v>367</v>
      </c>
      <c r="G1258" s="15">
        <v>367</v>
      </c>
    </row>
    <row r="1259" spans="1:7">
      <c r="A1259" s="14">
        <v>5058</v>
      </c>
      <c r="B1259" s="13" t="s">
        <v>14075</v>
      </c>
      <c r="C1259" s="13" t="s">
        <v>14076</v>
      </c>
      <c r="D1259" s="13" t="s">
        <v>13564</v>
      </c>
      <c r="E1259" s="13" t="s">
        <v>1150</v>
      </c>
      <c r="F1259" s="15">
        <v>42736</v>
      </c>
      <c r="G1259" s="15">
        <v>42736</v>
      </c>
    </row>
    <row r="1260" spans="1:7">
      <c r="A1260" s="14">
        <v>5060</v>
      </c>
      <c r="B1260" s="13" t="s">
        <v>14077</v>
      </c>
      <c r="C1260" s="13" t="s">
        <v>14078</v>
      </c>
      <c r="D1260" s="13" t="s">
        <v>13564</v>
      </c>
      <c r="E1260" s="13" t="s">
        <v>1150</v>
      </c>
      <c r="F1260" s="15">
        <v>367</v>
      </c>
      <c r="G1260" s="15">
        <v>367</v>
      </c>
    </row>
    <row r="1261" spans="1:7">
      <c r="A1261" s="14">
        <v>5065</v>
      </c>
      <c r="B1261" s="13" t="s">
        <v>14079</v>
      </c>
      <c r="C1261" s="13" t="s">
        <v>14080</v>
      </c>
      <c r="D1261" s="13" t="s">
        <v>13564</v>
      </c>
      <c r="E1261" s="13" t="s">
        <v>1150</v>
      </c>
      <c r="F1261" s="15">
        <v>367</v>
      </c>
      <c r="G1261" s="15">
        <v>367</v>
      </c>
    </row>
    <row r="1262" spans="1:7">
      <c r="A1262" s="14">
        <v>5067</v>
      </c>
      <c r="B1262" s="13" t="s">
        <v>14081</v>
      </c>
      <c r="C1262" s="13" t="s">
        <v>14082</v>
      </c>
      <c r="D1262" s="13" t="s">
        <v>13564</v>
      </c>
      <c r="E1262" s="13" t="s">
        <v>1150</v>
      </c>
      <c r="F1262" s="15">
        <v>37644</v>
      </c>
      <c r="G1262" s="15">
        <v>37644</v>
      </c>
    </row>
    <row r="1263" spans="1:7">
      <c r="A1263" s="14">
        <v>5068</v>
      </c>
      <c r="B1263" s="13" t="s">
        <v>14083</v>
      </c>
      <c r="C1263" s="13" t="s">
        <v>12245</v>
      </c>
      <c r="D1263" s="13" t="s">
        <v>13564</v>
      </c>
      <c r="E1263" s="13" t="s">
        <v>1150</v>
      </c>
      <c r="F1263" s="15">
        <v>39965</v>
      </c>
      <c r="G1263" s="15">
        <v>39965</v>
      </c>
    </row>
    <row r="1264" spans="1:7">
      <c r="A1264" s="14">
        <v>5069</v>
      </c>
      <c r="B1264" s="13" t="s">
        <v>14084</v>
      </c>
      <c r="C1264" s="13" t="s">
        <v>14085</v>
      </c>
      <c r="D1264" s="13" t="s">
        <v>13564</v>
      </c>
      <c r="E1264" s="13" t="s">
        <v>1150</v>
      </c>
      <c r="F1264" s="15">
        <v>39965</v>
      </c>
      <c r="G1264" s="15">
        <v>39965</v>
      </c>
    </row>
    <row r="1265" spans="1:7">
      <c r="A1265" s="14">
        <v>5070</v>
      </c>
      <c r="B1265" s="13" t="s">
        <v>14086</v>
      </c>
      <c r="C1265" s="13" t="s">
        <v>14087</v>
      </c>
      <c r="D1265" s="13" t="s">
        <v>13564</v>
      </c>
      <c r="E1265" s="13" t="s">
        <v>1150</v>
      </c>
      <c r="F1265" s="15">
        <v>367</v>
      </c>
      <c r="G1265" s="15">
        <v>367</v>
      </c>
    </row>
    <row r="1266" spans="1:7">
      <c r="A1266" s="14">
        <v>5075</v>
      </c>
      <c r="B1266" s="13" t="s">
        <v>14088</v>
      </c>
      <c r="C1266" s="13" t="s">
        <v>14089</v>
      </c>
      <c r="D1266" s="13" t="s">
        <v>13564</v>
      </c>
      <c r="E1266" s="13" t="s">
        <v>1150</v>
      </c>
      <c r="F1266" s="15">
        <v>367</v>
      </c>
      <c r="G1266" s="15">
        <v>367</v>
      </c>
    </row>
    <row r="1267" spans="1:7">
      <c r="A1267" s="14">
        <v>5080</v>
      </c>
      <c r="B1267" s="13" t="s">
        <v>14090</v>
      </c>
      <c r="C1267" s="13" t="s">
        <v>14091</v>
      </c>
      <c r="D1267" s="13" t="s">
        <v>13564</v>
      </c>
      <c r="E1267" s="13" t="s">
        <v>1150</v>
      </c>
      <c r="F1267" s="15">
        <v>367</v>
      </c>
      <c r="G1267" s="15">
        <v>367</v>
      </c>
    </row>
    <row r="1268" spans="1:7">
      <c r="A1268" s="14">
        <v>5085</v>
      </c>
      <c r="B1268" s="13" t="s">
        <v>14092</v>
      </c>
      <c r="C1268" s="13" t="s">
        <v>14093</v>
      </c>
      <c r="D1268" s="13" t="s">
        <v>13564</v>
      </c>
      <c r="E1268" s="13" t="s">
        <v>1150</v>
      </c>
      <c r="F1268" s="15">
        <v>367</v>
      </c>
      <c r="G1268" s="15">
        <v>367</v>
      </c>
    </row>
    <row r="1269" spans="1:7">
      <c r="A1269" s="14">
        <v>5090</v>
      </c>
      <c r="B1269" s="13" t="s">
        <v>14094</v>
      </c>
      <c r="C1269" s="13" t="s">
        <v>14095</v>
      </c>
      <c r="D1269" s="13" t="s">
        <v>13564</v>
      </c>
      <c r="E1269" s="13" t="s">
        <v>1150</v>
      </c>
      <c r="F1269" s="15">
        <v>367</v>
      </c>
      <c r="G1269" s="15">
        <v>367</v>
      </c>
    </row>
    <row r="1270" spans="1:7">
      <c r="A1270" s="14">
        <v>5095</v>
      </c>
      <c r="B1270" s="13" t="s">
        <v>14096</v>
      </c>
      <c r="C1270" s="13" t="s">
        <v>14097</v>
      </c>
      <c r="D1270" s="13" t="s">
        <v>13564</v>
      </c>
      <c r="E1270" s="13" t="s">
        <v>1150</v>
      </c>
      <c r="F1270" s="15">
        <v>367</v>
      </c>
      <c r="G1270" s="15">
        <v>367</v>
      </c>
    </row>
    <row r="1271" spans="1:7">
      <c r="A1271" s="14">
        <v>5100</v>
      </c>
      <c r="B1271" s="13" t="s">
        <v>14098</v>
      </c>
      <c r="C1271" s="13" t="s">
        <v>14099</v>
      </c>
      <c r="D1271" s="13" t="s">
        <v>13564</v>
      </c>
      <c r="E1271" s="13" t="s">
        <v>1150</v>
      </c>
      <c r="F1271" s="15">
        <v>367</v>
      </c>
      <c r="G1271" s="15">
        <v>367</v>
      </c>
    </row>
    <row r="1272" spans="1:7">
      <c r="A1272" s="14">
        <v>5103</v>
      </c>
      <c r="B1272" s="13" t="s">
        <v>14100</v>
      </c>
      <c r="C1272" s="13" t="s">
        <v>14101</v>
      </c>
      <c r="D1272" s="13" t="s">
        <v>13564</v>
      </c>
      <c r="E1272" s="13" t="s">
        <v>1150</v>
      </c>
      <c r="F1272" s="15">
        <v>37659</v>
      </c>
      <c r="G1272" s="15">
        <v>37659</v>
      </c>
    </row>
    <row r="1273" spans="1:7">
      <c r="A1273" s="14">
        <v>5104</v>
      </c>
      <c r="B1273" s="13" t="s">
        <v>14102</v>
      </c>
      <c r="C1273" s="13" t="s">
        <v>14103</v>
      </c>
      <c r="D1273" s="13" t="s">
        <v>13564</v>
      </c>
      <c r="E1273" s="13" t="s">
        <v>1150</v>
      </c>
      <c r="F1273" s="15">
        <v>38322</v>
      </c>
      <c r="G1273" s="15">
        <v>38322</v>
      </c>
    </row>
    <row r="1274" spans="1:7">
      <c r="A1274" s="14">
        <v>5105</v>
      </c>
      <c r="B1274" s="13" t="s">
        <v>14104</v>
      </c>
      <c r="C1274" s="13" t="s">
        <v>14105</v>
      </c>
      <c r="D1274" s="13" t="s">
        <v>13564</v>
      </c>
      <c r="E1274" s="13" t="s">
        <v>1150</v>
      </c>
      <c r="F1274" s="15">
        <v>367</v>
      </c>
      <c r="G1274" s="15">
        <v>367</v>
      </c>
    </row>
    <row r="1275" spans="1:7">
      <c r="A1275" s="14">
        <v>5110</v>
      </c>
      <c r="B1275" s="13" t="s">
        <v>14106</v>
      </c>
      <c r="C1275" s="13" t="s">
        <v>14107</v>
      </c>
      <c r="D1275" s="13" t="s">
        <v>13564</v>
      </c>
      <c r="E1275" s="13" t="s">
        <v>1150</v>
      </c>
      <c r="F1275" s="15">
        <v>367</v>
      </c>
      <c r="G1275" s="15">
        <v>367</v>
      </c>
    </row>
    <row r="1276" spans="1:7">
      <c r="A1276" s="14">
        <v>5115</v>
      </c>
      <c r="B1276" s="13" t="s">
        <v>14108</v>
      </c>
      <c r="C1276" s="13" t="s">
        <v>14109</v>
      </c>
      <c r="D1276" s="13" t="s">
        <v>13564</v>
      </c>
      <c r="E1276" s="13" t="s">
        <v>1150</v>
      </c>
      <c r="F1276" s="15">
        <v>367</v>
      </c>
      <c r="G1276" s="15">
        <v>367</v>
      </c>
    </row>
    <row r="1277" spans="1:7">
      <c r="A1277" s="14">
        <v>5120</v>
      </c>
      <c r="B1277" s="13" t="s">
        <v>14110</v>
      </c>
      <c r="C1277" s="13" t="s">
        <v>14111</v>
      </c>
      <c r="D1277" s="13" t="s">
        <v>13564</v>
      </c>
      <c r="E1277" s="13" t="s">
        <v>1150</v>
      </c>
      <c r="F1277" s="15">
        <v>367</v>
      </c>
      <c r="G1277" s="15">
        <v>367</v>
      </c>
    </row>
    <row r="1278" spans="1:7">
      <c r="A1278" s="14">
        <v>5125</v>
      </c>
      <c r="B1278" s="13" t="s">
        <v>14112</v>
      </c>
      <c r="C1278" s="13" t="s">
        <v>14113</v>
      </c>
      <c r="D1278" s="13" t="s">
        <v>13564</v>
      </c>
      <c r="E1278" s="13" t="s">
        <v>1150</v>
      </c>
      <c r="F1278" s="15">
        <v>367</v>
      </c>
      <c r="G1278" s="15">
        <v>367</v>
      </c>
    </row>
    <row r="1279" spans="1:7">
      <c r="A1279" s="14">
        <v>5130</v>
      </c>
      <c r="B1279" s="13" t="s">
        <v>14114</v>
      </c>
      <c r="C1279" s="13" t="s">
        <v>14115</v>
      </c>
      <c r="D1279" s="13" t="s">
        <v>13564</v>
      </c>
      <c r="E1279" s="13" t="s">
        <v>1150</v>
      </c>
      <c r="F1279" s="15">
        <v>367</v>
      </c>
      <c r="G1279" s="15">
        <v>367</v>
      </c>
    </row>
    <row r="1280" spans="1:7">
      <c r="A1280" s="14">
        <v>5135</v>
      </c>
      <c r="B1280" s="13" t="s">
        <v>14116</v>
      </c>
      <c r="C1280" s="13" t="s">
        <v>14117</v>
      </c>
      <c r="D1280" s="13" t="s">
        <v>13564</v>
      </c>
      <c r="E1280" s="13" t="s">
        <v>1150</v>
      </c>
      <c r="F1280" s="15">
        <v>367</v>
      </c>
      <c r="G1280" s="15">
        <v>367</v>
      </c>
    </row>
    <row r="1281" spans="1:7">
      <c r="A1281" s="14">
        <v>5140</v>
      </c>
      <c r="B1281" s="13" t="s">
        <v>14118</v>
      </c>
      <c r="C1281" s="13" t="s">
        <v>14119</v>
      </c>
      <c r="D1281" s="13" t="s">
        <v>13564</v>
      </c>
      <c r="E1281" s="13" t="s">
        <v>1150</v>
      </c>
      <c r="F1281" s="15">
        <v>367</v>
      </c>
      <c r="G1281" s="15">
        <v>367</v>
      </c>
    </row>
    <row r="1282" spans="1:7">
      <c r="A1282" s="14">
        <v>5145</v>
      </c>
      <c r="B1282" s="13" t="s">
        <v>14120</v>
      </c>
      <c r="C1282" s="13" t="s">
        <v>14121</v>
      </c>
      <c r="D1282" s="13" t="s">
        <v>13564</v>
      </c>
      <c r="E1282" s="13" t="s">
        <v>1150</v>
      </c>
      <c r="F1282" s="15">
        <v>367</v>
      </c>
      <c r="G1282" s="15">
        <v>367</v>
      </c>
    </row>
    <row r="1283" spans="1:7">
      <c r="A1283" s="14">
        <v>5150</v>
      </c>
      <c r="B1283" s="13" t="s">
        <v>14122</v>
      </c>
      <c r="C1283" s="13" t="s">
        <v>14123</v>
      </c>
      <c r="D1283" s="13" t="s">
        <v>13564</v>
      </c>
      <c r="E1283" s="13" t="s">
        <v>1150</v>
      </c>
      <c r="F1283" s="15">
        <v>367</v>
      </c>
      <c r="G1283" s="15">
        <v>367</v>
      </c>
    </row>
    <row r="1284" spans="1:7">
      <c r="A1284" s="14">
        <v>5155</v>
      </c>
      <c r="B1284" s="13" t="s">
        <v>14124</v>
      </c>
      <c r="C1284" s="13" t="s">
        <v>14125</v>
      </c>
      <c r="D1284" s="13" t="s">
        <v>13564</v>
      </c>
      <c r="E1284" s="13" t="s">
        <v>1150</v>
      </c>
      <c r="F1284" s="15">
        <v>367</v>
      </c>
      <c r="G1284" s="15">
        <v>367</v>
      </c>
    </row>
    <row r="1285" spans="1:7">
      <c r="A1285" s="14">
        <v>5160</v>
      </c>
      <c r="B1285" s="13" t="s">
        <v>14126</v>
      </c>
      <c r="C1285" s="13" t="s">
        <v>14127</v>
      </c>
      <c r="D1285" s="13" t="s">
        <v>13564</v>
      </c>
      <c r="E1285" s="13" t="s">
        <v>1150</v>
      </c>
      <c r="F1285" s="15">
        <v>367</v>
      </c>
      <c r="G1285" s="15">
        <v>367</v>
      </c>
    </row>
    <row r="1286" spans="1:7">
      <c r="A1286" s="14">
        <v>5165</v>
      </c>
      <c r="B1286" s="13" t="s">
        <v>14128</v>
      </c>
      <c r="C1286" s="13" t="s">
        <v>13973</v>
      </c>
      <c r="D1286" s="13" t="s">
        <v>13564</v>
      </c>
      <c r="E1286" s="13" t="s">
        <v>1150</v>
      </c>
      <c r="F1286" s="15">
        <v>367</v>
      </c>
      <c r="G1286" s="15">
        <v>367</v>
      </c>
    </row>
    <row r="1287" spans="1:7">
      <c r="A1287" s="14">
        <v>5170</v>
      </c>
      <c r="B1287" s="13" t="s">
        <v>14129</v>
      </c>
      <c r="C1287" s="13" t="s">
        <v>14130</v>
      </c>
      <c r="D1287" s="13" t="s">
        <v>13564</v>
      </c>
      <c r="E1287" s="13" t="s">
        <v>1150</v>
      </c>
      <c r="F1287" s="15">
        <v>367</v>
      </c>
      <c r="G1287" s="15">
        <v>367</v>
      </c>
    </row>
    <row r="1288" spans="1:7">
      <c r="A1288" s="14">
        <v>5175</v>
      </c>
      <c r="B1288" s="13" t="s">
        <v>14131</v>
      </c>
      <c r="C1288" s="13" t="s">
        <v>14132</v>
      </c>
      <c r="D1288" s="13" t="s">
        <v>13564</v>
      </c>
      <c r="E1288" s="13" t="s">
        <v>1150</v>
      </c>
      <c r="F1288" s="15">
        <v>367</v>
      </c>
      <c r="G1288" s="15">
        <v>367</v>
      </c>
    </row>
    <row r="1289" spans="1:7">
      <c r="A1289" s="14">
        <v>5180</v>
      </c>
      <c r="B1289" s="13" t="s">
        <v>14133</v>
      </c>
      <c r="C1289" s="13" t="s">
        <v>14134</v>
      </c>
      <c r="D1289" s="13" t="s">
        <v>13564</v>
      </c>
      <c r="E1289" s="13" t="s">
        <v>1150</v>
      </c>
      <c r="F1289" s="15">
        <v>367</v>
      </c>
      <c r="G1289" s="15">
        <v>367</v>
      </c>
    </row>
    <row r="1290" spans="1:7">
      <c r="A1290" s="14">
        <v>5185</v>
      </c>
      <c r="B1290" s="13" t="s">
        <v>14135</v>
      </c>
      <c r="C1290" s="13" t="s">
        <v>14136</v>
      </c>
      <c r="D1290" s="13" t="s">
        <v>13564</v>
      </c>
      <c r="E1290" s="13" t="s">
        <v>1150</v>
      </c>
      <c r="F1290" s="15">
        <v>367</v>
      </c>
      <c r="G1290" s="15">
        <v>367</v>
      </c>
    </row>
    <row r="1291" spans="1:7">
      <c r="A1291" s="14">
        <v>5189</v>
      </c>
      <c r="B1291" s="13" t="s">
        <v>14137</v>
      </c>
      <c r="C1291" s="13" t="s">
        <v>14138</v>
      </c>
      <c r="D1291" s="13" t="s">
        <v>2179</v>
      </c>
      <c r="E1291" s="13" t="s">
        <v>1150</v>
      </c>
      <c r="F1291" s="15">
        <v>41360</v>
      </c>
      <c r="G1291" s="15">
        <v>41360</v>
      </c>
    </row>
    <row r="1292" spans="1:7">
      <c r="A1292" s="14">
        <v>5190</v>
      </c>
      <c r="B1292" s="13" t="s">
        <v>14139</v>
      </c>
      <c r="C1292" s="13" t="s">
        <v>14140</v>
      </c>
      <c r="D1292" s="13" t="s">
        <v>13564</v>
      </c>
      <c r="E1292" s="13" t="s">
        <v>1150</v>
      </c>
      <c r="F1292" s="15">
        <v>367</v>
      </c>
      <c r="G1292" s="15">
        <v>367</v>
      </c>
    </row>
    <row r="1293" spans="1:7">
      <c r="A1293" s="14">
        <v>5195</v>
      </c>
      <c r="B1293" s="13" t="s">
        <v>14141</v>
      </c>
      <c r="C1293" s="13" t="s">
        <v>14142</v>
      </c>
      <c r="D1293" s="13" t="s">
        <v>13564</v>
      </c>
      <c r="E1293" s="13" t="s">
        <v>1150</v>
      </c>
      <c r="F1293" s="15">
        <v>367</v>
      </c>
      <c r="G1293" s="15">
        <v>367</v>
      </c>
    </row>
    <row r="1294" spans="1:7">
      <c r="A1294" s="14">
        <v>5197</v>
      </c>
      <c r="B1294" s="13" t="s">
        <v>14143</v>
      </c>
      <c r="C1294" s="13" t="s">
        <v>14144</v>
      </c>
      <c r="D1294" s="13" t="s">
        <v>13564</v>
      </c>
      <c r="E1294" s="13" t="s">
        <v>1150</v>
      </c>
      <c r="F1294" s="15">
        <v>39965</v>
      </c>
      <c r="G1294" s="15">
        <v>39965</v>
      </c>
    </row>
    <row r="1295" spans="1:7">
      <c r="A1295" s="14">
        <v>5200</v>
      </c>
      <c r="B1295" s="13" t="s">
        <v>14145</v>
      </c>
      <c r="C1295" s="13" t="s">
        <v>14146</v>
      </c>
      <c r="D1295" s="13" t="s">
        <v>13564</v>
      </c>
      <c r="E1295" s="13" t="s">
        <v>1150</v>
      </c>
      <c r="F1295" s="15">
        <v>367</v>
      </c>
      <c r="G1295" s="15">
        <v>367</v>
      </c>
    </row>
    <row r="1296" spans="1:7">
      <c r="A1296" s="14">
        <v>5205</v>
      </c>
      <c r="B1296" s="13" t="s">
        <v>14147</v>
      </c>
      <c r="C1296" s="13" t="s">
        <v>14148</v>
      </c>
      <c r="D1296" s="13" t="s">
        <v>13564</v>
      </c>
      <c r="E1296" s="13" t="s">
        <v>1150</v>
      </c>
      <c r="F1296" s="15">
        <v>367</v>
      </c>
      <c r="G1296" s="15">
        <v>367</v>
      </c>
    </row>
    <row r="1297" spans="1:7">
      <c r="A1297" s="14">
        <v>5210</v>
      </c>
      <c r="B1297" s="13" t="s">
        <v>14149</v>
      </c>
      <c r="C1297" s="13" t="s">
        <v>14150</v>
      </c>
      <c r="D1297" s="13" t="s">
        <v>13564</v>
      </c>
      <c r="E1297" s="13" t="s">
        <v>1150</v>
      </c>
      <c r="F1297" s="15">
        <v>367</v>
      </c>
      <c r="G1297" s="15">
        <v>367</v>
      </c>
    </row>
    <row r="1298" spans="1:7">
      <c r="A1298" s="14">
        <v>5212</v>
      </c>
      <c r="B1298" s="13" t="s">
        <v>14151</v>
      </c>
      <c r="C1298" s="13" t="s">
        <v>14152</v>
      </c>
      <c r="D1298" s="13" t="s">
        <v>13564</v>
      </c>
      <c r="E1298" s="13" t="s">
        <v>1150</v>
      </c>
      <c r="F1298" s="15">
        <v>39965</v>
      </c>
      <c r="G1298" s="15">
        <v>39965</v>
      </c>
    </row>
    <row r="1299" spans="1:7">
      <c r="A1299" s="14">
        <v>5215</v>
      </c>
      <c r="B1299" s="13" t="s">
        <v>14153</v>
      </c>
      <c r="C1299" s="13" t="s">
        <v>12485</v>
      </c>
      <c r="D1299" s="13" t="s">
        <v>13564</v>
      </c>
      <c r="E1299" s="13" t="s">
        <v>1150</v>
      </c>
      <c r="F1299" s="15">
        <v>367</v>
      </c>
      <c r="G1299" s="15">
        <v>367</v>
      </c>
    </row>
    <row r="1300" spans="1:7">
      <c r="A1300" s="14">
        <v>5220</v>
      </c>
      <c r="B1300" s="13" t="s">
        <v>14154</v>
      </c>
      <c r="C1300" s="13" t="s">
        <v>14155</v>
      </c>
      <c r="D1300" s="13" t="s">
        <v>13564</v>
      </c>
      <c r="E1300" s="13" t="s">
        <v>1150</v>
      </c>
      <c r="F1300" s="15">
        <v>367</v>
      </c>
      <c r="G1300" s="15">
        <v>367</v>
      </c>
    </row>
    <row r="1301" spans="1:7">
      <c r="A1301" s="14">
        <v>5221</v>
      </c>
      <c r="B1301" s="13" t="s">
        <v>14156</v>
      </c>
      <c r="C1301" s="13" t="s">
        <v>14157</v>
      </c>
      <c r="D1301" s="13" t="s">
        <v>13564</v>
      </c>
      <c r="E1301" s="13" t="s">
        <v>1150</v>
      </c>
      <c r="F1301" s="15">
        <v>37762</v>
      </c>
      <c r="G1301" s="15">
        <v>37762</v>
      </c>
    </row>
    <row r="1302" spans="1:7">
      <c r="A1302" s="14">
        <v>5225</v>
      </c>
      <c r="B1302" s="13" t="s">
        <v>14158</v>
      </c>
      <c r="C1302" s="13" t="s">
        <v>14159</v>
      </c>
      <c r="D1302" s="13" t="s">
        <v>13564</v>
      </c>
      <c r="E1302" s="13" t="s">
        <v>1150</v>
      </c>
      <c r="F1302" s="15">
        <v>367</v>
      </c>
      <c r="G1302" s="15">
        <v>367</v>
      </c>
    </row>
    <row r="1303" spans="1:7">
      <c r="A1303" s="14">
        <v>5228</v>
      </c>
      <c r="B1303" s="13" t="s">
        <v>14160</v>
      </c>
      <c r="C1303" s="13" t="s">
        <v>14161</v>
      </c>
      <c r="D1303" s="13" t="s">
        <v>13564</v>
      </c>
      <c r="E1303" s="13" t="s">
        <v>1150</v>
      </c>
      <c r="F1303" s="15">
        <v>38534</v>
      </c>
      <c r="G1303" s="15">
        <v>38534</v>
      </c>
    </row>
    <row r="1304" spans="1:7">
      <c r="A1304" s="14">
        <v>5230</v>
      </c>
      <c r="B1304" s="13" t="s">
        <v>14162</v>
      </c>
      <c r="C1304" s="13" t="s">
        <v>14163</v>
      </c>
      <c r="D1304" s="13" t="s">
        <v>13564</v>
      </c>
      <c r="E1304" s="13" t="s">
        <v>1150</v>
      </c>
      <c r="F1304" s="15">
        <v>367</v>
      </c>
      <c r="G1304" s="15">
        <v>367</v>
      </c>
    </row>
    <row r="1305" spans="1:7">
      <c r="A1305" s="14">
        <v>5235</v>
      </c>
      <c r="B1305" s="13" t="s">
        <v>14164</v>
      </c>
      <c r="C1305" s="13" t="s">
        <v>14165</v>
      </c>
      <c r="D1305" s="13" t="s">
        <v>13564</v>
      </c>
      <c r="E1305" s="13" t="s">
        <v>1150</v>
      </c>
      <c r="F1305" s="15">
        <v>367</v>
      </c>
      <c r="G1305" s="15">
        <v>367</v>
      </c>
    </row>
    <row r="1306" spans="1:7">
      <c r="A1306" s="14">
        <v>5240</v>
      </c>
      <c r="B1306" s="13" t="s">
        <v>14166</v>
      </c>
      <c r="C1306" s="13" t="s">
        <v>14167</v>
      </c>
      <c r="D1306" s="13" t="s">
        <v>13564</v>
      </c>
      <c r="E1306" s="13" t="s">
        <v>1150</v>
      </c>
      <c r="F1306" s="15">
        <v>367</v>
      </c>
      <c r="G1306" s="15">
        <v>367</v>
      </c>
    </row>
    <row r="1307" spans="1:7">
      <c r="A1307" s="14">
        <v>5245</v>
      </c>
      <c r="B1307" s="13" t="s">
        <v>14168</v>
      </c>
      <c r="C1307" s="13" t="s">
        <v>14169</v>
      </c>
      <c r="D1307" s="13" t="s">
        <v>13564</v>
      </c>
      <c r="E1307" s="13" t="s">
        <v>1150</v>
      </c>
      <c r="F1307" s="15">
        <v>367</v>
      </c>
      <c r="G1307" s="15">
        <v>367</v>
      </c>
    </row>
    <row r="1308" spans="1:7">
      <c r="A1308" s="14">
        <v>5246</v>
      </c>
      <c r="B1308" s="13" t="s">
        <v>14170</v>
      </c>
      <c r="C1308" s="13" t="s">
        <v>14171</v>
      </c>
      <c r="D1308" s="13" t="s">
        <v>13564</v>
      </c>
      <c r="E1308" s="13" t="s">
        <v>1150</v>
      </c>
      <c r="F1308" s="15">
        <v>39965</v>
      </c>
      <c r="G1308" s="15">
        <v>39965</v>
      </c>
    </row>
    <row r="1309" spans="1:7">
      <c r="A1309" s="14">
        <v>5250</v>
      </c>
      <c r="B1309" s="13" t="s">
        <v>14172</v>
      </c>
      <c r="C1309" s="13" t="s">
        <v>14173</v>
      </c>
      <c r="D1309" s="13" t="s">
        <v>13564</v>
      </c>
      <c r="E1309" s="13" t="s">
        <v>1150</v>
      </c>
      <c r="F1309" s="15">
        <v>367</v>
      </c>
      <c r="G1309" s="15">
        <v>367</v>
      </c>
    </row>
    <row r="1310" spans="1:7">
      <c r="A1310" s="14">
        <v>5255</v>
      </c>
      <c r="B1310" s="13" t="s">
        <v>14174</v>
      </c>
      <c r="C1310" s="13" t="s">
        <v>14175</v>
      </c>
      <c r="D1310" s="13" t="s">
        <v>13564</v>
      </c>
      <c r="E1310" s="13" t="s">
        <v>1150</v>
      </c>
      <c r="F1310" s="15">
        <v>367</v>
      </c>
      <c r="G1310" s="15">
        <v>367</v>
      </c>
    </row>
    <row r="1311" spans="1:7">
      <c r="A1311" s="14">
        <v>5260</v>
      </c>
      <c r="B1311" s="13" t="s">
        <v>14176</v>
      </c>
      <c r="C1311" s="13" t="s">
        <v>14177</v>
      </c>
      <c r="D1311" s="13" t="s">
        <v>13564</v>
      </c>
      <c r="E1311" s="13" t="s">
        <v>1150</v>
      </c>
      <c r="F1311" s="15">
        <v>367</v>
      </c>
      <c r="G1311" s="15">
        <v>367</v>
      </c>
    </row>
    <row r="1312" spans="1:7">
      <c r="A1312" s="14">
        <v>5265</v>
      </c>
      <c r="B1312" s="13" t="s">
        <v>14178</v>
      </c>
      <c r="C1312" s="13" t="s">
        <v>14179</v>
      </c>
      <c r="D1312" s="13" t="s">
        <v>13564</v>
      </c>
      <c r="E1312" s="13" t="s">
        <v>1150</v>
      </c>
      <c r="F1312" s="15">
        <v>367</v>
      </c>
      <c r="G1312" s="15">
        <v>367</v>
      </c>
    </row>
    <row r="1313" spans="1:7">
      <c r="A1313" s="14">
        <v>5270</v>
      </c>
      <c r="B1313" s="13" t="s">
        <v>14180</v>
      </c>
      <c r="C1313" s="13" t="s">
        <v>14181</v>
      </c>
      <c r="D1313" s="13" t="s">
        <v>13564</v>
      </c>
      <c r="E1313" s="13" t="s">
        <v>1150</v>
      </c>
      <c r="F1313" s="15">
        <v>367</v>
      </c>
      <c r="G1313" s="15">
        <v>367</v>
      </c>
    </row>
    <row r="1314" spans="1:7">
      <c r="A1314" s="14">
        <v>5275</v>
      </c>
      <c r="B1314" s="13" t="s">
        <v>14182</v>
      </c>
      <c r="C1314" s="13" t="s">
        <v>14183</v>
      </c>
      <c r="D1314" s="13" t="s">
        <v>13564</v>
      </c>
      <c r="E1314" s="13" t="s">
        <v>1150</v>
      </c>
      <c r="F1314" s="15">
        <v>367</v>
      </c>
      <c r="G1314" s="15">
        <v>367</v>
      </c>
    </row>
    <row r="1315" spans="1:7">
      <c r="A1315" s="14">
        <v>5280</v>
      </c>
      <c r="B1315" s="13" t="s">
        <v>14184</v>
      </c>
      <c r="C1315" s="13" t="s">
        <v>14185</v>
      </c>
      <c r="D1315" s="13" t="s">
        <v>13564</v>
      </c>
      <c r="E1315" s="13" t="s">
        <v>1150</v>
      </c>
      <c r="F1315" s="15">
        <v>367</v>
      </c>
      <c r="G1315" s="15">
        <v>367</v>
      </c>
    </row>
    <row r="1316" spans="1:7">
      <c r="A1316" s="14">
        <v>5285</v>
      </c>
      <c r="B1316" s="13" t="s">
        <v>14186</v>
      </c>
      <c r="C1316" s="13" t="s">
        <v>14187</v>
      </c>
      <c r="D1316" s="13" t="s">
        <v>13564</v>
      </c>
      <c r="E1316" s="13" t="s">
        <v>1150</v>
      </c>
      <c r="F1316" s="15">
        <v>367</v>
      </c>
      <c r="G1316" s="15">
        <v>367</v>
      </c>
    </row>
    <row r="1317" spans="1:7">
      <c r="A1317" s="14">
        <v>5290</v>
      </c>
      <c r="B1317" s="13" t="s">
        <v>14188</v>
      </c>
      <c r="C1317" s="13" t="s">
        <v>14189</v>
      </c>
      <c r="D1317" s="13" t="s">
        <v>13564</v>
      </c>
      <c r="E1317" s="13" t="s">
        <v>1150</v>
      </c>
      <c r="F1317" s="15">
        <v>367</v>
      </c>
      <c r="G1317" s="15">
        <v>367</v>
      </c>
    </row>
    <row r="1318" spans="1:7">
      <c r="A1318" s="14">
        <v>5295</v>
      </c>
      <c r="B1318" s="13" t="s">
        <v>14190</v>
      </c>
      <c r="C1318" s="13" t="s">
        <v>14191</v>
      </c>
      <c r="D1318" s="13" t="s">
        <v>13564</v>
      </c>
      <c r="E1318" s="13" t="s">
        <v>1150</v>
      </c>
      <c r="F1318" s="15">
        <v>367</v>
      </c>
      <c r="G1318" s="15">
        <v>367</v>
      </c>
    </row>
    <row r="1319" spans="1:7">
      <c r="A1319" s="14">
        <v>5300</v>
      </c>
      <c r="B1319" s="13" t="s">
        <v>14192</v>
      </c>
      <c r="C1319" s="13" t="s">
        <v>14193</v>
      </c>
      <c r="D1319" s="13" t="s">
        <v>13564</v>
      </c>
      <c r="E1319" s="13" t="s">
        <v>1150</v>
      </c>
      <c r="F1319" s="15">
        <v>367</v>
      </c>
      <c r="G1319" s="15">
        <v>367</v>
      </c>
    </row>
    <row r="1320" spans="1:7">
      <c r="A1320" s="14">
        <v>5305</v>
      </c>
      <c r="B1320" s="13" t="s">
        <v>14194</v>
      </c>
      <c r="C1320" s="13" t="s">
        <v>14195</v>
      </c>
      <c r="D1320" s="13" t="s">
        <v>13564</v>
      </c>
      <c r="E1320" s="13" t="s">
        <v>1150</v>
      </c>
      <c r="F1320" s="15">
        <v>367</v>
      </c>
      <c r="G1320" s="15">
        <v>367</v>
      </c>
    </row>
    <row r="1321" spans="1:7">
      <c r="A1321" s="14">
        <v>5310</v>
      </c>
      <c r="B1321" s="13" t="s">
        <v>14196</v>
      </c>
      <c r="C1321" s="13" t="s">
        <v>14197</v>
      </c>
      <c r="D1321" s="13" t="s">
        <v>13564</v>
      </c>
      <c r="E1321" s="13" t="s">
        <v>1150</v>
      </c>
      <c r="F1321" s="15">
        <v>367</v>
      </c>
      <c r="G1321" s="15">
        <v>367</v>
      </c>
    </row>
    <row r="1322" spans="1:7">
      <c r="A1322" s="14">
        <v>5315</v>
      </c>
      <c r="B1322" s="13" t="s">
        <v>14198</v>
      </c>
      <c r="C1322" s="13" t="s">
        <v>14199</v>
      </c>
      <c r="D1322" s="13" t="s">
        <v>13564</v>
      </c>
      <c r="E1322" s="13" t="s">
        <v>1150</v>
      </c>
      <c r="F1322" s="15">
        <v>367</v>
      </c>
      <c r="G1322" s="15">
        <v>367</v>
      </c>
    </row>
    <row r="1323" spans="1:7">
      <c r="A1323" s="14">
        <v>5320</v>
      </c>
      <c r="B1323" s="13" t="s">
        <v>14200</v>
      </c>
      <c r="C1323" s="13" t="s">
        <v>14201</v>
      </c>
      <c r="D1323" s="13" t="s">
        <v>13564</v>
      </c>
      <c r="E1323" s="13" t="s">
        <v>1150</v>
      </c>
      <c r="F1323" s="15">
        <v>367</v>
      </c>
      <c r="G1323" s="15">
        <v>367</v>
      </c>
    </row>
    <row r="1324" spans="1:7">
      <c r="A1324" s="14">
        <v>5325</v>
      </c>
      <c r="B1324" s="13" t="s">
        <v>14202</v>
      </c>
      <c r="C1324" s="13" t="s">
        <v>14203</v>
      </c>
      <c r="D1324" s="13" t="s">
        <v>13564</v>
      </c>
      <c r="E1324" s="13" t="s">
        <v>1150</v>
      </c>
      <c r="F1324" s="15">
        <v>367</v>
      </c>
      <c r="G1324" s="15">
        <v>367</v>
      </c>
    </row>
    <row r="1325" spans="1:7">
      <c r="A1325" s="14">
        <v>5330</v>
      </c>
      <c r="B1325" s="13" t="s">
        <v>14204</v>
      </c>
      <c r="C1325" s="13" t="s">
        <v>14205</v>
      </c>
      <c r="D1325" s="13" t="s">
        <v>13564</v>
      </c>
      <c r="E1325" s="13" t="s">
        <v>1150</v>
      </c>
      <c r="F1325" s="15">
        <v>367</v>
      </c>
      <c r="G1325" s="15">
        <v>367</v>
      </c>
    </row>
    <row r="1326" spans="1:7">
      <c r="A1326" s="14">
        <v>5335</v>
      </c>
      <c r="B1326" s="13" t="s">
        <v>14206</v>
      </c>
      <c r="C1326" s="13" t="s">
        <v>14207</v>
      </c>
      <c r="D1326" s="13" t="s">
        <v>13564</v>
      </c>
      <c r="E1326" s="13" t="s">
        <v>1150</v>
      </c>
      <c r="F1326" s="15">
        <v>367</v>
      </c>
      <c r="G1326" s="15">
        <v>367</v>
      </c>
    </row>
    <row r="1327" spans="1:7">
      <c r="A1327" s="14">
        <v>5340</v>
      </c>
      <c r="B1327" s="13" t="s">
        <v>14208</v>
      </c>
      <c r="C1327" s="13" t="s">
        <v>14209</v>
      </c>
      <c r="D1327" s="13" t="s">
        <v>13564</v>
      </c>
      <c r="E1327" s="13" t="s">
        <v>1150</v>
      </c>
      <c r="F1327" s="15">
        <v>367</v>
      </c>
      <c r="G1327" s="15">
        <v>367</v>
      </c>
    </row>
    <row r="1328" spans="1:7">
      <c r="A1328" s="14">
        <v>5345</v>
      </c>
      <c r="B1328" s="13" t="s">
        <v>14210</v>
      </c>
      <c r="C1328" s="13" t="s">
        <v>14211</v>
      </c>
      <c r="D1328" s="13" t="s">
        <v>13564</v>
      </c>
      <c r="E1328" s="13" t="s">
        <v>1150</v>
      </c>
      <c r="F1328" s="15">
        <v>367</v>
      </c>
      <c r="G1328" s="15">
        <v>367</v>
      </c>
    </row>
    <row r="1329" spans="1:7">
      <c r="A1329" s="14">
        <v>5350</v>
      </c>
      <c r="B1329" s="13" t="s">
        <v>14212</v>
      </c>
      <c r="C1329" s="13" t="s">
        <v>14213</v>
      </c>
      <c r="D1329" s="13" t="s">
        <v>13564</v>
      </c>
      <c r="E1329" s="13" t="s">
        <v>1150</v>
      </c>
      <c r="F1329" s="15">
        <v>367</v>
      </c>
      <c r="G1329" s="15">
        <v>367</v>
      </c>
    </row>
    <row r="1330" spans="1:7">
      <c r="A1330" s="14">
        <v>5355</v>
      </c>
      <c r="B1330" s="13" t="s">
        <v>14214</v>
      </c>
      <c r="C1330" s="13" t="s">
        <v>14215</v>
      </c>
      <c r="D1330" s="13" t="s">
        <v>13564</v>
      </c>
      <c r="E1330" s="13" t="s">
        <v>1150</v>
      </c>
      <c r="F1330" s="15">
        <v>367</v>
      </c>
      <c r="G1330" s="15">
        <v>367</v>
      </c>
    </row>
    <row r="1331" spans="1:7">
      <c r="A1331" s="14">
        <v>5360</v>
      </c>
      <c r="B1331" s="13" t="s">
        <v>14216</v>
      </c>
      <c r="C1331" s="13" t="s">
        <v>14217</v>
      </c>
      <c r="D1331" s="13" t="s">
        <v>13564</v>
      </c>
      <c r="E1331" s="13" t="s">
        <v>1150</v>
      </c>
      <c r="F1331" s="15">
        <v>367</v>
      </c>
      <c r="G1331" s="15">
        <v>367</v>
      </c>
    </row>
    <row r="1332" spans="1:7">
      <c r="A1332" s="14">
        <v>5365</v>
      </c>
      <c r="B1332" s="13" t="s">
        <v>14218</v>
      </c>
      <c r="C1332" s="13" t="s">
        <v>14219</v>
      </c>
      <c r="D1332" s="13" t="s">
        <v>13564</v>
      </c>
      <c r="E1332" s="13" t="s">
        <v>1150</v>
      </c>
      <c r="F1332" s="15">
        <v>367</v>
      </c>
      <c r="G1332" s="15">
        <v>367</v>
      </c>
    </row>
    <row r="1333" spans="1:7">
      <c r="A1333" s="14">
        <v>5370</v>
      </c>
      <c r="B1333" s="13" t="s">
        <v>14220</v>
      </c>
      <c r="C1333" s="13" t="s">
        <v>14221</v>
      </c>
      <c r="D1333" s="13" t="s">
        <v>13564</v>
      </c>
      <c r="E1333" s="13" t="s">
        <v>1150</v>
      </c>
      <c r="F1333" s="15">
        <v>367</v>
      </c>
      <c r="G1333" s="15">
        <v>367</v>
      </c>
    </row>
    <row r="1334" spans="1:7">
      <c r="A1334" s="14">
        <v>5373</v>
      </c>
      <c r="B1334" s="13" t="s">
        <v>14222</v>
      </c>
      <c r="C1334" s="13" t="s">
        <v>14223</v>
      </c>
      <c r="D1334" s="13" t="s">
        <v>13564</v>
      </c>
      <c r="E1334" s="13" t="s">
        <v>1150</v>
      </c>
      <c r="F1334" s="15">
        <v>37742</v>
      </c>
      <c r="G1334" s="15">
        <v>37742</v>
      </c>
    </row>
    <row r="1335" spans="1:7">
      <c r="A1335" s="14">
        <v>5375</v>
      </c>
      <c r="B1335" s="13" t="s">
        <v>14224</v>
      </c>
      <c r="C1335" s="13" t="s">
        <v>14225</v>
      </c>
      <c r="D1335" s="13" t="s">
        <v>13564</v>
      </c>
      <c r="E1335" s="13" t="s">
        <v>1150</v>
      </c>
      <c r="F1335" s="15">
        <v>367</v>
      </c>
      <c r="G1335" s="15">
        <v>367</v>
      </c>
    </row>
    <row r="1336" spans="1:7">
      <c r="A1336" s="14">
        <v>5380</v>
      </c>
      <c r="B1336" s="13" t="s">
        <v>14226</v>
      </c>
      <c r="C1336" s="13" t="s">
        <v>13841</v>
      </c>
      <c r="D1336" s="13" t="s">
        <v>13564</v>
      </c>
      <c r="E1336" s="13" t="s">
        <v>1150</v>
      </c>
      <c r="F1336" s="15">
        <v>367</v>
      </c>
      <c r="G1336" s="15">
        <v>367</v>
      </c>
    </row>
    <row r="1337" spans="1:7">
      <c r="A1337" s="14">
        <v>5385</v>
      </c>
      <c r="B1337" s="13" t="s">
        <v>14227</v>
      </c>
      <c r="C1337" s="13" t="s">
        <v>14228</v>
      </c>
      <c r="D1337" s="13" t="s">
        <v>13564</v>
      </c>
      <c r="E1337" s="13" t="s">
        <v>1150</v>
      </c>
      <c r="F1337" s="15">
        <v>367</v>
      </c>
      <c r="G1337" s="15">
        <v>367</v>
      </c>
    </row>
    <row r="1338" spans="1:7">
      <c r="A1338" s="14">
        <v>5390</v>
      </c>
      <c r="B1338" s="13" t="s">
        <v>14229</v>
      </c>
      <c r="C1338" s="13" t="s">
        <v>14230</v>
      </c>
      <c r="D1338" s="13" t="s">
        <v>13564</v>
      </c>
      <c r="E1338" s="13" t="s">
        <v>1150</v>
      </c>
      <c r="F1338" s="15">
        <v>367</v>
      </c>
      <c r="G1338" s="15">
        <v>367</v>
      </c>
    </row>
    <row r="1339" spans="1:7">
      <c r="A1339" s="14">
        <v>5395</v>
      </c>
      <c r="B1339" s="13" t="s">
        <v>14231</v>
      </c>
      <c r="C1339" s="13" t="s">
        <v>14232</v>
      </c>
      <c r="D1339" s="13" t="s">
        <v>13564</v>
      </c>
      <c r="E1339" s="13" t="s">
        <v>1150</v>
      </c>
      <c r="F1339" s="15">
        <v>367</v>
      </c>
      <c r="G1339" s="15">
        <v>367</v>
      </c>
    </row>
    <row r="1340" spans="1:7">
      <c r="A1340" s="14">
        <v>5400</v>
      </c>
      <c r="B1340" s="13" t="s">
        <v>14233</v>
      </c>
      <c r="C1340" s="13" t="s">
        <v>14234</v>
      </c>
      <c r="D1340" s="13" t="s">
        <v>13564</v>
      </c>
      <c r="E1340" s="13" t="s">
        <v>1150</v>
      </c>
      <c r="F1340" s="15">
        <v>367</v>
      </c>
      <c r="G1340" s="15">
        <v>367</v>
      </c>
    </row>
    <row r="1341" spans="1:7">
      <c r="A1341" s="14">
        <v>5402</v>
      </c>
      <c r="B1341" s="13" t="s">
        <v>14235</v>
      </c>
      <c r="C1341" s="13" t="s">
        <v>14236</v>
      </c>
      <c r="D1341" s="13" t="s">
        <v>13564</v>
      </c>
      <c r="E1341" s="13" t="s">
        <v>1150</v>
      </c>
      <c r="F1341" s="15">
        <v>37755</v>
      </c>
      <c r="G1341" s="15">
        <v>37755</v>
      </c>
    </row>
    <row r="1342" spans="1:7">
      <c r="A1342" s="14">
        <v>5405</v>
      </c>
      <c r="B1342" s="13" t="s">
        <v>14237</v>
      </c>
      <c r="C1342" s="13" t="s">
        <v>14238</v>
      </c>
      <c r="D1342" s="13" t="s">
        <v>13564</v>
      </c>
      <c r="E1342" s="13" t="s">
        <v>1150</v>
      </c>
      <c r="F1342" s="15">
        <v>367</v>
      </c>
      <c r="G1342" s="15">
        <v>367</v>
      </c>
    </row>
    <row r="1343" spans="1:7">
      <c r="A1343" s="14">
        <v>5410</v>
      </c>
      <c r="B1343" s="13" t="s">
        <v>14239</v>
      </c>
      <c r="C1343" s="13" t="s">
        <v>14240</v>
      </c>
      <c r="D1343" s="13" t="s">
        <v>13564</v>
      </c>
      <c r="E1343" s="13" t="s">
        <v>1150</v>
      </c>
      <c r="F1343" s="15">
        <v>367</v>
      </c>
      <c r="G1343" s="15">
        <v>367</v>
      </c>
    </row>
    <row r="1344" spans="1:7">
      <c r="A1344" s="14">
        <v>5415</v>
      </c>
      <c r="B1344" s="13" t="s">
        <v>14241</v>
      </c>
      <c r="C1344" s="13" t="s">
        <v>14242</v>
      </c>
      <c r="D1344" s="13" t="s">
        <v>13564</v>
      </c>
      <c r="E1344" s="13" t="s">
        <v>1150</v>
      </c>
      <c r="F1344" s="15">
        <v>367</v>
      </c>
      <c r="G1344" s="15">
        <v>367</v>
      </c>
    </row>
    <row r="1345" spans="1:7">
      <c r="A1345" s="14">
        <v>5420</v>
      </c>
      <c r="B1345" s="13" t="s">
        <v>14243</v>
      </c>
      <c r="C1345" s="13" t="s">
        <v>13526</v>
      </c>
      <c r="D1345" s="13" t="s">
        <v>13564</v>
      </c>
      <c r="E1345" s="13" t="s">
        <v>1150</v>
      </c>
      <c r="F1345" s="15">
        <v>367</v>
      </c>
      <c r="G1345" s="15">
        <v>367</v>
      </c>
    </row>
    <row r="1346" spans="1:7">
      <c r="A1346" s="14">
        <v>5425</v>
      </c>
      <c r="B1346" s="13" t="s">
        <v>14244</v>
      </c>
      <c r="C1346" s="13" t="s">
        <v>14245</v>
      </c>
      <c r="D1346" s="13" t="s">
        <v>13564</v>
      </c>
      <c r="E1346" s="13" t="s">
        <v>1150</v>
      </c>
      <c r="F1346" s="15">
        <v>367</v>
      </c>
      <c r="G1346" s="15">
        <v>367</v>
      </c>
    </row>
    <row r="1347" spans="1:7">
      <c r="A1347" s="14">
        <v>5430</v>
      </c>
      <c r="B1347" s="13" t="s">
        <v>14246</v>
      </c>
      <c r="C1347" s="13" t="s">
        <v>13502</v>
      </c>
      <c r="D1347" s="13" t="s">
        <v>13564</v>
      </c>
      <c r="E1347" s="13" t="s">
        <v>1150</v>
      </c>
      <c r="F1347" s="15">
        <v>367</v>
      </c>
      <c r="G1347" s="15">
        <v>367</v>
      </c>
    </row>
    <row r="1348" spans="1:7">
      <c r="A1348" s="14">
        <v>5435</v>
      </c>
      <c r="B1348" s="13" t="s">
        <v>14247</v>
      </c>
      <c r="C1348" s="13" t="s">
        <v>14248</v>
      </c>
      <c r="D1348" s="13" t="s">
        <v>13564</v>
      </c>
      <c r="E1348" s="13" t="s">
        <v>1150</v>
      </c>
      <c r="F1348" s="15">
        <v>367</v>
      </c>
      <c r="G1348" s="15">
        <v>367</v>
      </c>
    </row>
    <row r="1349" spans="1:7">
      <c r="A1349" s="14">
        <v>5440</v>
      </c>
      <c r="B1349" s="13" t="s">
        <v>14249</v>
      </c>
      <c r="C1349" s="13" t="s">
        <v>14250</v>
      </c>
      <c r="D1349" s="13" t="s">
        <v>13564</v>
      </c>
      <c r="E1349" s="13" t="s">
        <v>1150</v>
      </c>
      <c r="F1349" s="15">
        <v>367</v>
      </c>
      <c r="G1349" s="15">
        <v>367</v>
      </c>
    </row>
    <row r="1350" spans="1:7">
      <c r="A1350" s="14">
        <v>5445</v>
      </c>
      <c r="B1350" s="13" t="s">
        <v>14251</v>
      </c>
      <c r="C1350" s="13" t="s">
        <v>14252</v>
      </c>
      <c r="D1350" s="13" t="s">
        <v>13564</v>
      </c>
      <c r="E1350" s="13" t="s">
        <v>1150</v>
      </c>
      <c r="F1350" s="15">
        <v>367</v>
      </c>
      <c r="G1350" s="15">
        <v>367</v>
      </c>
    </row>
    <row r="1351" spans="1:7">
      <c r="A1351" s="14">
        <v>5450</v>
      </c>
      <c r="B1351" s="13" t="s">
        <v>14253</v>
      </c>
      <c r="C1351" s="13" t="s">
        <v>14254</v>
      </c>
      <c r="D1351" s="13" t="s">
        <v>13564</v>
      </c>
      <c r="E1351" s="13" t="s">
        <v>1150</v>
      </c>
      <c r="F1351" s="15">
        <v>367</v>
      </c>
      <c r="G1351" s="15">
        <v>367</v>
      </c>
    </row>
    <row r="1352" spans="1:7">
      <c r="A1352" s="14">
        <v>5455</v>
      </c>
      <c r="B1352" s="13" t="s">
        <v>14255</v>
      </c>
      <c r="C1352" s="13" t="s">
        <v>14256</v>
      </c>
      <c r="D1352" s="13" t="s">
        <v>13564</v>
      </c>
      <c r="E1352" s="13" t="s">
        <v>1150</v>
      </c>
      <c r="F1352" s="15">
        <v>367</v>
      </c>
      <c r="G1352" s="15">
        <v>367</v>
      </c>
    </row>
    <row r="1353" spans="1:7">
      <c r="A1353" s="14">
        <v>5460</v>
      </c>
      <c r="B1353" s="13" t="s">
        <v>14257</v>
      </c>
      <c r="C1353" s="13" t="s">
        <v>14258</v>
      </c>
      <c r="D1353" s="13" t="s">
        <v>13564</v>
      </c>
      <c r="E1353" s="13" t="s">
        <v>1150</v>
      </c>
      <c r="F1353" s="15">
        <v>367</v>
      </c>
      <c r="G1353" s="15">
        <v>367</v>
      </c>
    </row>
    <row r="1354" spans="1:7">
      <c r="A1354" s="14">
        <v>5465</v>
      </c>
      <c r="B1354" s="13" t="s">
        <v>14259</v>
      </c>
      <c r="C1354" s="13" t="s">
        <v>14260</v>
      </c>
      <c r="D1354" s="13" t="s">
        <v>13564</v>
      </c>
      <c r="E1354" s="13" t="s">
        <v>1150</v>
      </c>
      <c r="F1354" s="15">
        <v>367</v>
      </c>
      <c r="G1354" s="15">
        <v>367</v>
      </c>
    </row>
    <row r="1355" spans="1:7">
      <c r="A1355" s="14">
        <v>5470</v>
      </c>
      <c r="B1355" s="13" t="s">
        <v>14261</v>
      </c>
      <c r="C1355" s="13" t="s">
        <v>14262</v>
      </c>
      <c r="D1355" s="13" t="s">
        <v>13564</v>
      </c>
      <c r="E1355" s="13" t="s">
        <v>1150</v>
      </c>
      <c r="F1355" s="15">
        <v>367</v>
      </c>
      <c r="G1355" s="15">
        <v>367</v>
      </c>
    </row>
    <row r="1356" spans="1:7">
      <c r="A1356" s="14">
        <v>5475</v>
      </c>
      <c r="B1356" s="13" t="s">
        <v>14263</v>
      </c>
      <c r="C1356" s="13" t="s">
        <v>14264</v>
      </c>
      <c r="D1356" s="13" t="s">
        <v>13564</v>
      </c>
      <c r="E1356" s="13" t="s">
        <v>1150</v>
      </c>
      <c r="F1356" s="15">
        <v>367</v>
      </c>
      <c r="G1356" s="15">
        <v>367</v>
      </c>
    </row>
    <row r="1357" spans="1:7">
      <c r="A1357" s="14">
        <v>5480</v>
      </c>
      <c r="B1357" s="13" t="s">
        <v>14265</v>
      </c>
      <c r="C1357" s="13" t="s">
        <v>14266</v>
      </c>
      <c r="D1357" s="13" t="s">
        <v>13564</v>
      </c>
      <c r="E1357" s="13" t="s">
        <v>1150</v>
      </c>
      <c r="F1357" s="15">
        <v>367</v>
      </c>
      <c r="G1357" s="15">
        <v>367</v>
      </c>
    </row>
    <row r="1358" spans="1:7">
      <c r="A1358" s="14">
        <v>5485</v>
      </c>
      <c r="B1358" s="13" t="s">
        <v>14267</v>
      </c>
      <c r="C1358" s="13" t="s">
        <v>14268</v>
      </c>
      <c r="D1358" s="13" t="s">
        <v>13564</v>
      </c>
      <c r="E1358" s="13" t="s">
        <v>1150</v>
      </c>
      <c r="F1358" s="15">
        <v>367</v>
      </c>
      <c r="G1358" s="15">
        <v>367</v>
      </c>
    </row>
    <row r="1359" spans="1:7">
      <c r="A1359" s="14">
        <v>5490</v>
      </c>
      <c r="B1359" s="13" t="s">
        <v>14269</v>
      </c>
      <c r="C1359" s="13" t="s">
        <v>14270</v>
      </c>
      <c r="D1359" s="13" t="s">
        <v>13564</v>
      </c>
      <c r="E1359" s="13" t="s">
        <v>1150</v>
      </c>
      <c r="F1359" s="15">
        <v>367</v>
      </c>
      <c r="G1359" s="15">
        <v>367</v>
      </c>
    </row>
    <row r="1360" spans="1:7">
      <c r="A1360" s="14">
        <v>5495</v>
      </c>
      <c r="B1360" s="13" t="s">
        <v>14271</v>
      </c>
      <c r="C1360" s="13" t="s">
        <v>14272</v>
      </c>
      <c r="D1360" s="13" t="s">
        <v>13564</v>
      </c>
      <c r="E1360" s="13" t="s">
        <v>1150</v>
      </c>
      <c r="F1360" s="15">
        <v>367</v>
      </c>
      <c r="G1360" s="15">
        <v>367</v>
      </c>
    </row>
    <row r="1361" spans="1:7">
      <c r="A1361" s="14">
        <v>5500</v>
      </c>
      <c r="B1361" s="13" t="s">
        <v>14273</v>
      </c>
      <c r="C1361" s="13" t="s">
        <v>14274</v>
      </c>
      <c r="D1361" s="13" t="s">
        <v>13564</v>
      </c>
      <c r="E1361" s="13" t="s">
        <v>1150</v>
      </c>
      <c r="F1361" s="15">
        <v>367</v>
      </c>
      <c r="G1361" s="15">
        <v>367</v>
      </c>
    </row>
    <row r="1362" spans="1:7">
      <c r="A1362" s="14">
        <v>5505</v>
      </c>
      <c r="B1362" s="13" t="s">
        <v>14275</v>
      </c>
      <c r="C1362" s="13" t="s">
        <v>14276</v>
      </c>
      <c r="D1362" s="13" t="s">
        <v>13564</v>
      </c>
      <c r="E1362" s="13" t="s">
        <v>1150</v>
      </c>
      <c r="F1362" s="15">
        <v>367</v>
      </c>
      <c r="G1362" s="15">
        <v>367</v>
      </c>
    </row>
    <row r="1363" spans="1:7">
      <c r="A1363" s="14">
        <v>5510</v>
      </c>
      <c r="B1363" s="13" t="s">
        <v>14277</v>
      </c>
      <c r="C1363" s="13" t="s">
        <v>14278</v>
      </c>
      <c r="D1363" s="13" t="s">
        <v>13564</v>
      </c>
      <c r="E1363" s="13" t="s">
        <v>1150</v>
      </c>
      <c r="F1363" s="15">
        <v>367</v>
      </c>
      <c r="G1363" s="15">
        <v>367</v>
      </c>
    </row>
    <row r="1364" spans="1:7">
      <c r="A1364" s="14">
        <v>5515</v>
      </c>
      <c r="B1364" s="13" t="s">
        <v>14279</v>
      </c>
      <c r="C1364" s="13" t="s">
        <v>14280</v>
      </c>
      <c r="D1364" s="13" t="s">
        <v>13564</v>
      </c>
      <c r="E1364" s="13" t="s">
        <v>1150</v>
      </c>
      <c r="F1364" s="15">
        <v>367</v>
      </c>
      <c r="G1364" s="15">
        <v>367</v>
      </c>
    </row>
    <row r="1365" spans="1:7">
      <c r="A1365" s="14">
        <v>5520</v>
      </c>
      <c r="B1365" s="13" t="s">
        <v>14281</v>
      </c>
      <c r="C1365" s="13" t="s">
        <v>14282</v>
      </c>
      <c r="D1365" s="13" t="s">
        <v>13564</v>
      </c>
      <c r="E1365" s="13" t="s">
        <v>1150</v>
      </c>
      <c r="F1365" s="15">
        <v>367</v>
      </c>
      <c r="G1365" s="15">
        <v>367</v>
      </c>
    </row>
    <row r="1366" spans="1:7">
      <c r="A1366" s="14">
        <v>5525</v>
      </c>
      <c r="B1366" s="13" t="s">
        <v>14283</v>
      </c>
      <c r="C1366" s="13" t="s">
        <v>14284</v>
      </c>
      <c r="D1366" s="13" t="s">
        <v>13564</v>
      </c>
      <c r="E1366" s="13" t="s">
        <v>1150</v>
      </c>
      <c r="F1366" s="15">
        <v>367</v>
      </c>
      <c r="G1366" s="15">
        <v>367</v>
      </c>
    </row>
    <row r="1367" spans="1:7">
      <c r="A1367" s="14">
        <v>5527</v>
      </c>
      <c r="B1367" s="13" t="s">
        <v>14285</v>
      </c>
      <c r="C1367" s="13" t="s">
        <v>14286</v>
      </c>
      <c r="D1367" s="13" t="s">
        <v>13564</v>
      </c>
      <c r="E1367" s="13" t="s">
        <v>1150</v>
      </c>
      <c r="F1367" s="15">
        <v>38322</v>
      </c>
      <c r="G1367" s="15">
        <v>38322</v>
      </c>
    </row>
    <row r="1368" spans="1:7">
      <c r="A1368" s="14">
        <v>5530</v>
      </c>
      <c r="B1368" s="13" t="s">
        <v>14287</v>
      </c>
      <c r="C1368" s="13" t="s">
        <v>14288</v>
      </c>
      <c r="D1368" s="13" t="s">
        <v>13564</v>
      </c>
      <c r="E1368" s="13" t="s">
        <v>1150</v>
      </c>
      <c r="F1368" s="15">
        <v>367</v>
      </c>
      <c r="G1368" s="15">
        <v>367</v>
      </c>
    </row>
    <row r="1369" spans="1:7">
      <c r="A1369" s="14">
        <v>5535</v>
      </c>
      <c r="B1369" s="13" t="s">
        <v>14289</v>
      </c>
      <c r="C1369" s="13" t="s">
        <v>14290</v>
      </c>
      <c r="D1369" s="13" t="s">
        <v>13564</v>
      </c>
      <c r="E1369" s="13" t="s">
        <v>1150</v>
      </c>
      <c r="F1369" s="15">
        <v>367</v>
      </c>
      <c r="G1369" s="15">
        <v>367</v>
      </c>
    </row>
    <row r="1370" spans="1:7">
      <c r="A1370" s="14">
        <v>5537</v>
      </c>
      <c r="B1370" s="13" t="s">
        <v>14291</v>
      </c>
      <c r="C1370" s="13" t="s">
        <v>14292</v>
      </c>
      <c r="D1370" s="13" t="s">
        <v>13564</v>
      </c>
      <c r="E1370" s="13" t="s">
        <v>1150</v>
      </c>
      <c r="F1370" s="15">
        <v>368</v>
      </c>
      <c r="G1370" s="15">
        <v>368</v>
      </c>
    </row>
    <row r="1371" spans="1:7">
      <c r="A1371" s="14">
        <v>5540</v>
      </c>
      <c r="B1371" s="13" t="s">
        <v>14293</v>
      </c>
      <c r="C1371" s="13" t="s">
        <v>14294</v>
      </c>
      <c r="D1371" s="13" t="s">
        <v>13564</v>
      </c>
      <c r="E1371" s="13" t="s">
        <v>1150</v>
      </c>
      <c r="F1371" s="15">
        <v>367</v>
      </c>
      <c r="G1371" s="15">
        <v>367</v>
      </c>
    </row>
    <row r="1372" spans="1:7">
      <c r="A1372" s="14">
        <v>5545</v>
      </c>
      <c r="B1372" s="13" t="s">
        <v>14295</v>
      </c>
      <c r="C1372" s="13" t="s">
        <v>14296</v>
      </c>
      <c r="D1372" s="13" t="s">
        <v>13564</v>
      </c>
      <c r="E1372" s="13" t="s">
        <v>1150</v>
      </c>
      <c r="F1372" s="15">
        <v>367</v>
      </c>
      <c r="G1372" s="15">
        <v>367</v>
      </c>
    </row>
    <row r="1373" spans="1:7">
      <c r="A1373" s="14">
        <v>5547</v>
      </c>
      <c r="B1373" s="13" t="s">
        <v>14297</v>
      </c>
      <c r="C1373" s="13" t="s">
        <v>14298</v>
      </c>
      <c r="D1373" s="13" t="s">
        <v>13564</v>
      </c>
      <c r="E1373" s="13" t="s">
        <v>1150</v>
      </c>
      <c r="F1373" s="15">
        <v>38058</v>
      </c>
      <c r="G1373" s="15">
        <v>38058</v>
      </c>
    </row>
    <row r="1374" spans="1:7">
      <c r="A1374" s="14">
        <v>5550</v>
      </c>
      <c r="B1374" s="13" t="s">
        <v>14299</v>
      </c>
      <c r="C1374" s="13" t="s">
        <v>14300</v>
      </c>
      <c r="D1374" s="13" t="s">
        <v>13564</v>
      </c>
      <c r="E1374" s="13" t="s">
        <v>1150</v>
      </c>
      <c r="F1374" s="15">
        <v>367</v>
      </c>
      <c r="G1374" s="15">
        <v>367</v>
      </c>
    </row>
    <row r="1375" spans="1:7">
      <c r="A1375" s="14">
        <v>5555</v>
      </c>
      <c r="B1375" s="13" t="s">
        <v>14301</v>
      </c>
      <c r="C1375" s="13" t="s">
        <v>14302</v>
      </c>
      <c r="D1375" s="13" t="s">
        <v>13564</v>
      </c>
      <c r="E1375" s="13" t="s">
        <v>1150</v>
      </c>
      <c r="F1375" s="15">
        <v>367</v>
      </c>
      <c r="G1375" s="15">
        <v>367</v>
      </c>
    </row>
    <row r="1376" spans="1:7">
      <c r="A1376" s="14">
        <v>5560</v>
      </c>
      <c r="B1376" s="13" t="s">
        <v>14303</v>
      </c>
      <c r="C1376" s="13" t="s">
        <v>14304</v>
      </c>
      <c r="D1376" s="13" t="s">
        <v>13564</v>
      </c>
      <c r="E1376" s="13" t="s">
        <v>1150</v>
      </c>
      <c r="F1376" s="15">
        <v>367</v>
      </c>
      <c r="G1376" s="15">
        <v>367</v>
      </c>
    </row>
    <row r="1377" spans="1:7">
      <c r="A1377" s="14">
        <v>5565</v>
      </c>
      <c r="B1377" s="13" t="s">
        <v>14305</v>
      </c>
      <c r="C1377" s="13" t="s">
        <v>14306</v>
      </c>
      <c r="D1377" s="13" t="s">
        <v>13564</v>
      </c>
      <c r="E1377" s="13" t="s">
        <v>1150</v>
      </c>
      <c r="F1377" s="15">
        <v>367</v>
      </c>
      <c r="G1377" s="15">
        <v>367</v>
      </c>
    </row>
    <row r="1378" spans="1:7">
      <c r="A1378" s="14">
        <v>5570</v>
      </c>
      <c r="B1378" s="13" t="s">
        <v>14307</v>
      </c>
      <c r="C1378" s="13" t="s">
        <v>14308</v>
      </c>
      <c r="D1378" s="13" t="s">
        <v>13564</v>
      </c>
      <c r="E1378" s="13" t="s">
        <v>1150</v>
      </c>
      <c r="F1378" s="15">
        <v>367</v>
      </c>
      <c r="G1378" s="15">
        <v>367</v>
      </c>
    </row>
    <row r="1379" spans="1:7">
      <c r="A1379" s="14">
        <v>5575</v>
      </c>
      <c r="B1379" s="13" t="s">
        <v>14309</v>
      </c>
      <c r="C1379" s="13" t="s">
        <v>14310</v>
      </c>
      <c r="D1379" s="13" t="s">
        <v>13564</v>
      </c>
      <c r="E1379" s="13" t="s">
        <v>1150</v>
      </c>
      <c r="F1379" s="15">
        <v>367</v>
      </c>
      <c r="G1379" s="15">
        <v>367</v>
      </c>
    </row>
    <row r="1380" spans="1:7">
      <c r="A1380" s="14">
        <v>5580</v>
      </c>
      <c r="B1380" s="13" t="s">
        <v>14311</v>
      </c>
      <c r="C1380" s="13" t="s">
        <v>14312</v>
      </c>
      <c r="D1380" s="13" t="s">
        <v>13564</v>
      </c>
      <c r="E1380" s="13" t="s">
        <v>1150</v>
      </c>
      <c r="F1380" s="15">
        <v>367</v>
      </c>
      <c r="G1380" s="15">
        <v>367</v>
      </c>
    </row>
    <row r="1381" spans="1:7">
      <c r="A1381" s="14">
        <v>5583</v>
      </c>
      <c r="B1381" s="13" t="s">
        <v>14313</v>
      </c>
      <c r="C1381" s="13" t="s">
        <v>12275</v>
      </c>
      <c r="D1381" s="13" t="s">
        <v>13564</v>
      </c>
      <c r="E1381" s="13" t="s">
        <v>1150</v>
      </c>
      <c r="F1381" s="15">
        <v>39965</v>
      </c>
      <c r="G1381" s="15">
        <v>39965</v>
      </c>
    </row>
    <row r="1382" spans="1:7">
      <c r="A1382" s="14">
        <v>5585</v>
      </c>
      <c r="B1382" s="13" t="s">
        <v>14314</v>
      </c>
      <c r="C1382" s="13" t="s">
        <v>14315</v>
      </c>
      <c r="D1382" s="13" t="s">
        <v>13564</v>
      </c>
      <c r="E1382" s="13" t="s">
        <v>1150</v>
      </c>
      <c r="F1382" s="15">
        <v>367</v>
      </c>
      <c r="G1382" s="15">
        <v>367</v>
      </c>
    </row>
    <row r="1383" spans="1:7">
      <c r="A1383" s="14">
        <v>5590</v>
      </c>
      <c r="B1383" s="13" t="s">
        <v>14316</v>
      </c>
      <c r="C1383" s="13" t="s">
        <v>14317</v>
      </c>
      <c r="D1383" s="13" t="s">
        <v>13564</v>
      </c>
      <c r="E1383" s="13" t="s">
        <v>1150</v>
      </c>
      <c r="F1383" s="15">
        <v>367</v>
      </c>
      <c r="G1383" s="15">
        <v>367</v>
      </c>
    </row>
    <row r="1384" spans="1:7">
      <c r="A1384" s="14">
        <v>5595</v>
      </c>
      <c r="B1384" s="13" t="s">
        <v>14318</v>
      </c>
      <c r="C1384" s="13" t="s">
        <v>14319</v>
      </c>
      <c r="D1384" s="13" t="s">
        <v>13564</v>
      </c>
      <c r="E1384" s="13" t="s">
        <v>1150</v>
      </c>
      <c r="F1384" s="15">
        <v>367</v>
      </c>
      <c r="G1384" s="15">
        <v>367</v>
      </c>
    </row>
    <row r="1385" spans="1:7">
      <c r="A1385" s="14">
        <v>5600</v>
      </c>
      <c r="B1385" s="13" t="s">
        <v>14320</v>
      </c>
      <c r="C1385" s="13" t="s">
        <v>14321</v>
      </c>
      <c r="D1385" s="13" t="s">
        <v>13564</v>
      </c>
      <c r="E1385" s="13" t="s">
        <v>1150</v>
      </c>
      <c r="F1385" s="15">
        <v>367</v>
      </c>
      <c r="G1385" s="15">
        <v>367</v>
      </c>
    </row>
    <row r="1386" spans="1:7">
      <c r="A1386" s="14">
        <v>5605</v>
      </c>
      <c r="B1386" s="13" t="s">
        <v>14322</v>
      </c>
      <c r="C1386" s="13" t="s">
        <v>14323</v>
      </c>
      <c r="D1386" s="13" t="s">
        <v>13564</v>
      </c>
      <c r="E1386" s="13" t="s">
        <v>1150</v>
      </c>
      <c r="F1386" s="15">
        <v>367</v>
      </c>
      <c r="G1386" s="15">
        <v>367</v>
      </c>
    </row>
    <row r="1387" spans="1:7">
      <c r="A1387" s="14">
        <v>5610</v>
      </c>
      <c r="B1387" s="13" t="s">
        <v>14324</v>
      </c>
      <c r="C1387" s="13" t="s">
        <v>14325</v>
      </c>
      <c r="D1387" s="13" t="s">
        <v>13564</v>
      </c>
      <c r="E1387" s="13" t="s">
        <v>1150</v>
      </c>
      <c r="F1387" s="15">
        <v>367</v>
      </c>
      <c r="G1387" s="15">
        <v>367</v>
      </c>
    </row>
    <row r="1388" spans="1:7">
      <c r="A1388" s="14">
        <v>5615</v>
      </c>
      <c r="B1388" s="13" t="s">
        <v>14326</v>
      </c>
      <c r="C1388" s="13" t="s">
        <v>14327</v>
      </c>
      <c r="D1388" s="13" t="s">
        <v>13564</v>
      </c>
      <c r="E1388" s="13" t="s">
        <v>1150</v>
      </c>
      <c r="F1388" s="15">
        <v>367</v>
      </c>
      <c r="G1388" s="15">
        <v>367</v>
      </c>
    </row>
    <row r="1389" spans="1:7">
      <c r="A1389" s="14">
        <v>5620</v>
      </c>
      <c r="B1389" s="13" t="s">
        <v>14328</v>
      </c>
      <c r="C1389" s="13" t="s">
        <v>14329</v>
      </c>
      <c r="D1389" s="13" t="s">
        <v>13564</v>
      </c>
      <c r="E1389" s="13" t="s">
        <v>1150</v>
      </c>
      <c r="F1389" s="15">
        <v>367</v>
      </c>
      <c r="G1389" s="15">
        <v>367</v>
      </c>
    </row>
    <row r="1390" spans="1:7">
      <c r="A1390" s="14">
        <v>5625</v>
      </c>
      <c r="B1390" s="13" t="s">
        <v>14330</v>
      </c>
      <c r="C1390" s="13" t="s">
        <v>14331</v>
      </c>
      <c r="D1390" s="13" t="s">
        <v>13564</v>
      </c>
      <c r="E1390" s="13" t="s">
        <v>1150</v>
      </c>
      <c r="F1390" s="15">
        <v>367</v>
      </c>
      <c r="G1390" s="15">
        <v>367</v>
      </c>
    </row>
    <row r="1391" spans="1:7">
      <c r="A1391" s="14">
        <v>5630</v>
      </c>
      <c r="B1391" s="13" t="s">
        <v>14332</v>
      </c>
      <c r="C1391" s="13" t="s">
        <v>14333</v>
      </c>
      <c r="D1391" s="13" t="s">
        <v>13564</v>
      </c>
      <c r="E1391" s="13" t="s">
        <v>1150</v>
      </c>
      <c r="F1391" s="15">
        <v>367</v>
      </c>
      <c r="G1391" s="15">
        <v>367</v>
      </c>
    </row>
    <row r="1392" spans="1:7">
      <c r="A1392" s="14">
        <v>5635</v>
      </c>
      <c r="B1392" s="13" t="s">
        <v>14334</v>
      </c>
      <c r="C1392" s="13" t="s">
        <v>14335</v>
      </c>
      <c r="D1392" s="13" t="s">
        <v>13564</v>
      </c>
      <c r="E1392" s="13" t="s">
        <v>1150</v>
      </c>
      <c r="F1392" s="15">
        <v>367</v>
      </c>
      <c r="G1392" s="15">
        <v>367</v>
      </c>
    </row>
    <row r="1393" spans="1:7">
      <c r="A1393" s="14">
        <v>5640</v>
      </c>
      <c r="B1393" s="13" t="s">
        <v>14336</v>
      </c>
      <c r="C1393" s="13" t="s">
        <v>14337</v>
      </c>
      <c r="D1393" s="13" t="s">
        <v>13564</v>
      </c>
      <c r="E1393" s="13" t="s">
        <v>1150</v>
      </c>
      <c r="F1393" s="15">
        <v>367</v>
      </c>
      <c r="G1393" s="15">
        <v>367</v>
      </c>
    </row>
    <row r="1394" spans="1:7">
      <c r="A1394" s="14">
        <v>5645</v>
      </c>
      <c r="B1394" s="13" t="s">
        <v>14338</v>
      </c>
      <c r="C1394" s="13" t="s">
        <v>14339</v>
      </c>
      <c r="D1394" s="13" t="s">
        <v>13564</v>
      </c>
      <c r="E1394" s="13" t="s">
        <v>1150</v>
      </c>
      <c r="F1394" s="15">
        <v>367</v>
      </c>
      <c r="G1394" s="15">
        <v>367</v>
      </c>
    </row>
    <row r="1395" spans="1:7">
      <c r="A1395" s="14">
        <v>5650</v>
      </c>
      <c r="B1395" s="13" t="s">
        <v>14340</v>
      </c>
      <c r="C1395" s="13" t="s">
        <v>14341</v>
      </c>
      <c r="D1395" s="13" t="s">
        <v>13564</v>
      </c>
      <c r="E1395" s="13" t="s">
        <v>1150</v>
      </c>
      <c r="F1395" s="15">
        <v>367</v>
      </c>
      <c r="G1395" s="15">
        <v>367</v>
      </c>
    </row>
    <row r="1396" spans="1:7">
      <c r="A1396" s="14">
        <v>5655</v>
      </c>
      <c r="B1396" s="13" t="s">
        <v>14342</v>
      </c>
      <c r="C1396" s="13" t="s">
        <v>14343</v>
      </c>
      <c r="D1396" s="13" t="s">
        <v>13564</v>
      </c>
      <c r="E1396" s="13" t="s">
        <v>1150</v>
      </c>
      <c r="F1396" s="15">
        <v>367</v>
      </c>
      <c r="G1396" s="15">
        <v>367</v>
      </c>
    </row>
    <row r="1397" spans="1:7">
      <c r="A1397" s="14">
        <v>5656</v>
      </c>
      <c r="B1397" s="13" t="s">
        <v>14344</v>
      </c>
      <c r="C1397" s="13" t="s">
        <v>14345</v>
      </c>
      <c r="D1397" s="13" t="s">
        <v>13564</v>
      </c>
      <c r="E1397" s="13" t="s">
        <v>1150</v>
      </c>
      <c r="F1397" s="15">
        <v>39965</v>
      </c>
      <c r="G1397" s="15">
        <v>39965</v>
      </c>
    </row>
    <row r="1398" spans="1:7">
      <c r="A1398" s="14">
        <v>5658</v>
      </c>
      <c r="B1398" s="13" t="s">
        <v>14346</v>
      </c>
      <c r="C1398" s="13" t="s">
        <v>13106</v>
      </c>
      <c r="D1398" s="13" t="s">
        <v>13564</v>
      </c>
      <c r="E1398" s="13" t="s">
        <v>1150</v>
      </c>
      <c r="F1398" s="15">
        <v>36708</v>
      </c>
      <c r="G1398" s="15">
        <v>36708</v>
      </c>
    </row>
    <row r="1399" spans="1:7">
      <c r="A1399" s="14">
        <v>5659</v>
      </c>
      <c r="B1399" s="13" t="s">
        <v>14347</v>
      </c>
      <c r="C1399" s="13" t="s">
        <v>14348</v>
      </c>
      <c r="D1399" s="13" t="s">
        <v>13564</v>
      </c>
      <c r="E1399" s="13" t="s">
        <v>1150</v>
      </c>
      <c r="F1399" s="15">
        <v>368</v>
      </c>
      <c r="G1399" s="15">
        <v>368</v>
      </c>
    </row>
    <row r="1400" spans="1:7">
      <c r="A1400" s="14">
        <v>5660</v>
      </c>
      <c r="B1400" s="13" t="s">
        <v>14349</v>
      </c>
      <c r="C1400" s="13" t="s">
        <v>14350</v>
      </c>
      <c r="D1400" s="13" t="s">
        <v>13564</v>
      </c>
      <c r="E1400" s="13" t="s">
        <v>1150</v>
      </c>
      <c r="F1400" s="15">
        <v>367</v>
      </c>
      <c r="G1400" s="15">
        <v>367</v>
      </c>
    </row>
    <row r="1401" spans="1:7">
      <c r="A1401" s="14">
        <v>5665</v>
      </c>
      <c r="B1401" s="13" t="s">
        <v>14351</v>
      </c>
      <c r="C1401" s="13" t="s">
        <v>14350</v>
      </c>
      <c r="D1401" s="13" t="s">
        <v>13564</v>
      </c>
      <c r="E1401" s="13" t="s">
        <v>1150</v>
      </c>
      <c r="F1401" s="15">
        <v>367</v>
      </c>
      <c r="G1401" s="15">
        <v>367</v>
      </c>
    </row>
    <row r="1402" spans="1:7">
      <c r="A1402" s="14">
        <v>5670</v>
      </c>
      <c r="B1402" s="13" t="s">
        <v>14352</v>
      </c>
      <c r="C1402" s="13" t="s">
        <v>14353</v>
      </c>
      <c r="D1402" s="13" t="s">
        <v>13564</v>
      </c>
      <c r="E1402" s="13" t="s">
        <v>1150</v>
      </c>
      <c r="F1402" s="15">
        <v>367</v>
      </c>
      <c r="G1402" s="15">
        <v>367</v>
      </c>
    </row>
    <row r="1403" spans="1:7">
      <c r="A1403" s="14">
        <v>5675</v>
      </c>
      <c r="B1403" s="13" t="s">
        <v>14354</v>
      </c>
      <c r="C1403" s="13" t="s">
        <v>14355</v>
      </c>
      <c r="D1403" s="13" t="s">
        <v>13564</v>
      </c>
      <c r="E1403" s="13" t="s">
        <v>1150</v>
      </c>
      <c r="F1403" s="15">
        <v>367</v>
      </c>
      <c r="G1403" s="15">
        <v>367</v>
      </c>
    </row>
    <row r="1404" spans="1:7">
      <c r="A1404" s="14">
        <v>5680</v>
      </c>
      <c r="B1404" s="13" t="s">
        <v>14356</v>
      </c>
      <c r="C1404" s="13" t="s">
        <v>14357</v>
      </c>
      <c r="D1404" s="13" t="s">
        <v>13564</v>
      </c>
      <c r="E1404" s="13" t="s">
        <v>1150</v>
      </c>
      <c r="F1404" s="15">
        <v>367</v>
      </c>
      <c r="G1404" s="15">
        <v>367</v>
      </c>
    </row>
    <row r="1405" spans="1:7">
      <c r="A1405" s="14">
        <v>5685</v>
      </c>
      <c r="B1405" s="13" t="s">
        <v>14358</v>
      </c>
      <c r="C1405" s="13" t="s">
        <v>14359</v>
      </c>
      <c r="D1405" s="13" t="s">
        <v>13564</v>
      </c>
      <c r="E1405" s="13" t="s">
        <v>1150</v>
      </c>
      <c r="F1405" s="15">
        <v>367</v>
      </c>
      <c r="G1405" s="15">
        <v>367</v>
      </c>
    </row>
    <row r="1406" spans="1:7">
      <c r="A1406" s="14">
        <v>5690</v>
      </c>
      <c r="B1406" s="13" t="s">
        <v>14360</v>
      </c>
      <c r="C1406" s="13" t="s">
        <v>14361</v>
      </c>
      <c r="D1406" s="13" t="s">
        <v>13564</v>
      </c>
      <c r="E1406" s="13" t="s">
        <v>1150</v>
      </c>
      <c r="F1406" s="15">
        <v>367</v>
      </c>
      <c r="G1406" s="15">
        <v>367</v>
      </c>
    </row>
    <row r="1407" spans="1:7">
      <c r="A1407" s="14">
        <v>5695</v>
      </c>
      <c r="B1407" s="13" t="s">
        <v>14362</v>
      </c>
      <c r="C1407" s="13" t="s">
        <v>14363</v>
      </c>
      <c r="D1407" s="13" t="s">
        <v>13564</v>
      </c>
      <c r="E1407" s="13" t="s">
        <v>1150</v>
      </c>
      <c r="F1407" s="15">
        <v>367</v>
      </c>
      <c r="G1407" s="15">
        <v>367</v>
      </c>
    </row>
    <row r="1408" spans="1:7">
      <c r="A1408" s="14">
        <v>5700</v>
      </c>
      <c r="B1408" s="13" t="s">
        <v>14364</v>
      </c>
      <c r="C1408" s="13" t="s">
        <v>14365</v>
      </c>
      <c r="D1408" s="13" t="s">
        <v>13564</v>
      </c>
      <c r="E1408" s="13" t="s">
        <v>1150</v>
      </c>
      <c r="F1408" s="15">
        <v>367</v>
      </c>
      <c r="G1408" s="15">
        <v>367</v>
      </c>
    </row>
    <row r="1409" spans="1:7">
      <c r="A1409" s="14">
        <v>5705</v>
      </c>
      <c r="B1409" s="13" t="s">
        <v>14366</v>
      </c>
      <c r="C1409" s="13" t="s">
        <v>14367</v>
      </c>
      <c r="D1409" s="13" t="s">
        <v>13564</v>
      </c>
      <c r="E1409" s="13" t="s">
        <v>1150</v>
      </c>
      <c r="F1409" s="15">
        <v>367</v>
      </c>
      <c r="G1409" s="15">
        <v>367</v>
      </c>
    </row>
    <row r="1410" spans="1:7">
      <c r="A1410" s="14">
        <v>5710</v>
      </c>
      <c r="B1410" s="13" t="s">
        <v>14368</v>
      </c>
      <c r="C1410" s="13" t="s">
        <v>14369</v>
      </c>
      <c r="D1410" s="13" t="s">
        <v>13564</v>
      </c>
      <c r="E1410" s="13" t="s">
        <v>1150</v>
      </c>
      <c r="F1410" s="15">
        <v>367</v>
      </c>
      <c r="G1410" s="15">
        <v>367</v>
      </c>
    </row>
    <row r="1411" spans="1:7">
      <c r="A1411" s="14">
        <v>5715</v>
      </c>
      <c r="B1411" s="13" t="s">
        <v>14370</v>
      </c>
      <c r="C1411" s="13" t="s">
        <v>14371</v>
      </c>
      <c r="D1411" s="13" t="s">
        <v>13564</v>
      </c>
      <c r="E1411" s="13" t="s">
        <v>1150</v>
      </c>
      <c r="F1411" s="15">
        <v>367</v>
      </c>
      <c r="G1411" s="15">
        <v>367</v>
      </c>
    </row>
    <row r="1412" spans="1:7">
      <c r="A1412" s="14">
        <v>5720</v>
      </c>
      <c r="B1412" s="13" t="s">
        <v>14372</v>
      </c>
      <c r="C1412" s="13" t="s">
        <v>14373</v>
      </c>
      <c r="D1412" s="13" t="s">
        <v>13564</v>
      </c>
      <c r="E1412" s="13" t="s">
        <v>1150</v>
      </c>
      <c r="F1412" s="15">
        <v>367</v>
      </c>
      <c r="G1412" s="15">
        <v>367</v>
      </c>
    </row>
    <row r="1413" spans="1:7">
      <c r="A1413" s="14">
        <v>5725</v>
      </c>
      <c r="B1413" s="13" t="s">
        <v>14374</v>
      </c>
      <c r="C1413" s="13" t="s">
        <v>14375</v>
      </c>
      <c r="D1413" s="13" t="s">
        <v>13564</v>
      </c>
      <c r="E1413" s="13" t="s">
        <v>1150</v>
      </c>
      <c r="F1413" s="15">
        <v>367</v>
      </c>
      <c r="G1413" s="15">
        <v>367</v>
      </c>
    </row>
    <row r="1414" spans="1:7">
      <c r="A1414" s="14">
        <v>5730</v>
      </c>
      <c r="B1414" s="13" t="s">
        <v>14376</v>
      </c>
      <c r="C1414" s="13" t="s">
        <v>14377</v>
      </c>
      <c r="D1414" s="13" t="s">
        <v>13564</v>
      </c>
      <c r="E1414" s="13" t="s">
        <v>1150</v>
      </c>
      <c r="F1414" s="15">
        <v>367</v>
      </c>
      <c r="G1414" s="15">
        <v>367</v>
      </c>
    </row>
    <row r="1415" spans="1:7">
      <c r="A1415" s="14">
        <v>5735</v>
      </c>
      <c r="B1415" s="13" t="s">
        <v>14378</v>
      </c>
      <c r="C1415" s="13" t="s">
        <v>14379</v>
      </c>
      <c r="D1415" s="13" t="s">
        <v>13564</v>
      </c>
      <c r="E1415" s="13" t="s">
        <v>1150</v>
      </c>
      <c r="F1415" s="15">
        <v>367</v>
      </c>
      <c r="G1415" s="15">
        <v>367</v>
      </c>
    </row>
    <row r="1416" spans="1:7">
      <c r="A1416" s="14">
        <v>5740</v>
      </c>
      <c r="B1416" s="13" t="s">
        <v>14380</v>
      </c>
      <c r="C1416" s="13" t="s">
        <v>14381</v>
      </c>
      <c r="D1416" s="13" t="s">
        <v>13564</v>
      </c>
      <c r="E1416" s="13" t="s">
        <v>1150</v>
      </c>
      <c r="F1416" s="15">
        <v>367</v>
      </c>
      <c r="G1416" s="15">
        <v>367</v>
      </c>
    </row>
    <row r="1417" spans="1:7">
      <c r="A1417" s="14">
        <v>5745</v>
      </c>
      <c r="B1417" s="13" t="s">
        <v>14382</v>
      </c>
      <c r="C1417" s="13" t="s">
        <v>14383</v>
      </c>
      <c r="D1417" s="13" t="s">
        <v>13564</v>
      </c>
      <c r="E1417" s="13" t="s">
        <v>1150</v>
      </c>
      <c r="F1417" s="15">
        <v>367</v>
      </c>
      <c r="G1417" s="15">
        <v>367</v>
      </c>
    </row>
    <row r="1418" spans="1:7">
      <c r="A1418" s="14">
        <v>5750</v>
      </c>
      <c r="B1418" s="13" t="s">
        <v>14384</v>
      </c>
      <c r="C1418" s="13" t="s">
        <v>14385</v>
      </c>
      <c r="D1418" s="13" t="s">
        <v>13564</v>
      </c>
      <c r="E1418" s="13" t="s">
        <v>1150</v>
      </c>
      <c r="F1418" s="15">
        <v>367</v>
      </c>
      <c r="G1418" s="15">
        <v>367</v>
      </c>
    </row>
    <row r="1419" spans="1:7">
      <c r="A1419" s="14">
        <v>5755</v>
      </c>
      <c r="B1419" s="13" t="s">
        <v>14386</v>
      </c>
      <c r="C1419" s="13" t="s">
        <v>14387</v>
      </c>
      <c r="D1419" s="13" t="s">
        <v>13564</v>
      </c>
      <c r="E1419" s="13" t="s">
        <v>1150</v>
      </c>
      <c r="F1419" s="15">
        <v>367</v>
      </c>
      <c r="G1419" s="15">
        <v>367</v>
      </c>
    </row>
    <row r="1420" spans="1:7">
      <c r="A1420" s="14">
        <v>5760</v>
      </c>
      <c r="B1420" s="13" t="s">
        <v>14388</v>
      </c>
      <c r="C1420" s="13" t="s">
        <v>14389</v>
      </c>
      <c r="D1420" s="13" t="s">
        <v>13564</v>
      </c>
      <c r="E1420" s="13" t="s">
        <v>1150</v>
      </c>
      <c r="F1420" s="15">
        <v>367</v>
      </c>
      <c r="G1420" s="15">
        <v>367</v>
      </c>
    </row>
    <row r="1421" spans="1:7">
      <c r="A1421" s="14">
        <v>5765</v>
      </c>
      <c r="B1421" s="13" t="s">
        <v>14390</v>
      </c>
      <c r="C1421" s="13" t="s">
        <v>14391</v>
      </c>
      <c r="D1421" s="13" t="s">
        <v>13564</v>
      </c>
      <c r="E1421" s="13" t="s">
        <v>1150</v>
      </c>
      <c r="F1421" s="15">
        <v>367</v>
      </c>
      <c r="G1421" s="15">
        <v>367</v>
      </c>
    </row>
    <row r="1422" spans="1:7">
      <c r="A1422" s="14">
        <v>5770</v>
      </c>
      <c r="B1422" s="13" t="s">
        <v>14392</v>
      </c>
      <c r="C1422" s="13" t="s">
        <v>14393</v>
      </c>
      <c r="D1422" s="13" t="s">
        <v>13564</v>
      </c>
      <c r="E1422" s="13" t="s">
        <v>1150</v>
      </c>
      <c r="F1422" s="15">
        <v>367</v>
      </c>
      <c r="G1422" s="15">
        <v>367</v>
      </c>
    </row>
    <row r="1423" spans="1:7">
      <c r="A1423" s="14">
        <v>5775</v>
      </c>
      <c r="B1423" s="13" t="s">
        <v>14394</v>
      </c>
      <c r="C1423" s="13" t="s">
        <v>14395</v>
      </c>
      <c r="D1423" s="13" t="s">
        <v>13564</v>
      </c>
      <c r="E1423" s="13" t="s">
        <v>1150</v>
      </c>
      <c r="F1423" s="15">
        <v>367</v>
      </c>
      <c r="G1423" s="15">
        <v>367</v>
      </c>
    </row>
    <row r="1424" spans="1:7">
      <c r="A1424" s="14">
        <v>5780</v>
      </c>
      <c r="B1424" s="13" t="s">
        <v>14396</v>
      </c>
      <c r="C1424" s="13" t="s">
        <v>14397</v>
      </c>
      <c r="D1424" s="13" t="s">
        <v>13564</v>
      </c>
      <c r="E1424" s="13" t="s">
        <v>1150</v>
      </c>
      <c r="F1424" s="15">
        <v>367</v>
      </c>
      <c r="G1424" s="15">
        <v>367</v>
      </c>
    </row>
    <row r="1425" spans="1:7">
      <c r="A1425" s="14">
        <v>5785</v>
      </c>
      <c r="B1425" s="13" t="s">
        <v>14398</v>
      </c>
      <c r="C1425" s="13" t="s">
        <v>13967</v>
      </c>
      <c r="E1425" s="13" t="s">
        <v>1150</v>
      </c>
      <c r="F1425" s="15">
        <v>367</v>
      </c>
      <c r="G1425" s="15">
        <v>367</v>
      </c>
    </row>
    <row r="1426" spans="1:7">
      <c r="A1426" s="14">
        <v>5790</v>
      </c>
      <c r="B1426" s="13" t="s">
        <v>14399</v>
      </c>
      <c r="C1426" s="13" t="s">
        <v>14400</v>
      </c>
      <c r="D1426" s="13" t="s">
        <v>13564</v>
      </c>
      <c r="E1426" s="13" t="s">
        <v>1150</v>
      </c>
      <c r="F1426" s="15">
        <v>367</v>
      </c>
      <c r="G1426" s="15">
        <v>367</v>
      </c>
    </row>
    <row r="1427" spans="1:7">
      <c r="A1427" s="14">
        <v>5795</v>
      </c>
      <c r="B1427" s="13" t="s">
        <v>14401</v>
      </c>
      <c r="C1427" s="13" t="s">
        <v>14402</v>
      </c>
      <c r="D1427" s="13" t="s">
        <v>13564</v>
      </c>
      <c r="E1427" s="13" t="s">
        <v>1150</v>
      </c>
      <c r="F1427" s="15">
        <v>367</v>
      </c>
      <c r="G1427" s="15">
        <v>367</v>
      </c>
    </row>
    <row r="1428" spans="1:7">
      <c r="A1428" s="14">
        <v>5800</v>
      </c>
      <c r="B1428" s="13" t="s">
        <v>14403</v>
      </c>
      <c r="C1428" s="13" t="s">
        <v>14404</v>
      </c>
      <c r="D1428" s="13" t="s">
        <v>13564</v>
      </c>
      <c r="E1428" s="13" t="s">
        <v>1150</v>
      </c>
      <c r="F1428" s="15">
        <v>367</v>
      </c>
      <c r="G1428" s="15">
        <v>367</v>
      </c>
    </row>
    <row r="1429" spans="1:7">
      <c r="A1429" s="14">
        <v>5805</v>
      </c>
      <c r="B1429" s="13" t="s">
        <v>14405</v>
      </c>
      <c r="C1429" s="13" t="s">
        <v>14406</v>
      </c>
      <c r="D1429" s="13" t="s">
        <v>13564</v>
      </c>
      <c r="E1429" s="13" t="s">
        <v>1150</v>
      </c>
      <c r="F1429" s="15">
        <v>367</v>
      </c>
      <c r="G1429" s="15">
        <v>367</v>
      </c>
    </row>
    <row r="1430" spans="1:7">
      <c r="A1430" s="14">
        <v>5810</v>
      </c>
      <c r="B1430" s="13" t="s">
        <v>14407</v>
      </c>
      <c r="C1430" s="13" t="s">
        <v>14408</v>
      </c>
      <c r="D1430" s="13" t="s">
        <v>13564</v>
      </c>
      <c r="E1430" s="13" t="s">
        <v>1150</v>
      </c>
      <c r="F1430" s="15">
        <v>367</v>
      </c>
      <c r="G1430" s="15">
        <v>367</v>
      </c>
    </row>
    <row r="1431" spans="1:7">
      <c r="A1431" s="14">
        <v>5815</v>
      </c>
      <c r="B1431" s="13" t="s">
        <v>14409</v>
      </c>
      <c r="C1431" s="13" t="s">
        <v>14410</v>
      </c>
      <c r="D1431" s="13" t="s">
        <v>13564</v>
      </c>
      <c r="E1431" s="13" t="s">
        <v>1150</v>
      </c>
      <c r="F1431" s="15">
        <v>367</v>
      </c>
      <c r="G1431" s="15">
        <v>367</v>
      </c>
    </row>
    <row r="1432" spans="1:7">
      <c r="A1432" s="14">
        <v>5820</v>
      </c>
      <c r="B1432" s="13" t="s">
        <v>14411</v>
      </c>
      <c r="C1432" s="13" t="s">
        <v>14412</v>
      </c>
      <c r="D1432" s="13" t="s">
        <v>13564</v>
      </c>
      <c r="E1432" s="13" t="s">
        <v>1150</v>
      </c>
      <c r="F1432" s="15">
        <v>367</v>
      </c>
      <c r="G1432" s="15">
        <v>367</v>
      </c>
    </row>
    <row r="1433" spans="1:7">
      <c r="A1433" s="14">
        <v>5825</v>
      </c>
      <c r="B1433" s="13" t="s">
        <v>14413</v>
      </c>
      <c r="C1433" s="13" t="s">
        <v>14414</v>
      </c>
      <c r="D1433" s="13" t="s">
        <v>13564</v>
      </c>
      <c r="E1433" s="13" t="s">
        <v>1150</v>
      </c>
      <c r="F1433" s="15">
        <v>367</v>
      </c>
      <c r="G1433" s="15">
        <v>367</v>
      </c>
    </row>
    <row r="1434" spans="1:7">
      <c r="A1434" s="14">
        <v>5830</v>
      </c>
      <c r="B1434" s="13" t="s">
        <v>14415</v>
      </c>
      <c r="C1434" s="13" t="s">
        <v>14416</v>
      </c>
      <c r="D1434" s="13" t="s">
        <v>13564</v>
      </c>
      <c r="E1434" s="13" t="s">
        <v>1150</v>
      </c>
      <c r="F1434" s="15">
        <v>367</v>
      </c>
      <c r="G1434" s="15">
        <v>367</v>
      </c>
    </row>
    <row r="1435" spans="1:7">
      <c r="A1435" s="14">
        <v>5835</v>
      </c>
      <c r="B1435" s="13" t="s">
        <v>14417</v>
      </c>
      <c r="C1435" s="13" t="s">
        <v>14418</v>
      </c>
      <c r="D1435" s="13" t="s">
        <v>13564</v>
      </c>
      <c r="E1435" s="13" t="s">
        <v>1150</v>
      </c>
      <c r="F1435" s="15">
        <v>367</v>
      </c>
      <c r="G1435" s="15">
        <v>367</v>
      </c>
    </row>
    <row r="1436" spans="1:7">
      <c r="A1436" s="14">
        <v>5840</v>
      </c>
      <c r="B1436" s="13" t="s">
        <v>14419</v>
      </c>
      <c r="C1436" s="13" t="s">
        <v>14420</v>
      </c>
      <c r="D1436" s="13" t="s">
        <v>13564</v>
      </c>
      <c r="E1436" s="13" t="s">
        <v>1150</v>
      </c>
      <c r="F1436" s="15">
        <v>367</v>
      </c>
      <c r="G1436" s="15">
        <v>367</v>
      </c>
    </row>
    <row r="1437" spans="1:7">
      <c r="A1437" s="14">
        <v>5845</v>
      </c>
      <c r="B1437" s="13" t="s">
        <v>14421</v>
      </c>
      <c r="C1437" s="13" t="s">
        <v>14422</v>
      </c>
      <c r="D1437" s="13" t="s">
        <v>13564</v>
      </c>
      <c r="E1437" s="13" t="s">
        <v>1150</v>
      </c>
      <c r="F1437" s="15">
        <v>367</v>
      </c>
      <c r="G1437" s="15">
        <v>367</v>
      </c>
    </row>
    <row r="1438" spans="1:7">
      <c r="A1438" s="14">
        <v>5846</v>
      </c>
      <c r="B1438" s="13" t="s">
        <v>14423</v>
      </c>
      <c r="C1438" s="13" t="s">
        <v>14424</v>
      </c>
      <c r="E1438" s="13" t="s">
        <v>1150</v>
      </c>
      <c r="F1438" s="15">
        <v>44866</v>
      </c>
      <c r="G1438" s="15">
        <v>44866</v>
      </c>
    </row>
    <row r="1439" spans="1:7">
      <c r="A1439" s="14">
        <v>5847</v>
      </c>
      <c r="B1439" s="13" t="s">
        <v>14425</v>
      </c>
      <c r="C1439" s="13" t="s">
        <v>14426</v>
      </c>
      <c r="D1439" s="13" t="s">
        <v>13564</v>
      </c>
      <c r="E1439" s="13" t="s">
        <v>1150</v>
      </c>
      <c r="F1439" s="15">
        <v>38323</v>
      </c>
      <c r="G1439" s="15">
        <v>38323</v>
      </c>
    </row>
    <row r="1440" spans="1:7">
      <c r="A1440" s="14">
        <v>5850</v>
      </c>
      <c r="B1440" s="13" t="s">
        <v>14427</v>
      </c>
      <c r="C1440" s="13" t="s">
        <v>14428</v>
      </c>
      <c r="D1440" s="13" t="s">
        <v>13564</v>
      </c>
      <c r="E1440" s="13" t="s">
        <v>1150</v>
      </c>
      <c r="F1440" s="15">
        <v>367</v>
      </c>
      <c r="G1440" s="15">
        <v>367</v>
      </c>
    </row>
    <row r="1441" spans="1:7">
      <c r="A1441" s="14">
        <v>5855</v>
      </c>
      <c r="B1441" s="13" t="s">
        <v>14429</v>
      </c>
      <c r="C1441" s="13" t="s">
        <v>14430</v>
      </c>
      <c r="D1441" s="13" t="s">
        <v>13564</v>
      </c>
      <c r="E1441" s="13" t="s">
        <v>1150</v>
      </c>
      <c r="F1441" s="15">
        <v>367</v>
      </c>
      <c r="G1441" s="15">
        <v>367</v>
      </c>
    </row>
    <row r="1442" spans="1:7">
      <c r="A1442" s="14">
        <v>5860</v>
      </c>
      <c r="B1442" s="13" t="s">
        <v>14431</v>
      </c>
      <c r="C1442" s="13" t="s">
        <v>14432</v>
      </c>
      <c r="D1442" s="13" t="s">
        <v>13564</v>
      </c>
      <c r="E1442" s="13" t="s">
        <v>1150</v>
      </c>
      <c r="F1442" s="15">
        <v>367</v>
      </c>
      <c r="G1442" s="15">
        <v>367</v>
      </c>
    </row>
    <row r="1443" spans="1:7">
      <c r="A1443" s="14">
        <v>5865</v>
      </c>
      <c r="B1443" s="13" t="s">
        <v>14433</v>
      </c>
      <c r="C1443" s="13" t="s">
        <v>14434</v>
      </c>
      <c r="D1443" s="13" t="s">
        <v>13564</v>
      </c>
      <c r="E1443" s="13" t="s">
        <v>1150</v>
      </c>
      <c r="F1443" s="15">
        <v>367</v>
      </c>
      <c r="G1443" s="15">
        <v>367</v>
      </c>
    </row>
    <row r="1444" spans="1:7">
      <c r="A1444" s="14">
        <v>5870</v>
      </c>
      <c r="B1444" s="13" t="s">
        <v>14435</v>
      </c>
      <c r="C1444" s="13" t="s">
        <v>14436</v>
      </c>
      <c r="D1444" s="13" t="s">
        <v>13564</v>
      </c>
      <c r="E1444" s="13" t="s">
        <v>1150</v>
      </c>
      <c r="F1444" s="15">
        <v>367</v>
      </c>
      <c r="G1444" s="15">
        <v>367</v>
      </c>
    </row>
    <row r="1445" spans="1:7">
      <c r="A1445" s="14">
        <v>5875</v>
      </c>
      <c r="B1445" s="13" t="s">
        <v>14437</v>
      </c>
      <c r="C1445" s="13" t="s">
        <v>14438</v>
      </c>
      <c r="D1445" s="13" t="s">
        <v>13564</v>
      </c>
      <c r="E1445" s="13" t="s">
        <v>1150</v>
      </c>
      <c r="F1445" s="15">
        <v>367</v>
      </c>
      <c r="G1445" s="15">
        <v>367</v>
      </c>
    </row>
    <row r="1446" spans="1:7">
      <c r="A1446" s="14">
        <v>5880</v>
      </c>
      <c r="B1446" s="13" t="s">
        <v>14439</v>
      </c>
      <c r="C1446" s="13" t="s">
        <v>14440</v>
      </c>
      <c r="D1446" s="13" t="s">
        <v>13564</v>
      </c>
      <c r="E1446" s="13" t="s">
        <v>1150</v>
      </c>
      <c r="F1446" s="15">
        <v>367</v>
      </c>
      <c r="G1446" s="15">
        <v>367</v>
      </c>
    </row>
    <row r="1447" spans="1:7">
      <c r="A1447" s="14">
        <v>5883</v>
      </c>
      <c r="B1447" s="13" t="s">
        <v>14441</v>
      </c>
      <c r="C1447" s="13" t="s">
        <v>14442</v>
      </c>
      <c r="D1447" s="13" t="s">
        <v>13564</v>
      </c>
      <c r="E1447" s="13" t="s">
        <v>1150</v>
      </c>
      <c r="F1447" s="15">
        <v>39965</v>
      </c>
      <c r="G1447" s="15">
        <v>39965</v>
      </c>
    </row>
    <row r="1448" spans="1:7">
      <c r="A1448" s="14">
        <v>5885</v>
      </c>
      <c r="B1448" s="13" t="s">
        <v>14443</v>
      </c>
      <c r="C1448" s="13" t="s">
        <v>14444</v>
      </c>
      <c r="D1448" s="13" t="s">
        <v>13564</v>
      </c>
      <c r="E1448" s="13" t="s">
        <v>1150</v>
      </c>
      <c r="F1448" s="15">
        <v>367</v>
      </c>
      <c r="G1448" s="15">
        <v>367</v>
      </c>
    </row>
    <row r="1449" spans="1:7">
      <c r="A1449" s="14">
        <v>5890</v>
      </c>
      <c r="B1449" s="13" t="s">
        <v>14445</v>
      </c>
      <c r="C1449" s="13" t="s">
        <v>14446</v>
      </c>
      <c r="D1449" s="13" t="s">
        <v>13564</v>
      </c>
      <c r="E1449" s="13" t="s">
        <v>1150</v>
      </c>
      <c r="F1449" s="15">
        <v>367</v>
      </c>
      <c r="G1449" s="15">
        <v>367</v>
      </c>
    </row>
    <row r="1450" spans="1:7">
      <c r="A1450" s="14">
        <v>5895</v>
      </c>
      <c r="B1450" s="13" t="s">
        <v>14447</v>
      </c>
      <c r="C1450" s="13" t="s">
        <v>14448</v>
      </c>
      <c r="D1450" s="13" t="s">
        <v>13564</v>
      </c>
      <c r="E1450" s="13" t="s">
        <v>1150</v>
      </c>
      <c r="F1450" s="15">
        <v>367</v>
      </c>
      <c r="G1450" s="15">
        <v>367</v>
      </c>
    </row>
    <row r="1451" spans="1:7">
      <c r="A1451" s="14">
        <v>5899</v>
      </c>
      <c r="B1451" s="13" t="s">
        <v>14449</v>
      </c>
      <c r="C1451" s="13" t="s">
        <v>14450</v>
      </c>
      <c r="D1451" s="13" t="s">
        <v>13564</v>
      </c>
      <c r="E1451" s="13" t="s">
        <v>1150</v>
      </c>
      <c r="F1451" s="15">
        <v>367</v>
      </c>
      <c r="G1451" s="15">
        <v>367</v>
      </c>
    </row>
    <row r="1452" spans="1:7">
      <c r="A1452" s="14">
        <v>5901</v>
      </c>
      <c r="B1452" s="13" t="s">
        <v>14451</v>
      </c>
      <c r="C1452" s="13" t="s">
        <v>14452</v>
      </c>
      <c r="D1452" s="13" t="s">
        <v>13564</v>
      </c>
      <c r="E1452" s="13" t="s">
        <v>1150</v>
      </c>
      <c r="F1452" s="15">
        <v>42662</v>
      </c>
      <c r="G1452" s="15">
        <v>42662</v>
      </c>
    </row>
    <row r="1453" spans="1:7">
      <c r="A1453" s="14">
        <v>5903</v>
      </c>
      <c r="B1453" s="13" t="s">
        <v>14453</v>
      </c>
      <c r="C1453" s="13" t="s">
        <v>14454</v>
      </c>
      <c r="D1453" s="13" t="s">
        <v>13564</v>
      </c>
      <c r="E1453" s="13" t="s">
        <v>1150</v>
      </c>
      <c r="F1453" s="15">
        <v>39965</v>
      </c>
      <c r="G1453" s="15">
        <v>39965</v>
      </c>
    </row>
    <row r="1454" spans="1:7">
      <c r="A1454" s="14">
        <v>5905</v>
      </c>
      <c r="B1454" s="13" t="s">
        <v>14455</v>
      </c>
      <c r="C1454" s="13" t="s">
        <v>14456</v>
      </c>
      <c r="D1454" s="13" t="s">
        <v>13564</v>
      </c>
      <c r="E1454" s="13" t="s">
        <v>1150</v>
      </c>
      <c r="F1454" s="15">
        <v>367</v>
      </c>
      <c r="G1454" s="15">
        <v>367</v>
      </c>
    </row>
    <row r="1455" spans="1:7">
      <c r="A1455" s="14">
        <v>5910</v>
      </c>
      <c r="B1455" s="13" t="s">
        <v>14457</v>
      </c>
      <c r="C1455" s="13" t="s">
        <v>14458</v>
      </c>
      <c r="D1455" s="13" t="s">
        <v>13564</v>
      </c>
      <c r="E1455" s="13" t="s">
        <v>1150</v>
      </c>
      <c r="F1455" s="15">
        <v>367</v>
      </c>
      <c r="G1455" s="15">
        <v>367</v>
      </c>
    </row>
    <row r="1456" spans="1:7">
      <c r="A1456" s="14">
        <v>5915</v>
      </c>
      <c r="B1456" s="13" t="s">
        <v>14459</v>
      </c>
      <c r="C1456" s="13" t="s">
        <v>14460</v>
      </c>
      <c r="D1456" s="13" t="s">
        <v>13564</v>
      </c>
      <c r="E1456" s="13" t="s">
        <v>1150</v>
      </c>
      <c r="F1456" s="15">
        <v>367</v>
      </c>
      <c r="G1456" s="15">
        <v>367</v>
      </c>
    </row>
    <row r="1457" spans="1:7">
      <c r="A1457" s="14">
        <v>5920</v>
      </c>
      <c r="B1457" s="13" t="s">
        <v>14461</v>
      </c>
      <c r="C1457" s="13" t="s">
        <v>14462</v>
      </c>
      <c r="D1457" s="13" t="s">
        <v>13564</v>
      </c>
      <c r="E1457" s="13" t="s">
        <v>1150</v>
      </c>
      <c r="F1457" s="15">
        <v>367</v>
      </c>
      <c r="G1457" s="15">
        <v>367</v>
      </c>
    </row>
    <row r="1458" spans="1:7">
      <c r="A1458" s="14">
        <v>5925</v>
      </c>
      <c r="B1458" s="13" t="s">
        <v>14463</v>
      </c>
      <c r="C1458" s="13" t="s">
        <v>14464</v>
      </c>
      <c r="D1458" s="13" t="s">
        <v>13564</v>
      </c>
      <c r="E1458" s="13" t="s">
        <v>1150</v>
      </c>
      <c r="F1458" s="15">
        <v>367</v>
      </c>
      <c r="G1458" s="15">
        <v>367</v>
      </c>
    </row>
    <row r="1459" spans="1:7">
      <c r="A1459" s="14">
        <v>5930</v>
      </c>
      <c r="B1459" s="13" t="s">
        <v>14465</v>
      </c>
      <c r="C1459" s="13" t="s">
        <v>14466</v>
      </c>
      <c r="D1459" s="13" t="s">
        <v>13564</v>
      </c>
      <c r="E1459" s="13" t="s">
        <v>1150</v>
      </c>
      <c r="F1459" s="15">
        <v>367</v>
      </c>
      <c r="G1459" s="15">
        <v>367</v>
      </c>
    </row>
    <row r="1460" spans="1:7">
      <c r="A1460" s="14">
        <v>5935</v>
      </c>
      <c r="B1460" s="13" t="s">
        <v>14467</v>
      </c>
      <c r="C1460" s="13" t="s">
        <v>14468</v>
      </c>
      <c r="D1460" s="13" t="s">
        <v>13564</v>
      </c>
      <c r="E1460" s="13" t="s">
        <v>1150</v>
      </c>
      <c r="F1460" s="15">
        <v>367</v>
      </c>
      <c r="G1460" s="15">
        <v>367</v>
      </c>
    </row>
    <row r="1461" spans="1:7">
      <c r="A1461" s="14">
        <v>5940</v>
      </c>
      <c r="B1461" s="13" t="s">
        <v>14469</v>
      </c>
      <c r="C1461" s="13" t="s">
        <v>14470</v>
      </c>
      <c r="D1461" s="13" t="s">
        <v>13564</v>
      </c>
      <c r="E1461" s="13" t="s">
        <v>1150</v>
      </c>
      <c r="F1461" s="15">
        <v>367</v>
      </c>
      <c r="G1461" s="15">
        <v>367</v>
      </c>
    </row>
    <row r="1462" spans="1:7">
      <c r="A1462" s="14">
        <v>5945</v>
      </c>
      <c r="B1462" s="13" t="s">
        <v>14471</v>
      </c>
      <c r="C1462" s="13" t="s">
        <v>14472</v>
      </c>
      <c r="D1462" s="13" t="s">
        <v>13564</v>
      </c>
      <c r="E1462" s="13" t="s">
        <v>1150</v>
      </c>
      <c r="F1462" s="15">
        <v>367</v>
      </c>
      <c r="G1462" s="15">
        <v>367</v>
      </c>
    </row>
    <row r="1463" spans="1:7">
      <c r="A1463" s="14">
        <v>5950</v>
      </c>
      <c r="B1463" s="13" t="s">
        <v>14473</v>
      </c>
      <c r="C1463" s="13" t="s">
        <v>14474</v>
      </c>
      <c r="D1463" s="13" t="s">
        <v>13564</v>
      </c>
      <c r="E1463" s="13" t="s">
        <v>1150</v>
      </c>
      <c r="F1463" s="15">
        <v>367</v>
      </c>
      <c r="G1463" s="15">
        <v>367</v>
      </c>
    </row>
    <row r="1464" spans="1:7">
      <c r="A1464" s="14">
        <v>5951</v>
      </c>
      <c r="B1464" s="13" t="s">
        <v>14475</v>
      </c>
      <c r="C1464" s="13" t="s">
        <v>14476</v>
      </c>
      <c r="D1464" s="13" t="s">
        <v>13564</v>
      </c>
      <c r="E1464" s="13" t="s">
        <v>1150</v>
      </c>
      <c r="F1464" s="15">
        <v>37771</v>
      </c>
      <c r="G1464" s="15">
        <v>37771</v>
      </c>
    </row>
    <row r="1465" spans="1:7">
      <c r="A1465" s="14">
        <v>5952</v>
      </c>
      <c r="B1465" s="13" t="s">
        <v>14477</v>
      </c>
      <c r="C1465" s="13" t="s">
        <v>14478</v>
      </c>
      <c r="D1465" s="13" t="s">
        <v>13564</v>
      </c>
      <c r="E1465" s="13" t="s">
        <v>1150</v>
      </c>
      <c r="F1465" s="15">
        <v>37622</v>
      </c>
      <c r="G1465" s="15">
        <v>37622</v>
      </c>
    </row>
    <row r="1466" spans="1:7">
      <c r="A1466" s="14">
        <v>5953</v>
      </c>
      <c r="B1466" s="13" t="s">
        <v>14479</v>
      </c>
      <c r="C1466" s="13" t="s">
        <v>14480</v>
      </c>
      <c r="D1466" s="13" t="s">
        <v>13564</v>
      </c>
      <c r="E1466" s="13" t="s">
        <v>1150</v>
      </c>
      <c r="F1466" s="15">
        <v>37771</v>
      </c>
      <c r="G1466" s="15">
        <v>37771</v>
      </c>
    </row>
    <row r="1467" spans="1:7">
      <c r="A1467" s="14">
        <v>5954</v>
      </c>
      <c r="B1467" s="13" t="s">
        <v>14481</v>
      </c>
      <c r="C1467" s="13" t="s">
        <v>14482</v>
      </c>
      <c r="D1467" s="13" t="s">
        <v>13564</v>
      </c>
      <c r="E1467" s="13" t="s">
        <v>1150</v>
      </c>
      <c r="F1467" s="15">
        <v>37771</v>
      </c>
      <c r="G1467" s="15">
        <v>37771</v>
      </c>
    </row>
    <row r="1468" spans="1:7">
      <c r="A1468" s="14">
        <v>5956</v>
      </c>
      <c r="B1468" s="13" t="s">
        <v>14483</v>
      </c>
      <c r="C1468" s="13" t="s">
        <v>14484</v>
      </c>
      <c r="D1468" s="13" t="s">
        <v>13564</v>
      </c>
      <c r="E1468" s="13" t="s">
        <v>1150</v>
      </c>
      <c r="F1468" s="15">
        <v>37771</v>
      </c>
      <c r="G1468" s="15">
        <v>37771</v>
      </c>
    </row>
    <row r="1469" spans="1:7">
      <c r="A1469" s="14">
        <v>5955</v>
      </c>
      <c r="B1469" s="13" t="s">
        <v>14485</v>
      </c>
      <c r="C1469" s="13" t="s">
        <v>14486</v>
      </c>
      <c r="D1469" s="13" t="s">
        <v>13564</v>
      </c>
      <c r="E1469" s="13" t="s">
        <v>1150</v>
      </c>
      <c r="F1469" s="15">
        <v>37622</v>
      </c>
      <c r="G1469" s="15">
        <v>37622</v>
      </c>
    </row>
    <row r="1470" spans="1:7">
      <c r="A1470" s="14">
        <v>5957</v>
      </c>
      <c r="B1470" s="13" t="s">
        <v>14487</v>
      </c>
      <c r="C1470" s="13" t="s">
        <v>14488</v>
      </c>
      <c r="D1470" s="13" t="s">
        <v>13564</v>
      </c>
      <c r="E1470" s="13" t="s">
        <v>1150</v>
      </c>
      <c r="F1470" s="15">
        <v>367</v>
      </c>
      <c r="G1470" s="15">
        <v>367</v>
      </c>
    </row>
    <row r="1471" spans="1:7">
      <c r="A1471" s="14">
        <v>5960</v>
      </c>
      <c r="B1471" s="13" t="s">
        <v>14489</v>
      </c>
      <c r="C1471" s="13" t="s">
        <v>14490</v>
      </c>
      <c r="D1471" s="13" t="s">
        <v>13564</v>
      </c>
      <c r="E1471" s="13" t="s">
        <v>1150</v>
      </c>
      <c r="F1471" s="15">
        <v>367</v>
      </c>
      <c r="G1471" s="15">
        <v>367</v>
      </c>
    </row>
    <row r="1472" spans="1:7">
      <c r="A1472" s="14">
        <v>5965</v>
      </c>
      <c r="B1472" s="13" t="s">
        <v>14491</v>
      </c>
      <c r="C1472" s="13" t="s">
        <v>14492</v>
      </c>
      <c r="D1472" s="13" t="s">
        <v>13564</v>
      </c>
      <c r="E1472" s="13" t="s">
        <v>1150</v>
      </c>
      <c r="F1472" s="15">
        <v>367</v>
      </c>
      <c r="G1472" s="15">
        <v>367</v>
      </c>
    </row>
    <row r="1473" spans="1:7">
      <c r="A1473" s="14">
        <v>5970</v>
      </c>
      <c r="B1473" s="13" t="s">
        <v>14493</v>
      </c>
      <c r="C1473" s="13" t="s">
        <v>14494</v>
      </c>
      <c r="D1473" s="13" t="s">
        <v>13564</v>
      </c>
      <c r="E1473" s="13" t="s">
        <v>1150</v>
      </c>
      <c r="F1473" s="15">
        <v>367</v>
      </c>
      <c r="G1473" s="15">
        <v>367</v>
      </c>
    </row>
    <row r="1474" spans="1:7">
      <c r="A1474" s="14">
        <v>5975</v>
      </c>
      <c r="B1474" s="13" t="s">
        <v>14495</v>
      </c>
      <c r="C1474" s="13" t="s">
        <v>14496</v>
      </c>
      <c r="D1474" s="13" t="s">
        <v>13564</v>
      </c>
      <c r="E1474" s="13" t="s">
        <v>1150</v>
      </c>
      <c r="F1474" s="15">
        <v>367</v>
      </c>
      <c r="G1474" s="15">
        <v>367</v>
      </c>
    </row>
    <row r="1475" spans="1:7">
      <c r="A1475" s="14">
        <v>5980</v>
      </c>
      <c r="B1475" s="13" t="s">
        <v>14497</v>
      </c>
      <c r="C1475" s="13" t="s">
        <v>14498</v>
      </c>
      <c r="D1475" s="13" t="s">
        <v>13564</v>
      </c>
      <c r="E1475" s="13" t="s">
        <v>1150</v>
      </c>
      <c r="F1475" s="15">
        <v>367</v>
      </c>
      <c r="G1475" s="15">
        <v>367</v>
      </c>
    </row>
    <row r="1476" spans="1:7">
      <c r="A1476" s="14">
        <v>5985</v>
      </c>
      <c r="B1476" s="13" t="s">
        <v>14499</v>
      </c>
      <c r="C1476" s="13" t="s">
        <v>14500</v>
      </c>
      <c r="D1476" s="13" t="s">
        <v>13564</v>
      </c>
      <c r="E1476" s="13" t="s">
        <v>1150</v>
      </c>
      <c r="F1476" s="15">
        <v>367</v>
      </c>
      <c r="G1476" s="15">
        <v>367</v>
      </c>
    </row>
    <row r="1477" spans="1:7">
      <c r="A1477" s="14">
        <v>5990</v>
      </c>
      <c r="B1477" s="13" t="s">
        <v>14501</v>
      </c>
      <c r="C1477" s="13" t="s">
        <v>14502</v>
      </c>
      <c r="D1477" s="13" t="s">
        <v>13564</v>
      </c>
      <c r="E1477" s="13" t="s">
        <v>1150</v>
      </c>
      <c r="F1477" s="15">
        <v>367</v>
      </c>
      <c r="G1477" s="15">
        <v>367</v>
      </c>
    </row>
    <row r="1478" spans="1:7">
      <c r="A1478" s="14">
        <v>5992</v>
      </c>
      <c r="B1478" s="13" t="s">
        <v>14503</v>
      </c>
      <c r="C1478" s="13" t="s">
        <v>14504</v>
      </c>
      <c r="D1478" s="13" t="s">
        <v>13564</v>
      </c>
      <c r="E1478" s="13" t="s">
        <v>1150</v>
      </c>
      <c r="F1478" s="15">
        <v>37561</v>
      </c>
      <c r="G1478" s="15">
        <v>37561</v>
      </c>
    </row>
    <row r="1479" spans="1:7">
      <c r="A1479" s="14">
        <v>5993</v>
      </c>
      <c r="B1479" s="13" t="s">
        <v>14505</v>
      </c>
      <c r="C1479" s="13" t="s">
        <v>14506</v>
      </c>
      <c r="D1479" s="13" t="s">
        <v>13564</v>
      </c>
      <c r="E1479" s="13" t="s">
        <v>1150</v>
      </c>
      <c r="F1479" s="15">
        <v>37771</v>
      </c>
      <c r="G1479" s="15">
        <v>37771</v>
      </c>
    </row>
    <row r="1480" spans="1:7">
      <c r="A1480" s="14">
        <v>5994</v>
      </c>
      <c r="B1480" s="13" t="s">
        <v>14507</v>
      </c>
      <c r="C1480" s="13" t="s">
        <v>14508</v>
      </c>
      <c r="D1480" s="13" t="s">
        <v>13564</v>
      </c>
      <c r="E1480" s="13" t="s">
        <v>1150</v>
      </c>
      <c r="F1480" s="15">
        <v>37771</v>
      </c>
      <c r="G1480" s="15">
        <v>37771</v>
      </c>
    </row>
    <row r="1481" spans="1:7">
      <c r="A1481" s="14">
        <v>5995</v>
      </c>
      <c r="B1481" s="13" t="s">
        <v>14509</v>
      </c>
      <c r="C1481" s="13" t="s">
        <v>14510</v>
      </c>
      <c r="D1481" s="13" t="s">
        <v>13564</v>
      </c>
      <c r="E1481" s="13" t="s">
        <v>1150</v>
      </c>
      <c r="F1481" s="15">
        <v>37771</v>
      </c>
      <c r="G1481" s="15">
        <v>37771</v>
      </c>
    </row>
    <row r="1482" spans="1:7">
      <c r="A1482" s="14">
        <v>5996</v>
      </c>
      <c r="B1482" s="13" t="s">
        <v>14511</v>
      </c>
      <c r="C1482" s="13" t="s">
        <v>14512</v>
      </c>
      <c r="D1482" s="13" t="s">
        <v>13564</v>
      </c>
      <c r="E1482" s="13" t="s">
        <v>1150</v>
      </c>
      <c r="F1482" s="15">
        <v>37771</v>
      </c>
      <c r="G1482" s="15">
        <v>37771</v>
      </c>
    </row>
    <row r="1483" spans="1:7">
      <c r="A1483" s="14">
        <v>5998</v>
      </c>
      <c r="B1483" s="13" t="s">
        <v>14513</v>
      </c>
      <c r="C1483" s="13" t="s">
        <v>14514</v>
      </c>
      <c r="D1483" s="13" t="s">
        <v>13564</v>
      </c>
      <c r="E1483" s="13" t="s">
        <v>1150</v>
      </c>
      <c r="F1483" s="15">
        <v>367</v>
      </c>
      <c r="G1483" s="15">
        <v>367</v>
      </c>
    </row>
    <row r="1484" spans="1:7">
      <c r="A1484" s="14">
        <v>6000</v>
      </c>
      <c r="B1484" s="13" t="s">
        <v>14515</v>
      </c>
      <c r="C1484" s="13" t="s">
        <v>14516</v>
      </c>
      <c r="D1484" s="13" t="s">
        <v>13564</v>
      </c>
      <c r="E1484" s="13" t="s">
        <v>1150</v>
      </c>
      <c r="F1484" s="15">
        <v>367</v>
      </c>
      <c r="G1484" s="15">
        <v>367</v>
      </c>
    </row>
    <row r="1485" spans="1:7">
      <c r="A1485" s="14">
        <v>6005</v>
      </c>
      <c r="B1485" s="13" t="s">
        <v>14517</v>
      </c>
      <c r="C1485" s="13" t="s">
        <v>14518</v>
      </c>
      <c r="D1485" s="13" t="s">
        <v>13564</v>
      </c>
      <c r="E1485" s="13" t="s">
        <v>1150</v>
      </c>
      <c r="F1485" s="15">
        <v>367</v>
      </c>
      <c r="G1485" s="15">
        <v>367</v>
      </c>
    </row>
    <row r="1486" spans="1:7">
      <c r="A1486" s="14">
        <v>6010</v>
      </c>
      <c r="B1486" s="13" t="s">
        <v>14519</v>
      </c>
      <c r="C1486" s="13" t="s">
        <v>14520</v>
      </c>
      <c r="D1486" s="13" t="s">
        <v>13564</v>
      </c>
      <c r="E1486" s="13" t="s">
        <v>1150</v>
      </c>
      <c r="F1486" s="15">
        <v>367</v>
      </c>
      <c r="G1486" s="15">
        <v>367</v>
      </c>
    </row>
    <row r="1487" spans="1:7">
      <c r="A1487" s="14">
        <v>6012</v>
      </c>
      <c r="B1487" s="13" t="s">
        <v>14521</v>
      </c>
      <c r="C1487" s="13" t="s">
        <v>14522</v>
      </c>
      <c r="D1487" s="13" t="s">
        <v>13564</v>
      </c>
      <c r="E1487" s="13" t="s">
        <v>1150</v>
      </c>
      <c r="F1487" s="15">
        <v>44378</v>
      </c>
      <c r="G1487" s="15">
        <v>44378</v>
      </c>
    </row>
    <row r="1488" spans="1:7">
      <c r="A1488" s="14">
        <v>6015</v>
      </c>
      <c r="B1488" s="13" t="s">
        <v>14523</v>
      </c>
      <c r="C1488" s="13" t="s">
        <v>14524</v>
      </c>
      <c r="D1488" s="13" t="s">
        <v>13564</v>
      </c>
      <c r="E1488" s="13" t="s">
        <v>1150</v>
      </c>
      <c r="F1488" s="15">
        <v>367</v>
      </c>
      <c r="G1488" s="15">
        <v>367</v>
      </c>
    </row>
    <row r="1489" spans="1:7">
      <c r="A1489" s="14">
        <v>6020</v>
      </c>
      <c r="B1489" s="13" t="s">
        <v>14525</v>
      </c>
      <c r="C1489" s="13" t="s">
        <v>14526</v>
      </c>
      <c r="D1489" s="13" t="s">
        <v>13564</v>
      </c>
      <c r="E1489" s="13" t="s">
        <v>1150</v>
      </c>
      <c r="F1489" s="15">
        <v>367</v>
      </c>
      <c r="G1489" s="15">
        <v>367</v>
      </c>
    </row>
    <row r="1490" spans="1:7">
      <c r="A1490" s="14">
        <v>6025</v>
      </c>
      <c r="B1490" s="13" t="s">
        <v>14527</v>
      </c>
      <c r="C1490" s="13" t="s">
        <v>14528</v>
      </c>
      <c r="D1490" s="13" t="s">
        <v>13564</v>
      </c>
      <c r="E1490" s="13" t="s">
        <v>1150</v>
      </c>
      <c r="F1490" s="15">
        <v>367</v>
      </c>
      <c r="G1490" s="15">
        <v>367</v>
      </c>
    </row>
    <row r="1491" spans="1:7">
      <c r="A1491" s="14">
        <v>6030</v>
      </c>
      <c r="B1491" s="13" t="s">
        <v>14529</v>
      </c>
      <c r="C1491" s="13" t="s">
        <v>14530</v>
      </c>
      <c r="D1491" s="13" t="s">
        <v>13564</v>
      </c>
      <c r="E1491" s="13" t="s">
        <v>1150</v>
      </c>
      <c r="F1491" s="15">
        <v>367</v>
      </c>
      <c r="G1491" s="15">
        <v>367</v>
      </c>
    </row>
    <row r="1492" spans="1:7">
      <c r="A1492" s="14">
        <v>6035</v>
      </c>
      <c r="B1492" s="13" t="s">
        <v>14531</v>
      </c>
      <c r="C1492" s="13" t="s">
        <v>14532</v>
      </c>
      <c r="D1492" s="13" t="s">
        <v>13564</v>
      </c>
      <c r="E1492" s="13" t="s">
        <v>1150</v>
      </c>
      <c r="F1492" s="15">
        <v>367</v>
      </c>
      <c r="G1492" s="15">
        <v>367</v>
      </c>
    </row>
    <row r="1493" spans="1:7">
      <c r="A1493" s="14">
        <v>6040</v>
      </c>
      <c r="B1493" s="13" t="s">
        <v>14533</v>
      </c>
      <c r="C1493" s="13" t="s">
        <v>14534</v>
      </c>
      <c r="D1493" s="13" t="s">
        <v>13564</v>
      </c>
      <c r="E1493" s="13" t="s">
        <v>1150</v>
      </c>
      <c r="F1493" s="15">
        <v>367</v>
      </c>
      <c r="G1493" s="15">
        <v>367</v>
      </c>
    </row>
    <row r="1494" spans="1:7">
      <c r="A1494" s="14">
        <v>6045</v>
      </c>
      <c r="B1494" s="13" t="s">
        <v>14535</v>
      </c>
      <c r="C1494" s="13" t="s">
        <v>14536</v>
      </c>
      <c r="D1494" s="13" t="s">
        <v>13564</v>
      </c>
      <c r="E1494" s="13" t="s">
        <v>1150</v>
      </c>
      <c r="F1494" s="15">
        <v>367</v>
      </c>
      <c r="G1494" s="15">
        <v>367</v>
      </c>
    </row>
    <row r="1495" spans="1:7">
      <c r="A1495" s="14">
        <v>6050</v>
      </c>
      <c r="B1495" s="13" t="s">
        <v>14537</v>
      </c>
      <c r="C1495" s="13" t="s">
        <v>14536</v>
      </c>
      <c r="D1495" s="13" t="s">
        <v>13564</v>
      </c>
      <c r="E1495" s="13" t="s">
        <v>1150</v>
      </c>
      <c r="F1495" s="15">
        <v>367</v>
      </c>
      <c r="G1495" s="15">
        <v>367</v>
      </c>
    </row>
    <row r="1496" spans="1:7">
      <c r="A1496" s="14">
        <v>6055</v>
      </c>
      <c r="B1496" s="13" t="s">
        <v>14538</v>
      </c>
      <c r="C1496" s="13" t="s">
        <v>14539</v>
      </c>
      <c r="D1496" s="13" t="s">
        <v>13564</v>
      </c>
      <c r="E1496" s="13" t="s">
        <v>1150</v>
      </c>
      <c r="F1496" s="15">
        <v>367</v>
      </c>
      <c r="G1496" s="15">
        <v>367</v>
      </c>
    </row>
    <row r="1497" spans="1:7">
      <c r="A1497" s="14">
        <v>6060</v>
      </c>
      <c r="B1497" s="13" t="s">
        <v>14540</v>
      </c>
      <c r="C1497" s="13" t="s">
        <v>14541</v>
      </c>
      <c r="D1497" s="13" t="s">
        <v>13564</v>
      </c>
      <c r="E1497" s="13" t="s">
        <v>1150</v>
      </c>
      <c r="F1497" s="15">
        <v>367</v>
      </c>
      <c r="G1497" s="15">
        <v>367</v>
      </c>
    </row>
    <row r="1498" spans="1:7">
      <c r="A1498" s="14">
        <v>6065</v>
      </c>
      <c r="B1498" s="13" t="s">
        <v>14542</v>
      </c>
      <c r="C1498" s="13" t="s">
        <v>14543</v>
      </c>
      <c r="D1498" s="13" t="s">
        <v>13564</v>
      </c>
      <c r="E1498" s="13" t="s">
        <v>1150</v>
      </c>
      <c r="F1498" s="15">
        <v>367</v>
      </c>
      <c r="G1498" s="15">
        <v>367</v>
      </c>
    </row>
    <row r="1499" spans="1:7">
      <c r="A1499" s="14">
        <v>6070</v>
      </c>
      <c r="B1499" s="13" t="s">
        <v>14544</v>
      </c>
      <c r="C1499" s="13" t="s">
        <v>13510</v>
      </c>
      <c r="D1499" s="13" t="s">
        <v>13564</v>
      </c>
      <c r="E1499" s="13" t="s">
        <v>1150</v>
      </c>
      <c r="F1499" s="15">
        <v>367</v>
      </c>
      <c r="G1499" s="15">
        <v>367</v>
      </c>
    </row>
    <row r="1500" spans="1:7">
      <c r="A1500" s="14">
        <v>6075</v>
      </c>
      <c r="B1500" s="13" t="s">
        <v>14545</v>
      </c>
      <c r="C1500" s="13" t="s">
        <v>14546</v>
      </c>
      <c r="D1500" s="13" t="s">
        <v>13564</v>
      </c>
      <c r="E1500" s="13" t="s">
        <v>1150</v>
      </c>
      <c r="F1500" s="15">
        <v>367</v>
      </c>
      <c r="G1500" s="15">
        <v>367</v>
      </c>
    </row>
    <row r="1501" spans="1:7">
      <c r="A1501" s="14">
        <v>6080</v>
      </c>
      <c r="B1501" s="13" t="s">
        <v>14547</v>
      </c>
      <c r="C1501" s="13" t="s">
        <v>14548</v>
      </c>
      <c r="D1501" s="13" t="s">
        <v>13564</v>
      </c>
      <c r="E1501" s="13" t="s">
        <v>1150</v>
      </c>
      <c r="F1501" s="15">
        <v>367</v>
      </c>
      <c r="G1501" s="15">
        <v>367</v>
      </c>
    </row>
    <row r="1502" spans="1:7">
      <c r="A1502" s="14">
        <v>6085</v>
      </c>
      <c r="B1502" s="13" t="s">
        <v>14549</v>
      </c>
      <c r="C1502" s="13" t="s">
        <v>14550</v>
      </c>
      <c r="D1502" s="13" t="s">
        <v>13564</v>
      </c>
      <c r="E1502" s="13" t="s">
        <v>1150</v>
      </c>
      <c r="F1502" s="15">
        <v>367</v>
      </c>
      <c r="G1502" s="15">
        <v>367</v>
      </c>
    </row>
    <row r="1503" spans="1:7">
      <c r="A1503" s="14">
        <v>6090</v>
      </c>
      <c r="B1503" s="13" t="s">
        <v>14551</v>
      </c>
      <c r="C1503" s="13" t="s">
        <v>14552</v>
      </c>
      <c r="D1503" s="13" t="s">
        <v>13564</v>
      </c>
      <c r="E1503" s="13" t="s">
        <v>1150</v>
      </c>
      <c r="F1503" s="15">
        <v>367</v>
      </c>
      <c r="G1503" s="15">
        <v>367</v>
      </c>
    </row>
    <row r="1504" spans="1:7">
      <c r="A1504" s="14">
        <v>6095</v>
      </c>
      <c r="B1504" s="13" t="s">
        <v>14553</v>
      </c>
      <c r="C1504" s="13" t="s">
        <v>14554</v>
      </c>
      <c r="D1504" s="13" t="s">
        <v>13564</v>
      </c>
      <c r="E1504" s="13" t="s">
        <v>1150</v>
      </c>
      <c r="F1504" s="15">
        <v>367</v>
      </c>
      <c r="G1504" s="15">
        <v>367</v>
      </c>
    </row>
    <row r="1505" spans="1:7">
      <c r="A1505" s="14">
        <v>6100</v>
      </c>
      <c r="B1505" s="13" t="s">
        <v>14555</v>
      </c>
      <c r="C1505" s="13" t="s">
        <v>14556</v>
      </c>
      <c r="D1505" s="13" t="s">
        <v>13564</v>
      </c>
      <c r="E1505" s="13" t="s">
        <v>1150</v>
      </c>
      <c r="F1505" s="15">
        <v>367</v>
      </c>
      <c r="G1505" s="15">
        <v>367</v>
      </c>
    </row>
    <row r="1506" spans="1:7">
      <c r="A1506" s="14">
        <v>6105</v>
      </c>
      <c r="B1506" s="13" t="s">
        <v>14557</v>
      </c>
      <c r="C1506" s="13" t="s">
        <v>14558</v>
      </c>
      <c r="D1506" s="13" t="s">
        <v>13564</v>
      </c>
      <c r="E1506" s="13" t="s">
        <v>1150</v>
      </c>
      <c r="F1506" s="15">
        <v>367</v>
      </c>
      <c r="G1506" s="15">
        <v>367</v>
      </c>
    </row>
    <row r="1507" spans="1:7">
      <c r="A1507" s="14">
        <v>6110</v>
      </c>
      <c r="B1507" s="13" t="s">
        <v>14559</v>
      </c>
      <c r="C1507" s="13" t="s">
        <v>14560</v>
      </c>
      <c r="D1507" s="13" t="s">
        <v>13564</v>
      </c>
      <c r="E1507" s="13" t="s">
        <v>1150</v>
      </c>
      <c r="F1507" s="15">
        <v>367</v>
      </c>
      <c r="G1507" s="15">
        <v>367</v>
      </c>
    </row>
    <row r="1508" spans="1:7">
      <c r="A1508" s="14">
        <v>6115</v>
      </c>
      <c r="B1508" s="13" t="s">
        <v>14561</v>
      </c>
      <c r="C1508" s="13" t="s">
        <v>14562</v>
      </c>
      <c r="D1508" s="13" t="s">
        <v>13564</v>
      </c>
      <c r="E1508" s="13" t="s">
        <v>1150</v>
      </c>
      <c r="F1508" s="15">
        <v>367</v>
      </c>
      <c r="G1508" s="15">
        <v>367</v>
      </c>
    </row>
    <row r="1509" spans="1:7">
      <c r="A1509" s="14">
        <v>6120</v>
      </c>
      <c r="B1509" s="13" t="s">
        <v>14563</v>
      </c>
      <c r="C1509" s="13" t="s">
        <v>14564</v>
      </c>
      <c r="D1509" s="13" t="s">
        <v>13564</v>
      </c>
      <c r="E1509" s="13" t="s">
        <v>1150</v>
      </c>
      <c r="F1509" s="15">
        <v>367</v>
      </c>
      <c r="G1509" s="15">
        <v>367</v>
      </c>
    </row>
    <row r="1510" spans="1:7">
      <c r="A1510" s="14">
        <v>6125</v>
      </c>
      <c r="B1510" s="13" t="s">
        <v>14565</v>
      </c>
      <c r="C1510" s="13" t="s">
        <v>12381</v>
      </c>
      <c r="D1510" s="13" t="s">
        <v>13564</v>
      </c>
      <c r="E1510" s="13" t="s">
        <v>1150</v>
      </c>
      <c r="F1510" s="15">
        <v>367</v>
      </c>
      <c r="G1510" s="15">
        <v>367</v>
      </c>
    </row>
    <row r="1511" spans="1:7">
      <c r="A1511" s="14">
        <v>6130</v>
      </c>
      <c r="B1511" s="13" t="s">
        <v>14566</v>
      </c>
      <c r="C1511" s="13" t="s">
        <v>13506</v>
      </c>
      <c r="D1511" s="13" t="s">
        <v>13564</v>
      </c>
      <c r="E1511" s="13" t="s">
        <v>1150</v>
      </c>
      <c r="F1511" s="15">
        <v>367</v>
      </c>
      <c r="G1511" s="15">
        <v>367</v>
      </c>
    </row>
    <row r="1512" spans="1:7">
      <c r="A1512" s="14">
        <v>6135</v>
      </c>
      <c r="B1512" s="13" t="s">
        <v>14567</v>
      </c>
      <c r="C1512" s="13" t="s">
        <v>14568</v>
      </c>
      <c r="D1512" s="13" t="s">
        <v>13564</v>
      </c>
      <c r="E1512" s="13" t="s">
        <v>1150</v>
      </c>
      <c r="F1512" s="15">
        <v>367</v>
      </c>
      <c r="G1512" s="15">
        <v>367</v>
      </c>
    </row>
    <row r="1513" spans="1:7">
      <c r="A1513" s="14">
        <v>6140</v>
      </c>
      <c r="B1513" s="13" t="s">
        <v>14569</v>
      </c>
      <c r="C1513" s="13" t="s">
        <v>14570</v>
      </c>
      <c r="D1513" s="13" t="s">
        <v>13564</v>
      </c>
      <c r="E1513" s="13" t="s">
        <v>1150</v>
      </c>
      <c r="F1513" s="15">
        <v>367</v>
      </c>
      <c r="G1513" s="15">
        <v>367</v>
      </c>
    </row>
    <row r="1514" spans="1:7">
      <c r="A1514" s="14">
        <v>6145</v>
      </c>
      <c r="B1514" s="13" t="s">
        <v>14571</v>
      </c>
      <c r="C1514" s="13" t="s">
        <v>14572</v>
      </c>
      <c r="D1514" s="13" t="s">
        <v>13564</v>
      </c>
      <c r="E1514" s="13" t="s">
        <v>1150</v>
      </c>
      <c r="F1514" s="15">
        <v>367</v>
      </c>
      <c r="G1514" s="15">
        <v>367</v>
      </c>
    </row>
    <row r="1515" spans="1:7">
      <c r="A1515" s="14">
        <v>6150</v>
      </c>
      <c r="B1515" s="13" t="s">
        <v>14573</v>
      </c>
      <c r="C1515" s="13" t="s">
        <v>14574</v>
      </c>
      <c r="D1515" s="13" t="s">
        <v>13564</v>
      </c>
      <c r="E1515" s="13" t="s">
        <v>1150</v>
      </c>
      <c r="F1515" s="15">
        <v>367</v>
      </c>
      <c r="G1515" s="15">
        <v>367</v>
      </c>
    </row>
    <row r="1516" spans="1:7">
      <c r="A1516" s="14">
        <v>6155</v>
      </c>
      <c r="B1516" s="13" t="s">
        <v>14575</v>
      </c>
      <c r="C1516" s="13" t="s">
        <v>14576</v>
      </c>
      <c r="D1516" s="13" t="s">
        <v>13564</v>
      </c>
      <c r="E1516" s="13" t="s">
        <v>1150</v>
      </c>
      <c r="F1516" s="15">
        <v>367</v>
      </c>
      <c r="G1516" s="15">
        <v>367</v>
      </c>
    </row>
    <row r="1517" spans="1:7">
      <c r="A1517" s="14">
        <v>6160</v>
      </c>
      <c r="B1517" s="13" t="s">
        <v>14577</v>
      </c>
      <c r="C1517" s="13" t="s">
        <v>14578</v>
      </c>
      <c r="D1517" s="13" t="s">
        <v>13564</v>
      </c>
      <c r="E1517" s="13" t="s">
        <v>1150</v>
      </c>
      <c r="F1517" s="15">
        <v>367</v>
      </c>
      <c r="G1517" s="15">
        <v>367</v>
      </c>
    </row>
    <row r="1518" spans="1:7">
      <c r="A1518" s="14">
        <v>6165</v>
      </c>
      <c r="B1518" s="13" t="s">
        <v>14579</v>
      </c>
      <c r="C1518" s="13" t="s">
        <v>14580</v>
      </c>
      <c r="D1518" s="13" t="s">
        <v>13564</v>
      </c>
      <c r="E1518" s="13" t="s">
        <v>1150</v>
      </c>
      <c r="F1518" s="15">
        <v>367</v>
      </c>
      <c r="G1518" s="15">
        <v>367</v>
      </c>
    </row>
    <row r="1519" spans="1:7">
      <c r="A1519" s="14">
        <v>6170</v>
      </c>
      <c r="B1519" s="13" t="s">
        <v>14581</v>
      </c>
      <c r="C1519" s="13" t="s">
        <v>14582</v>
      </c>
      <c r="D1519" s="13" t="s">
        <v>13564</v>
      </c>
      <c r="E1519" s="13" t="s">
        <v>1150</v>
      </c>
      <c r="F1519" s="15">
        <v>367</v>
      </c>
      <c r="G1519" s="15">
        <v>367</v>
      </c>
    </row>
    <row r="1520" spans="1:7">
      <c r="A1520" s="14">
        <v>6175</v>
      </c>
      <c r="B1520" s="13" t="s">
        <v>14583</v>
      </c>
      <c r="C1520" s="13" t="s">
        <v>14584</v>
      </c>
      <c r="D1520" s="13" t="s">
        <v>13564</v>
      </c>
      <c r="E1520" s="13" t="s">
        <v>1150</v>
      </c>
      <c r="F1520" s="15">
        <v>367</v>
      </c>
      <c r="G1520" s="15">
        <v>367</v>
      </c>
    </row>
    <row r="1521" spans="1:7">
      <c r="A1521" s="14">
        <v>6180</v>
      </c>
      <c r="B1521" s="13" t="s">
        <v>14585</v>
      </c>
      <c r="C1521" s="13" t="s">
        <v>14586</v>
      </c>
      <c r="D1521" s="13" t="s">
        <v>13564</v>
      </c>
      <c r="E1521" s="13" t="s">
        <v>1150</v>
      </c>
      <c r="F1521" s="15">
        <v>367</v>
      </c>
      <c r="G1521" s="15">
        <v>367</v>
      </c>
    </row>
    <row r="1522" spans="1:7">
      <c r="A1522" s="14">
        <v>6185</v>
      </c>
      <c r="B1522" s="13" t="s">
        <v>14587</v>
      </c>
      <c r="C1522" s="13" t="s">
        <v>14588</v>
      </c>
      <c r="D1522" s="13" t="s">
        <v>13564</v>
      </c>
      <c r="E1522" s="13" t="s">
        <v>1150</v>
      </c>
      <c r="F1522" s="15">
        <v>367</v>
      </c>
      <c r="G1522" s="15">
        <v>367</v>
      </c>
    </row>
    <row r="1523" spans="1:7">
      <c r="A1523" s="14">
        <v>6190</v>
      </c>
      <c r="B1523" s="13" t="s">
        <v>14589</v>
      </c>
      <c r="C1523" s="13" t="s">
        <v>14590</v>
      </c>
      <c r="D1523" s="13" t="s">
        <v>13564</v>
      </c>
      <c r="E1523" s="13" t="s">
        <v>1150</v>
      </c>
      <c r="F1523" s="15">
        <v>367</v>
      </c>
      <c r="G1523" s="15">
        <v>367</v>
      </c>
    </row>
    <row r="1524" spans="1:7">
      <c r="A1524" s="14">
        <v>6195</v>
      </c>
      <c r="B1524" s="13" t="s">
        <v>14591</v>
      </c>
      <c r="C1524" s="13" t="s">
        <v>14592</v>
      </c>
      <c r="D1524" s="13" t="s">
        <v>13564</v>
      </c>
      <c r="E1524" s="13" t="s">
        <v>1150</v>
      </c>
      <c r="F1524" s="15">
        <v>367</v>
      </c>
      <c r="G1524" s="15">
        <v>367</v>
      </c>
    </row>
    <row r="1525" spans="1:7">
      <c r="A1525" s="14">
        <v>6200</v>
      </c>
      <c r="B1525" s="13" t="s">
        <v>14593</v>
      </c>
      <c r="C1525" s="13" t="s">
        <v>14594</v>
      </c>
      <c r="D1525" s="13" t="s">
        <v>13564</v>
      </c>
      <c r="E1525" s="13" t="s">
        <v>1150</v>
      </c>
      <c r="F1525" s="15">
        <v>367</v>
      </c>
      <c r="G1525" s="15">
        <v>367</v>
      </c>
    </row>
    <row r="1526" spans="1:7">
      <c r="A1526" s="14">
        <v>6205</v>
      </c>
      <c r="B1526" s="13" t="s">
        <v>14595</v>
      </c>
      <c r="C1526" s="13" t="s">
        <v>14596</v>
      </c>
      <c r="D1526" s="13" t="s">
        <v>13564</v>
      </c>
      <c r="E1526" s="13" t="s">
        <v>1150</v>
      </c>
      <c r="F1526" s="15">
        <v>367</v>
      </c>
      <c r="G1526" s="15">
        <v>367</v>
      </c>
    </row>
    <row r="1527" spans="1:7">
      <c r="A1527" s="14">
        <v>6210</v>
      </c>
      <c r="B1527" s="13" t="s">
        <v>14597</v>
      </c>
      <c r="C1527" s="13" t="s">
        <v>14598</v>
      </c>
      <c r="D1527" s="13" t="s">
        <v>13564</v>
      </c>
      <c r="E1527" s="13" t="s">
        <v>1150</v>
      </c>
      <c r="F1527" s="15">
        <v>367</v>
      </c>
      <c r="G1527" s="15">
        <v>367</v>
      </c>
    </row>
    <row r="1528" spans="1:7">
      <c r="A1528" s="14">
        <v>6215</v>
      </c>
      <c r="B1528" s="13" t="s">
        <v>14599</v>
      </c>
      <c r="C1528" s="13" t="s">
        <v>14600</v>
      </c>
      <c r="D1528" s="13" t="s">
        <v>13564</v>
      </c>
      <c r="E1528" s="13" t="s">
        <v>1150</v>
      </c>
      <c r="F1528" s="15">
        <v>367</v>
      </c>
      <c r="G1528" s="15">
        <v>367</v>
      </c>
    </row>
    <row r="1529" spans="1:7">
      <c r="A1529" s="14">
        <v>6220</v>
      </c>
      <c r="B1529" s="13" t="s">
        <v>14601</v>
      </c>
      <c r="C1529" s="13" t="s">
        <v>14602</v>
      </c>
      <c r="D1529" s="13" t="s">
        <v>13564</v>
      </c>
      <c r="E1529" s="13" t="s">
        <v>1150</v>
      </c>
      <c r="F1529" s="15">
        <v>367</v>
      </c>
      <c r="G1529" s="15">
        <v>367</v>
      </c>
    </row>
    <row r="1530" spans="1:7">
      <c r="A1530" s="14">
        <v>6225</v>
      </c>
      <c r="B1530" s="13" t="s">
        <v>14603</v>
      </c>
      <c r="C1530" s="13" t="s">
        <v>14604</v>
      </c>
      <c r="D1530" s="13" t="s">
        <v>13564</v>
      </c>
      <c r="E1530" s="13" t="s">
        <v>1150</v>
      </c>
      <c r="F1530" s="15">
        <v>367</v>
      </c>
      <c r="G1530" s="15">
        <v>367</v>
      </c>
    </row>
    <row r="1531" spans="1:7">
      <c r="A1531" s="14">
        <v>6230</v>
      </c>
      <c r="B1531" s="13" t="s">
        <v>14605</v>
      </c>
      <c r="C1531" s="13" t="s">
        <v>14606</v>
      </c>
      <c r="D1531" s="13" t="s">
        <v>13564</v>
      </c>
      <c r="E1531" s="13" t="s">
        <v>1150</v>
      </c>
      <c r="F1531" s="15">
        <v>367</v>
      </c>
      <c r="G1531" s="15">
        <v>367</v>
      </c>
    </row>
    <row r="1532" spans="1:7">
      <c r="A1532" s="14">
        <v>6235</v>
      </c>
      <c r="B1532" s="13" t="s">
        <v>14607</v>
      </c>
      <c r="C1532" s="13" t="s">
        <v>14608</v>
      </c>
      <c r="D1532" s="13" t="s">
        <v>13564</v>
      </c>
      <c r="E1532" s="13" t="s">
        <v>1150</v>
      </c>
      <c r="F1532" s="15">
        <v>367</v>
      </c>
      <c r="G1532" s="15">
        <v>367</v>
      </c>
    </row>
    <row r="1533" spans="1:7">
      <c r="A1533" s="14">
        <v>6240</v>
      </c>
      <c r="B1533" s="13" t="s">
        <v>14609</v>
      </c>
      <c r="C1533" s="13" t="s">
        <v>14610</v>
      </c>
      <c r="D1533" s="13" t="s">
        <v>13564</v>
      </c>
      <c r="E1533" s="13" t="s">
        <v>1150</v>
      </c>
      <c r="F1533" s="15">
        <v>367</v>
      </c>
      <c r="G1533" s="15">
        <v>367</v>
      </c>
    </row>
    <row r="1534" spans="1:7">
      <c r="A1534" s="14">
        <v>6245</v>
      </c>
      <c r="B1534" s="13" t="s">
        <v>14611</v>
      </c>
      <c r="C1534" s="13" t="s">
        <v>14612</v>
      </c>
      <c r="D1534" s="13" t="s">
        <v>13564</v>
      </c>
      <c r="E1534" s="13" t="s">
        <v>1150</v>
      </c>
      <c r="F1534" s="15">
        <v>367</v>
      </c>
      <c r="G1534" s="15">
        <v>367</v>
      </c>
    </row>
    <row r="1535" spans="1:7">
      <c r="A1535" s="14">
        <v>6250</v>
      </c>
      <c r="B1535" s="13" t="s">
        <v>14613</v>
      </c>
      <c r="C1535" s="13" t="s">
        <v>14614</v>
      </c>
      <c r="D1535" s="13" t="s">
        <v>13564</v>
      </c>
      <c r="E1535" s="13" t="s">
        <v>1150</v>
      </c>
      <c r="F1535" s="15">
        <v>367</v>
      </c>
      <c r="G1535" s="15">
        <v>367</v>
      </c>
    </row>
    <row r="1536" spans="1:7">
      <c r="A1536" s="14">
        <v>6255</v>
      </c>
      <c r="B1536" s="13" t="s">
        <v>14615</v>
      </c>
      <c r="C1536" s="13" t="s">
        <v>14616</v>
      </c>
      <c r="D1536" s="13" t="s">
        <v>13564</v>
      </c>
      <c r="E1536" s="13" t="s">
        <v>1150</v>
      </c>
      <c r="F1536" s="15">
        <v>367</v>
      </c>
      <c r="G1536" s="15">
        <v>367</v>
      </c>
    </row>
    <row r="1537" spans="1:7">
      <c r="A1537" s="14">
        <v>6260</v>
      </c>
      <c r="B1537" s="13" t="s">
        <v>14617</v>
      </c>
      <c r="C1537" s="13" t="s">
        <v>14618</v>
      </c>
      <c r="D1537" s="13" t="s">
        <v>13564</v>
      </c>
      <c r="E1537" s="13" t="s">
        <v>1150</v>
      </c>
      <c r="F1537" s="15">
        <v>367</v>
      </c>
      <c r="G1537" s="15">
        <v>367</v>
      </c>
    </row>
    <row r="1538" spans="1:7">
      <c r="A1538" s="14">
        <v>6265</v>
      </c>
      <c r="B1538" s="13" t="s">
        <v>14619</v>
      </c>
      <c r="C1538" s="13" t="s">
        <v>11720</v>
      </c>
      <c r="D1538" s="13" t="s">
        <v>13564</v>
      </c>
      <c r="E1538" s="13" t="s">
        <v>1150</v>
      </c>
      <c r="F1538" s="15">
        <v>367</v>
      </c>
      <c r="G1538" s="15">
        <v>367</v>
      </c>
    </row>
    <row r="1539" spans="1:7">
      <c r="A1539" s="14">
        <v>6267</v>
      </c>
      <c r="B1539" s="13" t="s">
        <v>14620</v>
      </c>
      <c r="C1539" s="13" t="s">
        <v>14621</v>
      </c>
      <c r="D1539" s="13" t="s">
        <v>13564</v>
      </c>
      <c r="E1539" s="13" t="s">
        <v>1150</v>
      </c>
      <c r="F1539" s="15">
        <v>37834</v>
      </c>
      <c r="G1539" s="15">
        <v>37834</v>
      </c>
    </row>
    <row r="1540" spans="1:7">
      <c r="A1540" s="14">
        <v>6270</v>
      </c>
      <c r="B1540" s="13" t="s">
        <v>14622</v>
      </c>
      <c r="C1540" s="13" t="s">
        <v>14623</v>
      </c>
      <c r="D1540" s="13" t="s">
        <v>13564</v>
      </c>
      <c r="E1540" s="13" t="s">
        <v>1150</v>
      </c>
      <c r="F1540" s="15">
        <v>367</v>
      </c>
      <c r="G1540" s="15">
        <v>367</v>
      </c>
    </row>
    <row r="1541" spans="1:7">
      <c r="A1541" s="14">
        <v>6275</v>
      </c>
      <c r="B1541" s="13" t="s">
        <v>14624</v>
      </c>
      <c r="C1541" s="13" t="s">
        <v>14625</v>
      </c>
      <c r="D1541" s="13" t="s">
        <v>13564</v>
      </c>
      <c r="E1541" s="13" t="s">
        <v>1150</v>
      </c>
      <c r="F1541" s="15">
        <v>367</v>
      </c>
      <c r="G1541" s="15">
        <v>367</v>
      </c>
    </row>
    <row r="1542" spans="1:7">
      <c r="A1542" s="14">
        <v>6280</v>
      </c>
      <c r="B1542" s="13" t="s">
        <v>14626</v>
      </c>
      <c r="C1542" s="13" t="s">
        <v>14627</v>
      </c>
      <c r="D1542" s="13" t="s">
        <v>13564</v>
      </c>
      <c r="E1542" s="13" t="s">
        <v>1150</v>
      </c>
      <c r="F1542" s="15">
        <v>367</v>
      </c>
      <c r="G1542" s="15">
        <v>367</v>
      </c>
    </row>
    <row r="1543" spans="1:7">
      <c r="A1543" s="14">
        <v>6285</v>
      </c>
      <c r="B1543" s="13" t="s">
        <v>14628</v>
      </c>
      <c r="C1543" s="13" t="s">
        <v>14629</v>
      </c>
      <c r="D1543" s="13" t="s">
        <v>13564</v>
      </c>
      <c r="E1543" s="13" t="s">
        <v>1150</v>
      </c>
      <c r="F1543" s="15">
        <v>367</v>
      </c>
      <c r="G1543" s="15">
        <v>367</v>
      </c>
    </row>
    <row r="1544" spans="1:7">
      <c r="A1544" s="14">
        <v>6290</v>
      </c>
      <c r="B1544" s="13" t="s">
        <v>14630</v>
      </c>
      <c r="C1544" s="13" t="s">
        <v>14631</v>
      </c>
      <c r="D1544" s="13" t="s">
        <v>13564</v>
      </c>
      <c r="E1544" s="13" t="s">
        <v>1150</v>
      </c>
      <c r="F1544" s="15">
        <v>367</v>
      </c>
      <c r="G1544" s="15">
        <v>367</v>
      </c>
    </row>
    <row r="1545" spans="1:7">
      <c r="A1545" s="14">
        <v>6295</v>
      </c>
      <c r="B1545" s="13" t="s">
        <v>14632</v>
      </c>
      <c r="C1545" s="13" t="s">
        <v>14633</v>
      </c>
      <c r="D1545" s="13" t="s">
        <v>13564</v>
      </c>
      <c r="E1545" s="13" t="s">
        <v>1150</v>
      </c>
      <c r="F1545" s="15">
        <v>367</v>
      </c>
      <c r="G1545" s="15">
        <v>367</v>
      </c>
    </row>
    <row r="1546" spans="1:7">
      <c r="A1546" s="14">
        <v>6296</v>
      </c>
      <c r="B1546" s="13" t="s">
        <v>14634</v>
      </c>
      <c r="C1546" s="13" t="s">
        <v>11946</v>
      </c>
      <c r="D1546" s="13" t="s">
        <v>13564</v>
      </c>
      <c r="E1546" s="13" t="s">
        <v>1150</v>
      </c>
      <c r="F1546" s="15">
        <v>39995</v>
      </c>
      <c r="G1546" s="15">
        <v>39995</v>
      </c>
    </row>
    <row r="1547" spans="1:7">
      <c r="A1547" s="14">
        <v>6297</v>
      </c>
      <c r="B1547" s="13" t="s">
        <v>14635</v>
      </c>
      <c r="C1547" s="13" t="s">
        <v>14636</v>
      </c>
      <c r="D1547" s="13" t="s">
        <v>13564</v>
      </c>
      <c r="E1547" s="13" t="s">
        <v>1150</v>
      </c>
      <c r="F1547" s="15">
        <v>44378</v>
      </c>
      <c r="G1547" s="15">
        <v>44378</v>
      </c>
    </row>
    <row r="1548" spans="1:7">
      <c r="A1548" s="14">
        <v>6298</v>
      </c>
      <c r="B1548" s="13" t="s">
        <v>14637</v>
      </c>
      <c r="C1548" s="13" t="s">
        <v>12225</v>
      </c>
      <c r="D1548" s="13" t="s">
        <v>13564</v>
      </c>
      <c r="E1548" s="13" t="s">
        <v>1150</v>
      </c>
      <c r="F1548" s="15">
        <v>39995</v>
      </c>
      <c r="G1548" s="15">
        <v>39995</v>
      </c>
    </row>
    <row r="1549" spans="1:7">
      <c r="A1549" s="14">
        <v>6300</v>
      </c>
      <c r="B1549" s="13" t="s">
        <v>14638</v>
      </c>
      <c r="C1549" s="13" t="s">
        <v>14639</v>
      </c>
      <c r="D1549" s="13" t="s">
        <v>13564</v>
      </c>
      <c r="E1549" s="13" t="s">
        <v>1150</v>
      </c>
      <c r="F1549" s="15">
        <v>367</v>
      </c>
      <c r="G1549" s="15">
        <v>367</v>
      </c>
    </row>
    <row r="1550" spans="1:7">
      <c r="A1550" s="14">
        <v>6305</v>
      </c>
      <c r="B1550" s="13" t="s">
        <v>14640</v>
      </c>
      <c r="C1550" s="13" t="s">
        <v>14641</v>
      </c>
      <c r="D1550" s="13" t="s">
        <v>13564</v>
      </c>
      <c r="E1550" s="13" t="s">
        <v>1150</v>
      </c>
      <c r="F1550" s="15">
        <v>367</v>
      </c>
      <c r="G1550" s="15">
        <v>367</v>
      </c>
    </row>
    <row r="1551" spans="1:7">
      <c r="A1551" s="14">
        <v>6310</v>
      </c>
      <c r="B1551" s="13" t="s">
        <v>14642</v>
      </c>
      <c r="C1551" s="13" t="s">
        <v>14643</v>
      </c>
      <c r="D1551" s="13" t="s">
        <v>13564</v>
      </c>
      <c r="E1551" s="13" t="s">
        <v>1150</v>
      </c>
      <c r="F1551" s="15">
        <v>367</v>
      </c>
      <c r="G1551" s="15">
        <v>367</v>
      </c>
    </row>
    <row r="1552" spans="1:7">
      <c r="A1552" s="14">
        <v>6312</v>
      </c>
      <c r="B1552" s="13" t="s">
        <v>14644</v>
      </c>
      <c r="C1552" s="13" t="s">
        <v>14645</v>
      </c>
      <c r="D1552" s="13" t="s">
        <v>13564</v>
      </c>
      <c r="E1552" s="13" t="s">
        <v>1150</v>
      </c>
      <c r="F1552" s="15">
        <v>39965</v>
      </c>
      <c r="G1552" s="15">
        <v>39965</v>
      </c>
    </row>
    <row r="1553" spans="1:7">
      <c r="A1553" s="14">
        <v>6315</v>
      </c>
      <c r="B1553" s="13" t="s">
        <v>14646</v>
      </c>
      <c r="C1553" s="13" t="s">
        <v>14647</v>
      </c>
      <c r="D1553" s="13" t="s">
        <v>13564</v>
      </c>
      <c r="E1553" s="13" t="s">
        <v>1150</v>
      </c>
      <c r="F1553" s="15">
        <v>367</v>
      </c>
      <c r="G1553" s="15">
        <v>367</v>
      </c>
    </row>
    <row r="1554" spans="1:7">
      <c r="A1554" s="14">
        <v>6320</v>
      </c>
      <c r="B1554" s="13" t="s">
        <v>14648</v>
      </c>
      <c r="C1554" s="13" t="s">
        <v>14649</v>
      </c>
      <c r="D1554" s="13" t="s">
        <v>13564</v>
      </c>
      <c r="E1554" s="13" t="s">
        <v>1150</v>
      </c>
      <c r="F1554" s="15">
        <v>367</v>
      </c>
      <c r="G1554" s="15">
        <v>367</v>
      </c>
    </row>
    <row r="1555" spans="1:7">
      <c r="A1555" s="14">
        <v>6325</v>
      </c>
      <c r="B1555" s="13" t="s">
        <v>14650</v>
      </c>
      <c r="C1555" s="13" t="s">
        <v>14651</v>
      </c>
      <c r="D1555" s="13" t="s">
        <v>13564</v>
      </c>
      <c r="E1555" s="13" t="s">
        <v>1150</v>
      </c>
      <c r="F1555" s="15">
        <v>367</v>
      </c>
      <c r="G1555" s="15">
        <v>367</v>
      </c>
    </row>
    <row r="1556" spans="1:7">
      <c r="A1556" s="14">
        <v>6330</v>
      </c>
      <c r="B1556" s="13" t="s">
        <v>14652</v>
      </c>
      <c r="C1556" s="13" t="s">
        <v>13011</v>
      </c>
      <c r="D1556" s="13" t="s">
        <v>13564</v>
      </c>
      <c r="E1556" s="13" t="s">
        <v>1150</v>
      </c>
      <c r="F1556" s="15">
        <v>367</v>
      </c>
      <c r="G1556" s="15">
        <v>367</v>
      </c>
    </row>
    <row r="1557" spans="1:7">
      <c r="A1557" s="14">
        <v>6335</v>
      </c>
      <c r="B1557" s="13" t="s">
        <v>14653</v>
      </c>
      <c r="C1557" s="13" t="s">
        <v>13138</v>
      </c>
      <c r="D1557" s="13" t="s">
        <v>13564</v>
      </c>
      <c r="E1557" s="13" t="s">
        <v>1150</v>
      </c>
      <c r="F1557" s="15">
        <v>367</v>
      </c>
      <c r="G1557" s="15">
        <v>367</v>
      </c>
    </row>
    <row r="1558" spans="1:7">
      <c r="A1558" s="14">
        <v>6337</v>
      </c>
      <c r="B1558" s="13" t="s">
        <v>14654</v>
      </c>
      <c r="C1558" s="13" t="s">
        <v>14655</v>
      </c>
      <c r="D1558" s="13" t="s">
        <v>13564</v>
      </c>
      <c r="E1558" s="13" t="s">
        <v>1150</v>
      </c>
      <c r="F1558" s="15">
        <v>39965</v>
      </c>
      <c r="G1558" s="15">
        <v>39965</v>
      </c>
    </row>
    <row r="1559" spans="1:7">
      <c r="A1559" s="14">
        <v>6340</v>
      </c>
      <c r="B1559" s="13" t="s">
        <v>14656</v>
      </c>
      <c r="C1559" s="13" t="s">
        <v>14657</v>
      </c>
      <c r="D1559" s="13" t="s">
        <v>13564</v>
      </c>
      <c r="E1559" s="13" t="s">
        <v>1150</v>
      </c>
      <c r="F1559" s="15">
        <v>367</v>
      </c>
      <c r="G1559" s="15">
        <v>367</v>
      </c>
    </row>
    <row r="1560" spans="1:7">
      <c r="A1560" s="14">
        <v>6345</v>
      </c>
      <c r="B1560" s="13" t="s">
        <v>14658</v>
      </c>
      <c r="C1560" s="13" t="s">
        <v>14659</v>
      </c>
      <c r="D1560" s="13" t="s">
        <v>13564</v>
      </c>
      <c r="E1560" s="13" t="s">
        <v>1150</v>
      </c>
      <c r="F1560" s="15">
        <v>367</v>
      </c>
      <c r="G1560" s="15">
        <v>367</v>
      </c>
    </row>
    <row r="1561" spans="1:7">
      <c r="A1561" s="14">
        <v>6350</v>
      </c>
      <c r="B1561" s="13" t="s">
        <v>14660</v>
      </c>
      <c r="C1561" s="13" t="s">
        <v>14661</v>
      </c>
      <c r="D1561" s="13" t="s">
        <v>13564</v>
      </c>
      <c r="E1561" s="13" t="s">
        <v>1150</v>
      </c>
      <c r="F1561" s="15">
        <v>367</v>
      </c>
      <c r="G1561" s="15">
        <v>367</v>
      </c>
    </row>
    <row r="1562" spans="1:7">
      <c r="A1562" s="14">
        <v>6355</v>
      </c>
      <c r="B1562" s="13" t="s">
        <v>14662</v>
      </c>
      <c r="C1562" s="13" t="s">
        <v>14663</v>
      </c>
      <c r="D1562" s="13" t="s">
        <v>13564</v>
      </c>
      <c r="E1562" s="13" t="s">
        <v>1150</v>
      </c>
      <c r="F1562" s="15">
        <v>367</v>
      </c>
      <c r="G1562" s="15">
        <v>367</v>
      </c>
    </row>
    <row r="1563" spans="1:7">
      <c r="A1563" s="14">
        <v>6360</v>
      </c>
      <c r="B1563" s="13" t="s">
        <v>14664</v>
      </c>
      <c r="C1563" s="13" t="s">
        <v>14665</v>
      </c>
      <c r="D1563" s="13" t="s">
        <v>13564</v>
      </c>
      <c r="E1563" s="13" t="s">
        <v>1150</v>
      </c>
      <c r="F1563" s="15">
        <v>367</v>
      </c>
      <c r="G1563" s="15">
        <v>367</v>
      </c>
    </row>
    <row r="1564" spans="1:7">
      <c r="A1564" s="14">
        <v>6365</v>
      </c>
      <c r="B1564" s="13" t="s">
        <v>14666</v>
      </c>
      <c r="C1564" s="13" t="s">
        <v>14667</v>
      </c>
      <c r="D1564" s="13" t="s">
        <v>13564</v>
      </c>
      <c r="E1564" s="13" t="s">
        <v>1150</v>
      </c>
      <c r="F1564" s="15">
        <v>367</v>
      </c>
      <c r="G1564" s="15">
        <v>367</v>
      </c>
    </row>
    <row r="1565" spans="1:7">
      <c r="A1565" s="14">
        <v>6370</v>
      </c>
      <c r="B1565" s="13" t="s">
        <v>14668</v>
      </c>
      <c r="C1565" s="13" t="s">
        <v>14669</v>
      </c>
      <c r="D1565" s="13" t="s">
        <v>13564</v>
      </c>
      <c r="E1565" s="13" t="s">
        <v>1150</v>
      </c>
      <c r="F1565" s="15">
        <v>367</v>
      </c>
      <c r="G1565" s="15">
        <v>367</v>
      </c>
    </row>
    <row r="1566" spans="1:7">
      <c r="A1566" s="14">
        <v>6375</v>
      </c>
      <c r="B1566" s="13" t="s">
        <v>14670</v>
      </c>
      <c r="C1566" s="13" t="s">
        <v>14671</v>
      </c>
      <c r="D1566" s="13" t="s">
        <v>13564</v>
      </c>
      <c r="E1566" s="13" t="s">
        <v>1150</v>
      </c>
      <c r="F1566" s="15">
        <v>367</v>
      </c>
      <c r="G1566" s="15">
        <v>367</v>
      </c>
    </row>
    <row r="1567" spans="1:7">
      <c r="A1567" s="14">
        <v>6380</v>
      </c>
      <c r="B1567" s="13" t="s">
        <v>14672</v>
      </c>
      <c r="C1567" s="13" t="s">
        <v>14673</v>
      </c>
      <c r="D1567" s="13" t="s">
        <v>13564</v>
      </c>
      <c r="E1567" s="13" t="s">
        <v>1150</v>
      </c>
      <c r="F1567" s="15">
        <v>367</v>
      </c>
      <c r="G1567" s="15">
        <v>367</v>
      </c>
    </row>
    <row r="1568" spans="1:7">
      <c r="A1568" s="14">
        <v>6385</v>
      </c>
      <c r="B1568" s="13" t="s">
        <v>14674</v>
      </c>
      <c r="C1568" s="13" t="s">
        <v>14675</v>
      </c>
      <c r="D1568" s="13" t="s">
        <v>13564</v>
      </c>
      <c r="E1568" s="13" t="s">
        <v>1150</v>
      </c>
      <c r="F1568" s="15">
        <v>367</v>
      </c>
      <c r="G1568" s="15">
        <v>367</v>
      </c>
    </row>
    <row r="1569" spans="1:7">
      <c r="A1569" s="14">
        <v>6390</v>
      </c>
      <c r="B1569" s="13" t="s">
        <v>14676</v>
      </c>
      <c r="C1569" s="13" t="s">
        <v>14677</v>
      </c>
      <c r="D1569" s="13" t="s">
        <v>13564</v>
      </c>
      <c r="E1569" s="13" t="s">
        <v>1150</v>
      </c>
      <c r="F1569" s="15">
        <v>367</v>
      </c>
      <c r="G1569" s="15">
        <v>367</v>
      </c>
    </row>
    <row r="1570" spans="1:7">
      <c r="A1570" s="14">
        <v>6395</v>
      </c>
      <c r="B1570" s="13" t="s">
        <v>14678</v>
      </c>
      <c r="C1570" s="13" t="s">
        <v>14679</v>
      </c>
      <c r="D1570" s="13" t="s">
        <v>13564</v>
      </c>
      <c r="E1570" s="13" t="s">
        <v>1150</v>
      </c>
      <c r="F1570" s="15">
        <v>367</v>
      </c>
      <c r="G1570" s="15">
        <v>367</v>
      </c>
    </row>
    <row r="1571" spans="1:7">
      <c r="A1571" s="14">
        <v>6400</v>
      </c>
      <c r="B1571" s="13" t="s">
        <v>14680</v>
      </c>
      <c r="C1571" s="13" t="s">
        <v>14681</v>
      </c>
      <c r="D1571" s="13" t="s">
        <v>13564</v>
      </c>
      <c r="E1571" s="13" t="s">
        <v>1150</v>
      </c>
      <c r="F1571" s="15">
        <v>367</v>
      </c>
      <c r="G1571" s="15">
        <v>367</v>
      </c>
    </row>
    <row r="1572" spans="1:7">
      <c r="A1572" s="14">
        <v>6402</v>
      </c>
      <c r="B1572" s="13" t="s">
        <v>14682</v>
      </c>
      <c r="C1572" s="13" t="s">
        <v>14683</v>
      </c>
      <c r="D1572" s="13" t="s">
        <v>13564</v>
      </c>
      <c r="E1572" s="13" t="s">
        <v>1150</v>
      </c>
      <c r="F1572" s="15">
        <v>37771</v>
      </c>
      <c r="G1572" s="15">
        <v>37771</v>
      </c>
    </row>
    <row r="1573" spans="1:7">
      <c r="A1573" s="14">
        <v>6403</v>
      </c>
      <c r="B1573" s="13" t="s">
        <v>14684</v>
      </c>
      <c r="C1573" s="13" t="s">
        <v>14685</v>
      </c>
      <c r="D1573" s="13" t="s">
        <v>13564</v>
      </c>
      <c r="E1573" s="13" t="s">
        <v>1150</v>
      </c>
      <c r="F1573" s="15">
        <v>37771</v>
      </c>
      <c r="G1573" s="15">
        <v>37771</v>
      </c>
    </row>
    <row r="1574" spans="1:7">
      <c r="A1574" s="14">
        <v>6405</v>
      </c>
      <c r="B1574" s="13" t="s">
        <v>14686</v>
      </c>
      <c r="C1574" s="13" t="s">
        <v>14687</v>
      </c>
      <c r="D1574" s="13" t="s">
        <v>13564</v>
      </c>
      <c r="E1574" s="13" t="s">
        <v>1150</v>
      </c>
      <c r="F1574" s="15">
        <v>367</v>
      </c>
      <c r="G1574" s="15">
        <v>367</v>
      </c>
    </row>
    <row r="1575" spans="1:7">
      <c r="A1575" s="14">
        <v>6410</v>
      </c>
      <c r="B1575" s="13" t="s">
        <v>14688</v>
      </c>
      <c r="C1575" s="13" t="s">
        <v>14689</v>
      </c>
      <c r="D1575" s="13" t="s">
        <v>13564</v>
      </c>
      <c r="E1575" s="13" t="s">
        <v>1150</v>
      </c>
      <c r="F1575" s="15">
        <v>367</v>
      </c>
      <c r="G1575" s="15">
        <v>367</v>
      </c>
    </row>
    <row r="1576" spans="1:7">
      <c r="A1576" s="14">
        <v>6415</v>
      </c>
      <c r="B1576" s="13" t="s">
        <v>14690</v>
      </c>
      <c r="C1576" s="13" t="s">
        <v>14691</v>
      </c>
      <c r="D1576" s="13" t="s">
        <v>13564</v>
      </c>
      <c r="E1576" s="13" t="s">
        <v>1150</v>
      </c>
      <c r="F1576" s="15">
        <v>367</v>
      </c>
      <c r="G1576" s="15">
        <v>367</v>
      </c>
    </row>
    <row r="1577" spans="1:7">
      <c r="A1577" s="14">
        <v>6420</v>
      </c>
      <c r="B1577" s="13" t="s">
        <v>14692</v>
      </c>
      <c r="C1577" s="13" t="s">
        <v>14693</v>
      </c>
      <c r="D1577" s="13" t="s">
        <v>13564</v>
      </c>
      <c r="E1577" s="13" t="s">
        <v>1150</v>
      </c>
      <c r="F1577" s="15">
        <v>367</v>
      </c>
      <c r="G1577" s="15">
        <v>367</v>
      </c>
    </row>
    <row r="1578" spans="1:7">
      <c r="A1578" s="14">
        <v>6425</v>
      </c>
      <c r="B1578" s="13" t="s">
        <v>14694</v>
      </c>
      <c r="C1578" s="13" t="s">
        <v>14695</v>
      </c>
      <c r="D1578" s="13" t="s">
        <v>13564</v>
      </c>
      <c r="E1578" s="13" t="s">
        <v>1150</v>
      </c>
      <c r="F1578" s="15">
        <v>367</v>
      </c>
      <c r="G1578" s="15">
        <v>367</v>
      </c>
    </row>
    <row r="1579" spans="1:7">
      <c r="A1579" s="14">
        <v>6430</v>
      </c>
      <c r="B1579" s="13" t="s">
        <v>14696</v>
      </c>
      <c r="C1579" s="13" t="s">
        <v>14697</v>
      </c>
      <c r="D1579" s="13" t="s">
        <v>13564</v>
      </c>
      <c r="E1579" s="13" t="s">
        <v>1150</v>
      </c>
      <c r="F1579" s="15">
        <v>367</v>
      </c>
      <c r="G1579" s="15">
        <v>367</v>
      </c>
    </row>
    <row r="1580" spans="1:7">
      <c r="A1580" s="14">
        <v>6435</v>
      </c>
      <c r="B1580" s="13" t="s">
        <v>14698</v>
      </c>
      <c r="C1580" s="13" t="s">
        <v>14699</v>
      </c>
      <c r="D1580" s="13" t="s">
        <v>13564</v>
      </c>
      <c r="E1580" s="13" t="s">
        <v>1150</v>
      </c>
      <c r="F1580" s="15">
        <v>367</v>
      </c>
      <c r="G1580" s="15">
        <v>367</v>
      </c>
    </row>
    <row r="1581" spans="1:7">
      <c r="A1581" s="14">
        <v>6440</v>
      </c>
      <c r="B1581" s="13" t="s">
        <v>14700</v>
      </c>
      <c r="C1581" s="13" t="s">
        <v>14701</v>
      </c>
      <c r="D1581" s="13" t="s">
        <v>13564</v>
      </c>
      <c r="E1581" s="13" t="s">
        <v>1150</v>
      </c>
      <c r="F1581" s="15">
        <v>367</v>
      </c>
      <c r="G1581" s="15">
        <v>367</v>
      </c>
    </row>
    <row r="1582" spans="1:7">
      <c r="A1582" s="14">
        <v>6445</v>
      </c>
      <c r="B1582" s="13" t="s">
        <v>14702</v>
      </c>
      <c r="C1582" s="13" t="s">
        <v>14703</v>
      </c>
      <c r="D1582" s="13" t="s">
        <v>13564</v>
      </c>
      <c r="E1582" s="13" t="s">
        <v>1150</v>
      </c>
      <c r="F1582" s="15">
        <v>367</v>
      </c>
      <c r="G1582" s="15">
        <v>367</v>
      </c>
    </row>
    <row r="1583" spans="1:7">
      <c r="A1583" s="14">
        <v>6450</v>
      </c>
      <c r="B1583" s="13" t="s">
        <v>14704</v>
      </c>
      <c r="C1583" s="13" t="s">
        <v>14705</v>
      </c>
      <c r="D1583" s="13" t="s">
        <v>13564</v>
      </c>
      <c r="E1583" s="13" t="s">
        <v>1150</v>
      </c>
      <c r="F1583" s="15">
        <v>367</v>
      </c>
      <c r="G1583" s="15">
        <v>367</v>
      </c>
    </row>
    <row r="1584" spans="1:7">
      <c r="A1584" s="14">
        <v>6455</v>
      </c>
      <c r="B1584" s="13" t="s">
        <v>14706</v>
      </c>
      <c r="C1584" s="13" t="s">
        <v>14707</v>
      </c>
      <c r="D1584" s="13" t="s">
        <v>13564</v>
      </c>
      <c r="E1584" s="13" t="s">
        <v>1150</v>
      </c>
      <c r="F1584" s="15">
        <v>367</v>
      </c>
      <c r="G1584" s="15">
        <v>367</v>
      </c>
    </row>
    <row r="1585" spans="1:7">
      <c r="A1585" s="14">
        <v>6460</v>
      </c>
      <c r="B1585" s="13" t="s">
        <v>14708</v>
      </c>
      <c r="C1585" s="13" t="s">
        <v>14709</v>
      </c>
      <c r="D1585" s="13" t="s">
        <v>13564</v>
      </c>
      <c r="E1585" s="13" t="s">
        <v>1150</v>
      </c>
      <c r="F1585" s="15">
        <v>367</v>
      </c>
      <c r="G1585" s="15">
        <v>367</v>
      </c>
    </row>
    <row r="1586" spans="1:7">
      <c r="A1586" s="14">
        <v>6465</v>
      </c>
      <c r="B1586" s="13" t="s">
        <v>14710</v>
      </c>
      <c r="C1586" s="13" t="s">
        <v>14711</v>
      </c>
      <c r="D1586" s="13" t="s">
        <v>13564</v>
      </c>
      <c r="E1586" s="13" t="s">
        <v>1150</v>
      </c>
      <c r="F1586" s="15">
        <v>367</v>
      </c>
      <c r="G1586" s="15">
        <v>367</v>
      </c>
    </row>
    <row r="1587" spans="1:7">
      <c r="A1587" s="14">
        <v>6470</v>
      </c>
      <c r="B1587" s="13" t="s">
        <v>14712</v>
      </c>
      <c r="C1587" s="13" t="s">
        <v>14713</v>
      </c>
      <c r="D1587" s="13" t="s">
        <v>13564</v>
      </c>
      <c r="E1587" s="13" t="s">
        <v>1150</v>
      </c>
      <c r="F1587" s="15">
        <v>367</v>
      </c>
      <c r="G1587" s="15">
        <v>367</v>
      </c>
    </row>
    <row r="1588" spans="1:7">
      <c r="A1588" s="14">
        <v>6475</v>
      </c>
      <c r="B1588" s="13" t="s">
        <v>14714</v>
      </c>
      <c r="C1588" s="13" t="s">
        <v>14715</v>
      </c>
      <c r="D1588" s="13" t="s">
        <v>13564</v>
      </c>
      <c r="E1588" s="13" t="s">
        <v>1150</v>
      </c>
      <c r="F1588" s="15">
        <v>367</v>
      </c>
      <c r="G1588" s="15">
        <v>367</v>
      </c>
    </row>
    <row r="1589" spans="1:7">
      <c r="A1589" s="14">
        <v>6480</v>
      </c>
      <c r="B1589" s="13" t="s">
        <v>14716</v>
      </c>
      <c r="C1589" s="13" t="s">
        <v>14717</v>
      </c>
      <c r="D1589" s="13" t="s">
        <v>13564</v>
      </c>
      <c r="E1589" s="13" t="s">
        <v>1150</v>
      </c>
      <c r="F1589" s="15">
        <v>367</v>
      </c>
      <c r="G1589" s="15">
        <v>367</v>
      </c>
    </row>
    <row r="1590" spans="1:7">
      <c r="A1590" s="14">
        <v>6485</v>
      </c>
      <c r="B1590" s="13" t="s">
        <v>14718</v>
      </c>
      <c r="C1590" s="13" t="s">
        <v>14719</v>
      </c>
      <c r="D1590" s="13" t="s">
        <v>13564</v>
      </c>
      <c r="E1590" s="13" t="s">
        <v>1150</v>
      </c>
      <c r="F1590" s="15">
        <v>367</v>
      </c>
      <c r="G1590" s="15">
        <v>367</v>
      </c>
    </row>
    <row r="1591" spans="1:7">
      <c r="A1591" s="14">
        <v>6490</v>
      </c>
      <c r="B1591" s="13" t="s">
        <v>14720</v>
      </c>
      <c r="C1591" s="13" t="s">
        <v>14721</v>
      </c>
      <c r="D1591" s="13" t="s">
        <v>13564</v>
      </c>
      <c r="E1591" s="13" t="s">
        <v>1150</v>
      </c>
      <c r="F1591" s="15">
        <v>367</v>
      </c>
      <c r="G1591" s="15">
        <v>367</v>
      </c>
    </row>
    <row r="1592" spans="1:7">
      <c r="A1592" s="14">
        <v>6495</v>
      </c>
      <c r="B1592" s="13" t="s">
        <v>14722</v>
      </c>
      <c r="C1592" s="13" t="s">
        <v>14723</v>
      </c>
      <c r="D1592" s="13" t="s">
        <v>13564</v>
      </c>
      <c r="E1592" s="13" t="s">
        <v>1150</v>
      </c>
      <c r="F1592" s="15">
        <v>367</v>
      </c>
      <c r="G1592" s="15">
        <v>367</v>
      </c>
    </row>
    <row r="1593" spans="1:7">
      <c r="A1593" s="14">
        <v>6500</v>
      </c>
      <c r="B1593" s="13" t="s">
        <v>14724</v>
      </c>
      <c r="C1593" s="13" t="s">
        <v>14725</v>
      </c>
      <c r="D1593" s="13" t="s">
        <v>13564</v>
      </c>
      <c r="E1593" s="13" t="s">
        <v>1150</v>
      </c>
      <c r="F1593" s="15">
        <v>367</v>
      </c>
      <c r="G1593" s="15">
        <v>367</v>
      </c>
    </row>
    <row r="1594" spans="1:7">
      <c r="A1594" s="14">
        <v>6505</v>
      </c>
      <c r="B1594" s="13" t="s">
        <v>14726</v>
      </c>
      <c r="C1594" s="13" t="s">
        <v>14727</v>
      </c>
      <c r="D1594" s="13" t="s">
        <v>13564</v>
      </c>
      <c r="E1594" s="13" t="s">
        <v>1150</v>
      </c>
      <c r="F1594" s="15">
        <v>367</v>
      </c>
      <c r="G1594" s="15">
        <v>367</v>
      </c>
    </row>
    <row r="1595" spans="1:7">
      <c r="A1595" s="14">
        <v>6510</v>
      </c>
      <c r="B1595" s="13" t="s">
        <v>14728</v>
      </c>
      <c r="C1595" s="13" t="s">
        <v>14729</v>
      </c>
      <c r="D1595" s="13" t="s">
        <v>13564</v>
      </c>
      <c r="E1595" s="13" t="s">
        <v>1150</v>
      </c>
      <c r="F1595" s="15">
        <v>367</v>
      </c>
      <c r="G1595" s="15">
        <v>367</v>
      </c>
    </row>
    <row r="1596" spans="1:7">
      <c r="A1596" s="14">
        <v>6515</v>
      </c>
      <c r="B1596" s="13" t="s">
        <v>14730</v>
      </c>
      <c r="C1596" s="13" t="s">
        <v>14731</v>
      </c>
      <c r="D1596" s="13" t="s">
        <v>13564</v>
      </c>
      <c r="E1596" s="13" t="s">
        <v>1150</v>
      </c>
      <c r="F1596" s="15">
        <v>367</v>
      </c>
      <c r="G1596" s="15">
        <v>367</v>
      </c>
    </row>
    <row r="1597" spans="1:7">
      <c r="A1597" s="14">
        <v>6520</v>
      </c>
      <c r="B1597" s="13" t="s">
        <v>14732</v>
      </c>
      <c r="C1597" s="13" t="s">
        <v>14733</v>
      </c>
      <c r="D1597" s="13" t="s">
        <v>13564</v>
      </c>
      <c r="E1597" s="13" t="s">
        <v>1150</v>
      </c>
      <c r="F1597" s="15">
        <v>367</v>
      </c>
      <c r="G1597" s="15">
        <v>367</v>
      </c>
    </row>
    <row r="1598" spans="1:7">
      <c r="A1598" s="14">
        <v>6522</v>
      </c>
      <c r="B1598" s="13" t="s">
        <v>14734</v>
      </c>
      <c r="C1598" s="13" t="s">
        <v>14735</v>
      </c>
      <c r="D1598" s="13" t="s">
        <v>13564</v>
      </c>
      <c r="E1598" s="13" t="s">
        <v>1150</v>
      </c>
      <c r="F1598" s="15">
        <v>39965</v>
      </c>
      <c r="G1598" s="15">
        <v>39965</v>
      </c>
    </row>
    <row r="1599" spans="1:7">
      <c r="A1599" s="14">
        <v>6525</v>
      </c>
      <c r="B1599" s="13" t="s">
        <v>14736</v>
      </c>
      <c r="C1599" s="13" t="s">
        <v>14737</v>
      </c>
      <c r="D1599" s="13" t="s">
        <v>13564</v>
      </c>
      <c r="E1599" s="13" t="s">
        <v>1150</v>
      </c>
      <c r="F1599" s="15">
        <v>367</v>
      </c>
      <c r="G1599" s="15">
        <v>367</v>
      </c>
    </row>
    <row r="1600" spans="1:7">
      <c r="A1600" s="14">
        <v>6530</v>
      </c>
      <c r="B1600" s="13" t="s">
        <v>14738</v>
      </c>
      <c r="C1600" s="13" t="s">
        <v>14739</v>
      </c>
      <c r="D1600" s="13" t="s">
        <v>13564</v>
      </c>
      <c r="E1600" s="13" t="s">
        <v>1150</v>
      </c>
      <c r="F1600" s="15">
        <v>367</v>
      </c>
      <c r="G1600" s="15">
        <v>367</v>
      </c>
    </row>
    <row r="1601" spans="1:7">
      <c r="A1601" s="14">
        <v>6535</v>
      </c>
      <c r="B1601" s="13" t="s">
        <v>14740</v>
      </c>
      <c r="C1601" s="13" t="s">
        <v>14741</v>
      </c>
      <c r="D1601" s="13" t="s">
        <v>13564</v>
      </c>
      <c r="E1601" s="13" t="s">
        <v>1150</v>
      </c>
      <c r="F1601" s="15">
        <v>367</v>
      </c>
      <c r="G1601" s="15">
        <v>367</v>
      </c>
    </row>
    <row r="1602" spans="1:7">
      <c r="A1602" s="14">
        <v>6540</v>
      </c>
      <c r="B1602" s="13" t="s">
        <v>14742</v>
      </c>
      <c r="C1602" s="13" t="s">
        <v>14743</v>
      </c>
      <c r="D1602" s="13" t="s">
        <v>13564</v>
      </c>
      <c r="E1602" s="13" t="s">
        <v>1150</v>
      </c>
      <c r="F1602" s="15">
        <v>367</v>
      </c>
      <c r="G1602" s="15">
        <v>367</v>
      </c>
    </row>
    <row r="1603" spans="1:7">
      <c r="A1603" s="14">
        <v>6545</v>
      </c>
      <c r="B1603" s="13" t="s">
        <v>14744</v>
      </c>
      <c r="C1603" s="13" t="s">
        <v>14745</v>
      </c>
      <c r="D1603" s="13" t="s">
        <v>13564</v>
      </c>
      <c r="E1603" s="13" t="s">
        <v>1150</v>
      </c>
      <c r="F1603" s="15">
        <v>367</v>
      </c>
      <c r="G1603" s="15">
        <v>367</v>
      </c>
    </row>
    <row r="1604" spans="1:7">
      <c r="A1604" s="14">
        <v>6550</v>
      </c>
      <c r="B1604" s="13" t="s">
        <v>14746</v>
      </c>
      <c r="C1604" s="13" t="s">
        <v>14747</v>
      </c>
      <c r="D1604" s="13" t="s">
        <v>13564</v>
      </c>
      <c r="E1604" s="13" t="s">
        <v>1150</v>
      </c>
      <c r="F1604" s="15">
        <v>367</v>
      </c>
      <c r="G1604" s="15">
        <v>367</v>
      </c>
    </row>
    <row r="1605" spans="1:7">
      <c r="A1605" s="14">
        <v>6555</v>
      </c>
      <c r="B1605" s="13" t="s">
        <v>14748</v>
      </c>
      <c r="C1605" s="13" t="s">
        <v>14749</v>
      </c>
      <c r="D1605" s="13" t="s">
        <v>13564</v>
      </c>
      <c r="E1605" s="13" t="s">
        <v>1150</v>
      </c>
      <c r="F1605" s="15">
        <v>367</v>
      </c>
      <c r="G1605" s="15">
        <v>367</v>
      </c>
    </row>
    <row r="1606" spans="1:7">
      <c r="A1606" s="14">
        <v>6560</v>
      </c>
      <c r="B1606" s="13" t="s">
        <v>14750</v>
      </c>
      <c r="C1606" s="13" t="s">
        <v>14751</v>
      </c>
      <c r="D1606" s="13" t="s">
        <v>13564</v>
      </c>
      <c r="E1606" s="13" t="s">
        <v>1150</v>
      </c>
      <c r="F1606" s="15">
        <v>367</v>
      </c>
      <c r="G1606" s="15">
        <v>367</v>
      </c>
    </row>
    <row r="1607" spans="1:7">
      <c r="A1607" s="14">
        <v>6565</v>
      </c>
      <c r="B1607" s="13" t="s">
        <v>14752</v>
      </c>
      <c r="C1607" s="13" t="s">
        <v>14753</v>
      </c>
      <c r="D1607" s="13" t="s">
        <v>13564</v>
      </c>
      <c r="E1607" s="13" t="s">
        <v>1150</v>
      </c>
      <c r="F1607" s="15">
        <v>367</v>
      </c>
      <c r="G1607" s="15">
        <v>367</v>
      </c>
    </row>
    <row r="1608" spans="1:7">
      <c r="A1608" s="14">
        <v>6570</v>
      </c>
      <c r="B1608" s="13" t="s">
        <v>14754</v>
      </c>
      <c r="C1608" s="13" t="s">
        <v>14755</v>
      </c>
      <c r="D1608" s="13" t="s">
        <v>13564</v>
      </c>
      <c r="E1608" s="13" t="s">
        <v>1150</v>
      </c>
      <c r="F1608" s="15">
        <v>367</v>
      </c>
      <c r="G1608" s="15">
        <v>367</v>
      </c>
    </row>
    <row r="1609" spans="1:7">
      <c r="A1609" s="14">
        <v>6575</v>
      </c>
      <c r="B1609" s="13" t="s">
        <v>14756</v>
      </c>
      <c r="C1609" s="13" t="s">
        <v>14757</v>
      </c>
      <c r="D1609" s="13" t="s">
        <v>13564</v>
      </c>
      <c r="E1609" s="13" t="s">
        <v>1150</v>
      </c>
      <c r="F1609" s="15">
        <v>367</v>
      </c>
      <c r="G1609" s="15">
        <v>367</v>
      </c>
    </row>
    <row r="1610" spans="1:7">
      <c r="A1610" s="14">
        <v>6580</v>
      </c>
      <c r="B1610" s="13" t="s">
        <v>14758</v>
      </c>
      <c r="C1610" s="13" t="s">
        <v>14759</v>
      </c>
      <c r="D1610" s="13" t="s">
        <v>13564</v>
      </c>
      <c r="E1610" s="13" t="s">
        <v>1150</v>
      </c>
      <c r="F1610" s="15">
        <v>367</v>
      </c>
      <c r="G1610" s="15">
        <v>367</v>
      </c>
    </row>
    <row r="1611" spans="1:7">
      <c r="A1611" s="14">
        <v>6585</v>
      </c>
      <c r="B1611" s="13" t="s">
        <v>14760</v>
      </c>
      <c r="C1611" s="13" t="s">
        <v>14761</v>
      </c>
      <c r="D1611" s="13" t="s">
        <v>13564</v>
      </c>
      <c r="E1611" s="13" t="s">
        <v>1150</v>
      </c>
      <c r="F1611" s="15">
        <v>367</v>
      </c>
      <c r="G1611" s="15">
        <v>367</v>
      </c>
    </row>
    <row r="1612" spans="1:7">
      <c r="A1612" s="14">
        <v>6590</v>
      </c>
      <c r="B1612" s="13" t="s">
        <v>14762</v>
      </c>
      <c r="C1612" s="13" t="s">
        <v>14763</v>
      </c>
      <c r="D1612" s="13" t="s">
        <v>13564</v>
      </c>
      <c r="E1612" s="13" t="s">
        <v>1150</v>
      </c>
      <c r="F1612" s="15">
        <v>367</v>
      </c>
      <c r="G1612" s="15">
        <v>367</v>
      </c>
    </row>
    <row r="1613" spans="1:7">
      <c r="A1613" s="14">
        <v>6595</v>
      </c>
      <c r="B1613" s="13" t="s">
        <v>14764</v>
      </c>
      <c r="C1613" s="13" t="s">
        <v>14765</v>
      </c>
      <c r="D1613" s="13" t="s">
        <v>13564</v>
      </c>
      <c r="E1613" s="13" t="s">
        <v>1150</v>
      </c>
      <c r="F1613" s="15">
        <v>367</v>
      </c>
      <c r="G1613" s="15">
        <v>367</v>
      </c>
    </row>
    <row r="1614" spans="1:7">
      <c r="A1614" s="14">
        <v>6600</v>
      </c>
      <c r="B1614" s="13" t="s">
        <v>14766</v>
      </c>
      <c r="C1614" s="13" t="s">
        <v>14767</v>
      </c>
      <c r="D1614" s="13" t="s">
        <v>13564</v>
      </c>
      <c r="E1614" s="13" t="s">
        <v>1150</v>
      </c>
      <c r="F1614" s="15">
        <v>367</v>
      </c>
      <c r="G1614" s="15">
        <v>367</v>
      </c>
    </row>
    <row r="1615" spans="1:7">
      <c r="A1615" s="14">
        <v>6605</v>
      </c>
      <c r="B1615" s="13" t="s">
        <v>14768</v>
      </c>
      <c r="C1615" s="13" t="s">
        <v>14769</v>
      </c>
      <c r="D1615" s="13" t="s">
        <v>13564</v>
      </c>
      <c r="E1615" s="13" t="s">
        <v>1150</v>
      </c>
      <c r="F1615" s="15">
        <v>367</v>
      </c>
      <c r="G1615" s="15">
        <v>367</v>
      </c>
    </row>
    <row r="1616" spans="1:7">
      <c r="A1616" s="14">
        <v>6610</v>
      </c>
      <c r="B1616" s="13" t="s">
        <v>14770</v>
      </c>
      <c r="C1616" s="13" t="s">
        <v>14771</v>
      </c>
      <c r="D1616" s="13" t="s">
        <v>13564</v>
      </c>
      <c r="E1616" s="13" t="s">
        <v>1150</v>
      </c>
      <c r="F1616" s="15">
        <v>367</v>
      </c>
      <c r="G1616" s="15">
        <v>367</v>
      </c>
    </row>
    <row r="1617" spans="1:7">
      <c r="A1617" s="14">
        <v>6615</v>
      </c>
      <c r="B1617" s="13" t="s">
        <v>14772</v>
      </c>
      <c r="C1617" s="13" t="s">
        <v>14773</v>
      </c>
      <c r="D1617" s="13" t="s">
        <v>13564</v>
      </c>
      <c r="E1617" s="13" t="s">
        <v>1150</v>
      </c>
      <c r="F1617" s="15">
        <v>367</v>
      </c>
      <c r="G1617" s="15">
        <v>367</v>
      </c>
    </row>
    <row r="1618" spans="1:7">
      <c r="A1618" s="14">
        <v>6620</v>
      </c>
      <c r="B1618" s="13" t="s">
        <v>14774</v>
      </c>
      <c r="C1618" s="13" t="s">
        <v>14775</v>
      </c>
      <c r="D1618" s="13" t="s">
        <v>13564</v>
      </c>
      <c r="E1618" s="13" t="s">
        <v>1150</v>
      </c>
      <c r="F1618" s="15">
        <v>367</v>
      </c>
      <c r="G1618" s="15">
        <v>367</v>
      </c>
    </row>
    <row r="1619" spans="1:7">
      <c r="A1619" s="14">
        <v>6625</v>
      </c>
      <c r="B1619" s="13" t="s">
        <v>14776</v>
      </c>
      <c r="C1619" s="13" t="s">
        <v>14777</v>
      </c>
      <c r="D1619" s="13" t="s">
        <v>13564</v>
      </c>
      <c r="E1619" s="13" t="s">
        <v>1150</v>
      </c>
      <c r="F1619" s="15">
        <v>367</v>
      </c>
      <c r="G1619" s="15">
        <v>367</v>
      </c>
    </row>
    <row r="1620" spans="1:7">
      <c r="A1620" s="14">
        <v>6630</v>
      </c>
      <c r="B1620" s="13" t="s">
        <v>14778</v>
      </c>
      <c r="C1620" s="13" t="s">
        <v>14779</v>
      </c>
      <c r="D1620" s="13" t="s">
        <v>13564</v>
      </c>
      <c r="E1620" s="13" t="s">
        <v>1150</v>
      </c>
      <c r="F1620" s="15">
        <v>367</v>
      </c>
      <c r="G1620" s="15">
        <v>367</v>
      </c>
    </row>
    <row r="1621" spans="1:7">
      <c r="A1621" s="14">
        <v>6635</v>
      </c>
      <c r="B1621" s="13" t="s">
        <v>14780</v>
      </c>
      <c r="C1621" s="13" t="s">
        <v>14781</v>
      </c>
      <c r="D1621" s="13" t="s">
        <v>13564</v>
      </c>
      <c r="E1621" s="13" t="s">
        <v>1150</v>
      </c>
      <c r="F1621" s="15">
        <v>367</v>
      </c>
      <c r="G1621" s="15">
        <v>367</v>
      </c>
    </row>
    <row r="1622" spans="1:7">
      <c r="A1622" s="14">
        <v>6639</v>
      </c>
      <c r="B1622" s="13" t="s">
        <v>14782</v>
      </c>
      <c r="C1622" s="13" t="s">
        <v>14783</v>
      </c>
      <c r="D1622" s="13" t="s">
        <v>13564</v>
      </c>
      <c r="E1622" s="13" t="s">
        <v>1150</v>
      </c>
      <c r="F1622" s="15">
        <v>42736</v>
      </c>
      <c r="G1622" s="15">
        <v>42736</v>
      </c>
    </row>
    <row r="1623" spans="1:7">
      <c r="A1623" s="14">
        <v>6640</v>
      </c>
      <c r="B1623" s="13" t="s">
        <v>14784</v>
      </c>
      <c r="C1623" s="13" t="s">
        <v>14785</v>
      </c>
      <c r="D1623" s="13" t="s">
        <v>13564</v>
      </c>
      <c r="E1623" s="13" t="s">
        <v>1150</v>
      </c>
      <c r="F1623" s="15">
        <v>367</v>
      </c>
      <c r="G1623" s="15">
        <v>367</v>
      </c>
    </row>
    <row r="1624" spans="1:7">
      <c r="A1624" s="14">
        <v>6645</v>
      </c>
      <c r="B1624" s="13" t="s">
        <v>14786</v>
      </c>
      <c r="C1624" s="13" t="s">
        <v>14787</v>
      </c>
      <c r="D1624" s="13" t="s">
        <v>13564</v>
      </c>
      <c r="E1624" s="13" t="s">
        <v>1150</v>
      </c>
      <c r="F1624" s="15">
        <v>367</v>
      </c>
      <c r="G1624" s="15">
        <v>367</v>
      </c>
    </row>
    <row r="1625" spans="1:7">
      <c r="A1625" s="14">
        <v>6650</v>
      </c>
      <c r="B1625" s="13" t="s">
        <v>14788</v>
      </c>
      <c r="C1625" s="13" t="s">
        <v>14789</v>
      </c>
      <c r="D1625" s="13" t="s">
        <v>13564</v>
      </c>
      <c r="E1625" s="13" t="s">
        <v>1150</v>
      </c>
      <c r="F1625" s="15">
        <v>367</v>
      </c>
      <c r="G1625" s="15">
        <v>367</v>
      </c>
    </row>
    <row r="1626" spans="1:7">
      <c r="A1626" s="14">
        <v>6655</v>
      </c>
      <c r="B1626" s="13" t="s">
        <v>14790</v>
      </c>
      <c r="C1626" s="13" t="s">
        <v>14791</v>
      </c>
      <c r="D1626" s="13" t="s">
        <v>13564</v>
      </c>
      <c r="E1626" s="13" t="s">
        <v>1150</v>
      </c>
      <c r="F1626" s="15">
        <v>367</v>
      </c>
      <c r="G1626" s="15">
        <v>367</v>
      </c>
    </row>
    <row r="1627" spans="1:7">
      <c r="A1627" s="14">
        <v>6660</v>
      </c>
      <c r="B1627" s="13" t="s">
        <v>14792</v>
      </c>
      <c r="C1627" s="13" t="s">
        <v>14793</v>
      </c>
      <c r="D1627" s="13" t="s">
        <v>13564</v>
      </c>
      <c r="E1627" s="13" t="s">
        <v>1150</v>
      </c>
      <c r="F1627" s="15">
        <v>367</v>
      </c>
      <c r="G1627" s="15">
        <v>367</v>
      </c>
    </row>
    <row r="1628" spans="1:7">
      <c r="A1628" s="14">
        <v>6665</v>
      </c>
      <c r="B1628" s="13" t="s">
        <v>14794</v>
      </c>
      <c r="C1628" s="13" t="s">
        <v>14618</v>
      </c>
      <c r="D1628" s="13" t="s">
        <v>13564</v>
      </c>
      <c r="E1628" s="13" t="s">
        <v>1150</v>
      </c>
      <c r="F1628" s="15">
        <v>367</v>
      </c>
      <c r="G1628" s="15">
        <v>367</v>
      </c>
    </row>
    <row r="1629" spans="1:7">
      <c r="A1629" s="14">
        <v>6670</v>
      </c>
      <c r="B1629" s="13" t="s">
        <v>14795</v>
      </c>
      <c r="C1629" s="13" t="s">
        <v>13418</v>
      </c>
      <c r="D1629" s="13" t="s">
        <v>13564</v>
      </c>
      <c r="E1629" s="13" t="s">
        <v>1150</v>
      </c>
      <c r="F1629" s="15">
        <v>367</v>
      </c>
      <c r="G1629" s="15">
        <v>367</v>
      </c>
    </row>
    <row r="1630" spans="1:7">
      <c r="A1630" s="14">
        <v>6675</v>
      </c>
      <c r="B1630" s="13" t="s">
        <v>14796</v>
      </c>
      <c r="C1630" s="13" t="s">
        <v>14797</v>
      </c>
      <c r="D1630" s="13" t="s">
        <v>13564</v>
      </c>
      <c r="E1630" s="13" t="s">
        <v>1150</v>
      </c>
      <c r="F1630" s="15">
        <v>367</v>
      </c>
      <c r="G1630" s="15">
        <v>367</v>
      </c>
    </row>
    <row r="1631" spans="1:7">
      <c r="A1631" s="14">
        <v>6680</v>
      </c>
      <c r="B1631" s="13" t="s">
        <v>14798</v>
      </c>
      <c r="C1631" s="13" t="s">
        <v>14799</v>
      </c>
      <c r="D1631" s="13" t="s">
        <v>13564</v>
      </c>
      <c r="E1631" s="13" t="s">
        <v>1150</v>
      </c>
      <c r="F1631" s="15">
        <v>367</v>
      </c>
      <c r="G1631" s="15">
        <v>367</v>
      </c>
    </row>
    <row r="1632" spans="1:7">
      <c r="A1632" s="14">
        <v>6685</v>
      </c>
      <c r="B1632" s="13" t="s">
        <v>14800</v>
      </c>
      <c r="C1632" s="13" t="s">
        <v>14801</v>
      </c>
      <c r="D1632" s="13" t="s">
        <v>13564</v>
      </c>
      <c r="E1632" s="13" t="s">
        <v>1150</v>
      </c>
      <c r="F1632" s="15">
        <v>367</v>
      </c>
      <c r="G1632" s="15">
        <v>367</v>
      </c>
    </row>
    <row r="1633" spans="1:7">
      <c r="A1633" s="14">
        <v>6690</v>
      </c>
      <c r="B1633" s="13" t="s">
        <v>14802</v>
      </c>
      <c r="C1633" s="13" t="s">
        <v>14803</v>
      </c>
      <c r="D1633" s="13" t="s">
        <v>13564</v>
      </c>
      <c r="E1633" s="13" t="s">
        <v>1150</v>
      </c>
      <c r="F1633" s="15">
        <v>367</v>
      </c>
      <c r="G1633" s="15">
        <v>367</v>
      </c>
    </row>
    <row r="1634" spans="1:7">
      <c r="A1634" s="14">
        <v>6695</v>
      </c>
      <c r="B1634" s="13" t="s">
        <v>14804</v>
      </c>
      <c r="C1634" s="13" t="s">
        <v>13973</v>
      </c>
      <c r="D1634" s="13" t="s">
        <v>13564</v>
      </c>
      <c r="E1634" s="13" t="s">
        <v>1150</v>
      </c>
      <c r="F1634" s="15">
        <v>367</v>
      </c>
      <c r="G1634" s="15">
        <v>367</v>
      </c>
    </row>
    <row r="1635" spans="1:7">
      <c r="A1635" s="14">
        <v>6698</v>
      </c>
      <c r="B1635" s="13" t="s">
        <v>14805</v>
      </c>
      <c r="C1635" s="13" t="s">
        <v>14806</v>
      </c>
      <c r="D1635" s="13" t="s">
        <v>13564</v>
      </c>
      <c r="E1635" s="13" t="s">
        <v>1150</v>
      </c>
      <c r="F1635" s="15">
        <v>37762</v>
      </c>
      <c r="G1635" s="15">
        <v>37762</v>
      </c>
    </row>
    <row r="1636" spans="1:7">
      <c r="A1636" s="14">
        <v>6700</v>
      </c>
      <c r="B1636" s="13" t="s">
        <v>14807</v>
      </c>
      <c r="C1636" s="13" t="s">
        <v>14808</v>
      </c>
      <c r="D1636" s="13" t="s">
        <v>13564</v>
      </c>
      <c r="E1636" s="13" t="s">
        <v>1150</v>
      </c>
      <c r="F1636" s="15">
        <v>367</v>
      </c>
      <c r="G1636" s="15">
        <v>367</v>
      </c>
    </row>
    <row r="1637" spans="1:7">
      <c r="A1637" s="14">
        <v>6702</v>
      </c>
      <c r="B1637" s="13" t="s">
        <v>14809</v>
      </c>
      <c r="C1637" s="13" t="s">
        <v>14810</v>
      </c>
      <c r="D1637" s="13" t="s">
        <v>13564</v>
      </c>
      <c r="E1637" s="13" t="s">
        <v>1150</v>
      </c>
      <c r="F1637" s="15">
        <v>37561</v>
      </c>
      <c r="G1637" s="15">
        <v>37561</v>
      </c>
    </row>
    <row r="1638" spans="1:7">
      <c r="A1638" s="14">
        <v>6703</v>
      </c>
      <c r="B1638" s="13" t="s">
        <v>14811</v>
      </c>
      <c r="C1638" s="13" t="s">
        <v>14812</v>
      </c>
      <c r="D1638" s="13" t="s">
        <v>13564</v>
      </c>
      <c r="E1638" s="13" t="s">
        <v>1150</v>
      </c>
      <c r="F1638" s="15">
        <v>37561</v>
      </c>
      <c r="G1638" s="15">
        <v>37561</v>
      </c>
    </row>
    <row r="1639" spans="1:7">
      <c r="A1639" s="14">
        <v>6704</v>
      </c>
      <c r="B1639" s="13" t="s">
        <v>14813</v>
      </c>
      <c r="C1639" s="13" t="s">
        <v>14814</v>
      </c>
      <c r="D1639" s="13" t="s">
        <v>13564</v>
      </c>
      <c r="E1639" s="13" t="s">
        <v>1150</v>
      </c>
      <c r="F1639" s="15">
        <v>38534</v>
      </c>
      <c r="G1639" s="15">
        <v>38534</v>
      </c>
    </row>
    <row r="1640" spans="1:7">
      <c r="A1640" s="14">
        <v>6705</v>
      </c>
      <c r="B1640" s="13" t="s">
        <v>14815</v>
      </c>
      <c r="C1640" s="13" t="s">
        <v>14816</v>
      </c>
      <c r="D1640" s="13" t="s">
        <v>13564</v>
      </c>
      <c r="E1640" s="13" t="s">
        <v>1150</v>
      </c>
      <c r="F1640" s="15">
        <v>367</v>
      </c>
      <c r="G1640" s="15">
        <v>367</v>
      </c>
    </row>
    <row r="1641" spans="1:7">
      <c r="A1641" s="14">
        <v>6710</v>
      </c>
      <c r="B1641" s="13" t="s">
        <v>14817</v>
      </c>
      <c r="C1641" s="13" t="s">
        <v>14818</v>
      </c>
      <c r="D1641" s="13" t="s">
        <v>13564</v>
      </c>
      <c r="E1641" s="13" t="s">
        <v>1150</v>
      </c>
      <c r="F1641" s="15">
        <v>367</v>
      </c>
      <c r="G1641" s="15">
        <v>367</v>
      </c>
    </row>
    <row r="1642" spans="1:7">
      <c r="A1642" s="14">
        <v>6715</v>
      </c>
      <c r="B1642" s="13" t="s">
        <v>14819</v>
      </c>
      <c r="C1642" s="13" t="s">
        <v>14820</v>
      </c>
      <c r="D1642" s="13" t="s">
        <v>13564</v>
      </c>
      <c r="E1642" s="13" t="s">
        <v>1150</v>
      </c>
      <c r="F1642" s="15">
        <v>367</v>
      </c>
      <c r="G1642" s="15">
        <v>367</v>
      </c>
    </row>
    <row r="1643" spans="1:7">
      <c r="A1643" s="14">
        <v>6720</v>
      </c>
      <c r="B1643" s="13" t="s">
        <v>14821</v>
      </c>
      <c r="C1643" s="13" t="s">
        <v>14822</v>
      </c>
      <c r="D1643" s="13" t="s">
        <v>13564</v>
      </c>
      <c r="E1643" s="13" t="s">
        <v>1150</v>
      </c>
      <c r="F1643" s="15">
        <v>367</v>
      </c>
      <c r="G1643" s="15">
        <v>367</v>
      </c>
    </row>
    <row r="1644" spans="1:7">
      <c r="A1644" s="14">
        <v>6725</v>
      </c>
      <c r="B1644" s="13" t="s">
        <v>14823</v>
      </c>
      <c r="C1644" s="13" t="s">
        <v>14824</v>
      </c>
      <c r="D1644" s="13" t="s">
        <v>13564</v>
      </c>
      <c r="E1644" s="13" t="s">
        <v>1150</v>
      </c>
      <c r="F1644" s="15">
        <v>367</v>
      </c>
      <c r="G1644" s="15">
        <v>367</v>
      </c>
    </row>
    <row r="1645" spans="1:7">
      <c r="A1645" s="14">
        <v>6730</v>
      </c>
      <c r="B1645" s="13" t="s">
        <v>14825</v>
      </c>
      <c r="C1645" s="13" t="s">
        <v>14826</v>
      </c>
      <c r="D1645" s="13" t="s">
        <v>13564</v>
      </c>
      <c r="E1645" s="13" t="s">
        <v>1150</v>
      </c>
      <c r="F1645" s="15">
        <v>367</v>
      </c>
      <c r="G1645" s="15">
        <v>367</v>
      </c>
    </row>
    <row r="1646" spans="1:7">
      <c r="A1646" s="14">
        <v>6735</v>
      </c>
      <c r="B1646" s="13" t="s">
        <v>14827</v>
      </c>
      <c r="C1646" s="13" t="s">
        <v>14828</v>
      </c>
      <c r="D1646" s="13" t="s">
        <v>13564</v>
      </c>
      <c r="E1646" s="13" t="s">
        <v>1150</v>
      </c>
      <c r="F1646" s="15">
        <v>367</v>
      </c>
      <c r="G1646" s="15">
        <v>367</v>
      </c>
    </row>
    <row r="1647" spans="1:7">
      <c r="A1647" s="14">
        <v>6740</v>
      </c>
      <c r="B1647" s="13" t="s">
        <v>14829</v>
      </c>
      <c r="C1647" s="13" t="s">
        <v>14830</v>
      </c>
      <c r="D1647" s="13" t="s">
        <v>13564</v>
      </c>
      <c r="E1647" s="13" t="s">
        <v>1150</v>
      </c>
      <c r="F1647" s="15">
        <v>367</v>
      </c>
      <c r="G1647" s="15">
        <v>367</v>
      </c>
    </row>
    <row r="1648" spans="1:7">
      <c r="A1648" s="14">
        <v>6745</v>
      </c>
      <c r="B1648" s="13" t="s">
        <v>14831</v>
      </c>
      <c r="C1648" s="13" t="s">
        <v>14832</v>
      </c>
      <c r="D1648" s="13" t="s">
        <v>13564</v>
      </c>
      <c r="E1648" s="13" t="s">
        <v>1150</v>
      </c>
      <c r="F1648" s="15">
        <v>367</v>
      </c>
      <c r="G1648" s="15">
        <v>367</v>
      </c>
    </row>
    <row r="1649" spans="1:7">
      <c r="A1649" s="14">
        <v>6747</v>
      </c>
      <c r="B1649" s="13" t="s">
        <v>14833</v>
      </c>
      <c r="C1649" s="13" t="s">
        <v>14834</v>
      </c>
      <c r="D1649" s="13" t="s">
        <v>13564</v>
      </c>
      <c r="E1649" s="13" t="s">
        <v>1150</v>
      </c>
      <c r="F1649" s="15">
        <v>43282</v>
      </c>
      <c r="G1649" s="15">
        <v>43282</v>
      </c>
    </row>
    <row r="1650" spans="1:7">
      <c r="A1650" s="14">
        <v>6748</v>
      </c>
      <c r="B1650" s="13" t="s">
        <v>14835</v>
      </c>
      <c r="C1650" s="13" t="s">
        <v>14836</v>
      </c>
      <c r="D1650" s="13" t="s">
        <v>13564</v>
      </c>
      <c r="E1650" s="13" t="s">
        <v>1150</v>
      </c>
      <c r="F1650" s="15">
        <v>37762</v>
      </c>
      <c r="G1650" s="15">
        <v>37762</v>
      </c>
    </row>
    <row r="1651" spans="1:7">
      <c r="A1651" s="14">
        <v>6749</v>
      </c>
      <c r="B1651" s="13" t="s">
        <v>14837</v>
      </c>
      <c r="C1651" s="13" t="s">
        <v>14838</v>
      </c>
      <c r="D1651" s="13" t="s">
        <v>13564</v>
      </c>
      <c r="E1651" s="13" t="s">
        <v>1150</v>
      </c>
      <c r="F1651" s="15">
        <v>37762</v>
      </c>
      <c r="G1651" s="15">
        <v>37762</v>
      </c>
    </row>
    <row r="1652" spans="1:7">
      <c r="A1652" s="14">
        <v>6750</v>
      </c>
      <c r="B1652" s="13" t="s">
        <v>14839</v>
      </c>
      <c r="C1652" s="13" t="s">
        <v>14840</v>
      </c>
      <c r="D1652" s="13" t="s">
        <v>13564</v>
      </c>
      <c r="E1652" s="13" t="s">
        <v>1150</v>
      </c>
      <c r="F1652" s="15">
        <v>37762</v>
      </c>
      <c r="G1652" s="15">
        <v>37762</v>
      </c>
    </row>
    <row r="1653" spans="1:7">
      <c r="A1653" s="14">
        <v>6751</v>
      </c>
      <c r="B1653" s="13" t="s">
        <v>14841</v>
      </c>
      <c r="C1653" s="13" t="s">
        <v>14842</v>
      </c>
      <c r="D1653" s="13" t="s">
        <v>13564</v>
      </c>
      <c r="E1653" s="13" t="s">
        <v>1150</v>
      </c>
      <c r="F1653" s="15">
        <v>37762</v>
      </c>
      <c r="G1653" s="15">
        <v>37762</v>
      </c>
    </row>
    <row r="1654" spans="1:7">
      <c r="A1654" s="14">
        <v>6753</v>
      </c>
      <c r="B1654" s="13" t="s">
        <v>14843</v>
      </c>
      <c r="C1654" s="13" t="s">
        <v>14844</v>
      </c>
      <c r="D1654" s="13" t="s">
        <v>13564</v>
      </c>
      <c r="E1654" s="13" t="s">
        <v>1150</v>
      </c>
      <c r="F1654" s="15">
        <v>367</v>
      </c>
      <c r="G1654" s="15">
        <v>367</v>
      </c>
    </row>
    <row r="1655" spans="1:7">
      <c r="A1655" s="14">
        <v>6755</v>
      </c>
      <c r="B1655" s="13" t="s">
        <v>14845</v>
      </c>
      <c r="C1655" s="13" t="s">
        <v>14846</v>
      </c>
      <c r="D1655" s="13" t="s">
        <v>13564</v>
      </c>
      <c r="E1655" s="13" t="s">
        <v>1150</v>
      </c>
      <c r="F1655" s="15">
        <v>367</v>
      </c>
      <c r="G1655" s="15">
        <v>367</v>
      </c>
    </row>
    <row r="1656" spans="1:7">
      <c r="A1656" s="14">
        <v>6760</v>
      </c>
      <c r="B1656" s="13" t="s">
        <v>14847</v>
      </c>
      <c r="C1656" s="13" t="s">
        <v>14848</v>
      </c>
      <c r="D1656" s="13" t="s">
        <v>13564</v>
      </c>
      <c r="E1656" s="13" t="s">
        <v>1150</v>
      </c>
      <c r="F1656" s="15">
        <v>367</v>
      </c>
      <c r="G1656" s="15">
        <v>367</v>
      </c>
    </row>
    <row r="1657" spans="1:7">
      <c r="A1657" s="14">
        <v>6765</v>
      </c>
      <c r="B1657" s="13" t="s">
        <v>14849</v>
      </c>
      <c r="C1657" s="13" t="s">
        <v>14850</v>
      </c>
      <c r="D1657" s="13" t="s">
        <v>13564</v>
      </c>
      <c r="E1657" s="13" t="s">
        <v>1150</v>
      </c>
      <c r="F1657" s="15">
        <v>367</v>
      </c>
      <c r="G1657" s="15">
        <v>367</v>
      </c>
    </row>
    <row r="1658" spans="1:7">
      <c r="A1658" s="14">
        <v>6768</v>
      </c>
      <c r="B1658" s="13" t="s">
        <v>14851</v>
      </c>
      <c r="C1658" s="13" t="s">
        <v>14852</v>
      </c>
      <c r="D1658" s="13" t="s">
        <v>13564</v>
      </c>
      <c r="E1658" s="13" t="s">
        <v>1150</v>
      </c>
      <c r="F1658" s="15">
        <v>37762</v>
      </c>
      <c r="G1658" s="15">
        <v>37762</v>
      </c>
    </row>
    <row r="1659" spans="1:7">
      <c r="A1659" s="14">
        <v>6770</v>
      </c>
      <c r="B1659" s="13" t="s">
        <v>14853</v>
      </c>
      <c r="C1659" s="13" t="s">
        <v>14854</v>
      </c>
      <c r="D1659" s="13" t="s">
        <v>13564</v>
      </c>
      <c r="E1659" s="13" t="s">
        <v>1150</v>
      </c>
      <c r="F1659" s="15">
        <v>367</v>
      </c>
      <c r="G1659" s="15">
        <v>367</v>
      </c>
    </row>
    <row r="1660" spans="1:7">
      <c r="A1660" s="14">
        <v>6775</v>
      </c>
      <c r="B1660" s="13" t="s">
        <v>14855</v>
      </c>
      <c r="C1660" s="13" t="s">
        <v>14856</v>
      </c>
      <c r="D1660" s="13" t="s">
        <v>13564</v>
      </c>
      <c r="E1660" s="13" t="s">
        <v>1150</v>
      </c>
      <c r="F1660" s="15">
        <v>367</v>
      </c>
      <c r="G1660" s="15">
        <v>367</v>
      </c>
    </row>
    <row r="1661" spans="1:7">
      <c r="A1661" s="14">
        <v>6777</v>
      </c>
      <c r="B1661" s="13" t="s">
        <v>14857</v>
      </c>
      <c r="C1661" s="13" t="s">
        <v>14858</v>
      </c>
      <c r="D1661" s="13" t="s">
        <v>13564</v>
      </c>
      <c r="E1661" s="13" t="s">
        <v>1150</v>
      </c>
      <c r="F1661" s="15">
        <v>37762</v>
      </c>
      <c r="G1661" s="15">
        <v>37762</v>
      </c>
    </row>
    <row r="1662" spans="1:7">
      <c r="A1662" s="14">
        <v>6780</v>
      </c>
      <c r="B1662" s="13" t="s">
        <v>14859</v>
      </c>
      <c r="C1662" s="13" t="s">
        <v>14860</v>
      </c>
      <c r="D1662" s="13" t="s">
        <v>13564</v>
      </c>
      <c r="E1662" s="13" t="s">
        <v>1150</v>
      </c>
      <c r="F1662" s="15">
        <v>367</v>
      </c>
      <c r="G1662" s="15">
        <v>367</v>
      </c>
    </row>
    <row r="1663" spans="1:7">
      <c r="A1663" s="14">
        <v>6781</v>
      </c>
      <c r="B1663" s="13" t="s">
        <v>14861</v>
      </c>
      <c r="C1663" s="13" t="s">
        <v>14862</v>
      </c>
      <c r="D1663" s="13" t="s">
        <v>13564</v>
      </c>
      <c r="E1663" s="13" t="s">
        <v>1150</v>
      </c>
      <c r="F1663" s="15">
        <v>37762</v>
      </c>
      <c r="G1663" s="15">
        <v>37762</v>
      </c>
    </row>
    <row r="1664" spans="1:7">
      <c r="A1664" s="14">
        <v>6783</v>
      </c>
      <c r="B1664" s="13" t="s">
        <v>14863</v>
      </c>
      <c r="C1664" s="13" t="s">
        <v>14864</v>
      </c>
      <c r="D1664" s="13" t="s">
        <v>13564</v>
      </c>
      <c r="E1664" s="13" t="s">
        <v>1150</v>
      </c>
      <c r="F1664" s="15">
        <v>37762</v>
      </c>
      <c r="G1664" s="15">
        <v>37762</v>
      </c>
    </row>
    <row r="1665" spans="1:7">
      <c r="A1665" s="14">
        <v>6784</v>
      </c>
      <c r="B1665" s="13" t="s">
        <v>14865</v>
      </c>
      <c r="C1665" s="13" t="s">
        <v>14866</v>
      </c>
      <c r="D1665" s="13" t="s">
        <v>13564</v>
      </c>
      <c r="E1665" s="13" t="s">
        <v>1150</v>
      </c>
      <c r="F1665" s="15">
        <v>37762</v>
      </c>
      <c r="G1665" s="15">
        <v>37762</v>
      </c>
    </row>
    <row r="1666" spans="1:7">
      <c r="A1666" s="14">
        <v>6785</v>
      </c>
      <c r="B1666" s="13" t="s">
        <v>14867</v>
      </c>
      <c r="C1666" s="13" t="s">
        <v>14868</v>
      </c>
      <c r="D1666" s="13" t="s">
        <v>13564</v>
      </c>
      <c r="E1666" s="13" t="s">
        <v>1150</v>
      </c>
      <c r="F1666" s="15">
        <v>37762</v>
      </c>
      <c r="G1666" s="15">
        <v>37762</v>
      </c>
    </row>
    <row r="1667" spans="1:7">
      <c r="A1667" s="14">
        <v>6786</v>
      </c>
      <c r="B1667" s="13" t="s">
        <v>14869</v>
      </c>
      <c r="C1667" s="13" t="s">
        <v>14870</v>
      </c>
      <c r="D1667" s="13" t="s">
        <v>13564</v>
      </c>
      <c r="E1667" s="13" t="s">
        <v>1150</v>
      </c>
      <c r="F1667" s="15">
        <v>367</v>
      </c>
      <c r="G1667" s="15">
        <v>367</v>
      </c>
    </row>
    <row r="1668" spans="1:7">
      <c r="A1668" s="14">
        <v>6788</v>
      </c>
      <c r="B1668" s="13" t="s">
        <v>14871</v>
      </c>
      <c r="C1668" s="13" t="s">
        <v>14872</v>
      </c>
      <c r="D1668" s="13" t="s">
        <v>13564</v>
      </c>
      <c r="E1668" s="13" t="s">
        <v>1150</v>
      </c>
      <c r="F1668" s="15">
        <v>37762</v>
      </c>
      <c r="G1668" s="15">
        <v>37762</v>
      </c>
    </row>
    <row r="1669" spans="1:7">
      <c r="A1669" s="14">
        <v>6789</v>
      </c>
      <c r="B1669" s="13" t="s">
        <v>14873</v>
      </c>
      <c r="C1669" s="13" t="s">
        <v>14874</v>
      </c>
      <c r="D1669" s="13" t="s">
        <v>13564</v>
      </c>
      <c r="E1669" s="13" t="s">
        <v>1150</v>
      </c>
      <c r="F1669" s="15">
        <v>37762</v>
      </c>
      <c r="G1669" s="15">
        <v>37762</v>
      </c>
    </row>
    <row r="1670" spans="1:7">
      <c r="A1670" s="14">
        <v>6790</v>
      </c>
      <c r="B1670" s="13" t="s">
        <v>14875</v>
      </c>
      <c r="C1670" s="13" t="s">
        <v>14876</v>
      </c>
      <c r="D1670" s="13" t="s">
        <v>13564</v>
      </c>
      <c r="E1670" s="13" t="s">
        <v>1150</v>
      </c>
      <c r="F1670" s="15">
        <v>37762</v>
      </c>
      <c r="G1670" s="15">
        <v>37762</v>
      </c>
    </row>
    <row r="1671" spans="1:7">
      <c r="A1671" s="14">
        <v>6792</v>
      </c>
      <c r="B1671" s="13" t="s">
        <v>14877</v>
      </c>
      <c r="C1671" s="13" t="s">
        <v>14878</v>
      </c>
      <c r="D1671" s="13" t="s">
        <v>13564</v>
      </c>
      <c r="E1671" s="13" t="s">
        <v>1150</v>
      </c>
      <c r="F1671" s="15">
        <v>367</v>
      </c>
      <c r="G1671" s="15">
        <v>367</v>
      </c>
    </row>
    <row r="1672" spans="1:7">
      <c r="A1672" s="14">
        <v>6795</v>
      </c>
      <c r="B1672" s="13" t="s">
        <v>14879</v>
      </c>
      <c r="C1672" s="13" t="s">
        <v>14880</v>
      </c>
      <c r="D1672" s="13" t="s">
        <v>13564</v>
      </c>
      <c r="E1672" s="13" t="s">
        <v>1150</v>
      </c>
      <c r="F1672" s="15">
        <v>367</v>
      </c>
      <c r="G1672" s="15">
        <v>367</v>
      </c>
    </row>
    <row r="1673" spans="1:7">
      <c r="A1673" s="14">
        <v>6800</v>
      </c>
      <c r="B1673" s="13" t="s">
        <v>14881</v>
      </c>
      <c r="C1673" s="13" t="s">
        <v>14882</v>
      </c>
      <c r="D1673" s="13" t="s">
        <v>13564</v>
      </c>
      <c r="E1673" s="13" t="s">
        <v>1150</v>
      </c>
      <c r="F1673" s="15">
        <v>367</v>
      </c>
      <c r="G1673" s="15">
        <v>367</v>
      </c>
    </row>
    <row r="1674" spans="1:7">
      <c r="A1674" s="14">
        <v>6805</v>
      </c>
      <c r="B1674" s="13" t="s">
        <v>14883</v>
      </c>
      <c r="C1674" s="13" t="s">
        <v>14884</v>
      </c>
      <c r="D1674" s="13" t="s">
        <v>13564</v>
      </c>
      <c r="E1674" s="13" t="s">
        <v>1150</v>
      </c>
      <c r="F1674" s="15">
        <v>367</v>
      </c>
      <c r="G1674" s="15">
        <v>367</v>
      </c>
    </row>
    <row r="1675" spans="1:7">
      <c r="A1675" s="14">
        <v>6810</v>
      </c>
      <c r="B1675" s="13" t="s">
        <v>14885</v>
      </c>
      <c r="C1675" s="13" t="s">
        <v>14886</v>
      </c>
      <c r="D1675" s="13" t="s">
        <v>13564</v>
      </c>
      <c r="E1675" s="13" t="s">
        <v>1150</v>
      </c>
      <c r="F1675" s="15">
        <v>367</v>
      </c>
      <c r="G1675" s="15">
        <v>367</v>
      </c>
    </row>
    <row r="1676" spans="1:7">
      <c r="A1676" s="14">
        <v>6811</v>
      </c>
      <c r="B1676" s="13" t="s">
        <v>14887</v>
      </c>
      <c r="C1676" s="13" t="s">
        <v>14888</v>
      </c>
      <c r="D1676" s="13" t="s">
        <v>13564</v>
      </c>
      <c r="E1676" s="13" t="s">
        <v>1150</v>
      </c>
      <c r="F1676" s="15">
        <v>38415</v>
      </c>
      <c r="G1676" s="15">
        <v>38415</v>
      </c>
    </row>
    <row r="1677" spans="1:7">
      <c r="A1677" s="14">
        <v>6815</v>
      </c>
      <c r="B1677" s="13" t="s">
        <v>14889</v>
      </c>
      <c r="C1677" s="13" t="s">
        <v>14890</v>
      </c>
      <c r="D1677" s="13" t="s">
        <v>13564</v>
      </c>
      <c r="E1677" s="13" t="s">
        <v>1150</v>
      </c>
      <c r="F1677" s="15">
        <v>367</v>
      </c>
      <c r="G1677" s="15">
        <v>367</v>
      </c>
    </row>
    <row r="1678" spans="1:7">
      <c r="A1678" s="14">
        <v>6820</v>
      </c>
      <c r="B1678" s="13" t="s">
        <v>14891</v>
      </c>
      <c r="C1678" s="13" t="s">
        <v>14892</v>
      </c>
      <c r="D1678" s="13" t="s">
        <v>13564</v>
      </c>
      <c r="E1678" s="13" t="s">
        <v>1150</v>
      </c>
      <c r="F1678" s="15">
        <v>367</v>
      </c>
      <c r="G1678" s="15">
        <v>367</v>
      </c>
    </row>
    <row r="1679" spans="1:7">
      <c r="A1679" s="14">
        <v>6825</v>
      </c>
      <c r="B1679" s="13" t="s">
        <v>14893</v>
      </c>
      <c r="C1679" s="13" t="s">
        <v>14894</v>
      </c>
      <c r="D1679" s="13" t="s">
        <v>13564</v>
      </c>
      <c r="E1679" s="13" t="s">
        <v>1150</v>
      </c>
      <c r="F1679" s="15">
        <v>367</v>
      </c>
      <c r="G1679" s="15">
        <v>367</v>
      </c>
    </row>
    <row r="1680" spans="1:7">
      <c r="A1680" s="14">
        <v>6830</v>
      </c>
      <c r="B1680" s="13" t="s">
        <v>14895</v>
      </c>
      <c r="C1680" s="13" t="s">
        <v>14896</v>
      </c>
      <c r="D1680" s="13" t="s">
        <v>13564</v>
      </c>
      <c r="E1680" s="13" t="s">
        <v>1150</v>
      </c>
      <c r="F1680" s="15">
        <v>367</v>
      </c>
      <c r="G1680" s="15">
        <v>367</v>
      </c>
    </row>
    <row r="1681" spans="1:7">
      <c r="A1681" s="14">
        <v>6835</v>
      </c>
      <c r="B1681" s="13" t="s">
        <v>14897</v>
      </c>
      <c r="C1681" s="13" t="s">
        <v>14898</v>
      </c>
      <c r="D1681" s="13" t="s">
        <v>13564</v>
      </c>
      <c r="E1681" s="13" t="s">
        <v>1150</v>
      </c>
      <c r="F1681" s="15">
        <v>367</v>
      </c>
      <c r="G1681" s="15">
        <v>367</v>
      </c>
    </row>
    <row r="1682" spans="1:7">
      <c r="A1682" s="14">
        <v>6840</v>
      </c>
      <c r="B1682" s="13" t="s">
        <v>14899</v>
      </c>
      <c r="C1682" s="13" t="s">
        <v>14900</v>
      </c>
      <c r="D1682" s="13" t="s">
        <v>13564</v>
      </c>
      <c r="E1682" s="13" t="s">
        <v>1150</v>
      </c>
      <c r="F1682" s="15">
        <v>367</v>
      </c>
      <c r="G1682" s="15">
        <v>367</v>
      </c>
    </row>
    <row r="1683" spans="1:7">
      <c r="A1683" s="14">
        <v>6845</v>
      </c>
      <c r="B1683" s="13" t="s">
        <v>14901</v>
      </c>
      <c r="C1683" s="13" t="s">
        <v>14902</v>
      </c>
      <c r="D1683" s="13" t="s">
        <v>13564</v>
      </c>
      <c r="E1683" s="13" t="s">
        <v>1150</v>
      </c>
      <c r="F1683" s="15">
        <v>367</v>
      </c>
      <c r="G1683" s="15">
        <v>367</v>
      </c>
    </row>
    <row r="1684" spans="1:7">
      <c r="A1684" s="14">
        <v>6850</v>
      </c>
      <c r="B1684" s="13" t="s">
        <v>14903</v>
      </c>
      <c r="C1684" s="13" t="s">
        <v>14904</v>
      </c>
      <c r="D1684" s="13" t="s">
        <v>13564</v>
      </c>
      <c r="E1684" s="13" t="s">
        <v>1150</v>
      </c>
      <c r="F1684" s="15">
        <v>367</v>
      </c>
      <c r="G1684" s="15">
        <v>367</v>
      </c>
    </row>
    <row r="1685" spans="1:7">
      <c r="A1685" s="14">
        <v>6855</v>
      </c>
      <c r="B1685" s="13" t="s">
        <v>14905</v>
      </c>
      <c r="C1685" s="13" t="s">
        <v>14906</v>
      </c>
      <c r="D1685" s="13" t="s">
        <v>13564</v>
      </c>
      <c r="E1685" s="13" t="s">
        <v>1150</v>
      </c>
      <c r="F1685" s="15">
        <v>367</v>
      </c>
      <c r="G1685" s="15">
        <v>367</v>
      </c>
    </row>
    <row r="1686" spans="1:7">
      <c r="A1686" s="14">
        <v>6860</v>
      </c>
      <c r="B1686" s="13" t="s">
        <v>14907</v>
      </c>
      <c r="C1686" s="13" t="s">
        <v>14908</v>
      </c>
      <c r="D1686" s="13" t="s">
        <v>13564</v>
      </c>
      <c r="E1686" s="13" t="s">
        <v>1150</v>
      </c>
      <c r="F1686" s="15">
        <v>367</v>
      </c>
      <c r="G1686" s="15">
        <v>367</v>
      </c>
    </row>
    <row r="1687" spans="1:7">
      <c r="A1687" s="14">
        <v>6865</v>
      </c>
      <c r="B1687" s="13" t="s">
        <v>14909</v>
      </c>
      <c r="C1687" s="13" t="s">
        <v>14910</v>
      </c>
      <c r="D1687" s="13" t="s">
        <v>13564</v>
      </c>
      <c r="E1687" s="13" t="s">
        <v>1150</v>
      </c>
      <c r="F1687" s="15">
        <v>367</v>
      </c>
      <c r="G1687" s="15">
        <v>367</v>
      </c>
    </row>
    <row r="1688" spans="1:7">
      <c r="A1688" s="14">
        <v>6870</v>
      </c>
      <c r="B1688" s="13" t="s">
        <v>14911</v>
      </c>
      <c r="C1688" s="13" t="s">
        <v>14912</v>
      </c>
      <c r="D1688" s="13" t="s">
        <v>13564</v>
      </c>
      <c r="E1688" s="13" t="s">
        <v>1150</v>
      </c>
      <c r="F1688" s="15">
        <v>367</v>
      </c>
      <c r="G1688" s="15">
        <v>367</v>
      </c>
    </row>
    <row r="1689" spans="1:7">
      <c r="A1689" s="14">
        <v>6875</v>
      </c>
      <c r="B1689" s="13" t="s">
        <v>14913</v>
      </c>
      <c r="C1689" s="13" t="s">
        <v>14914</v>
      </c>
      <c r="D1689" s="13" t="s">
        <v>13564</v>
      </c>
      <c r="E1689" s="13" t="s">
        <v>1150</v>
      </c>
      <c r="F1689" s="15">
        <v>367</v>
      </c>
      <c r="G1689" s="15">
        <v>367</v>
      </c>
    </row>
    <row r="1690" spans="1:7">
      <c r="A1690" s="14">
        <v>6880</v>
      </c>
      <c r="B1690" s="13" t="s">
        <v>14915</v>
      </c>
      <c r="C1690" s="13" t="s">
        <v>14916</v>
      </c>
      <c r="D1690" s="13" t="s">
        <v>13564</v>
      </c>
      <c r="E1690" s="13" t="s">
        <v>1150</v>
      </c>
      <c r="F1690" s="15">
        <v>367</v>
      </c>
      <c r="G1690" s="15">
        <v>367</v>
      </c>
    </row>
    <row r="1691" spans="1:7">
      <c r="A1691" s="14">
        <v>6885</v>
      </c>
      <c r="B1691" s="13" t="s">
        <v>14917</v>
      </c>
      <c r="C1691" s="13" t="s">
        <v>14918</v>
      </c>
      <c r="D1691" s="13" t="s">
        <v>13564</v>
      </c>
      <c r="E1691" s="13" t="s">
        <v>1150</v>
      </c>
      <c r="F1691" s="15">
        <v>367</v>
      </c>
      <c r="G1691" s="15">
        <v>367</v>
      </c>
    </row>
    <row r="1692" spans="1:7">
      <c r="A1692" s="14">
        <v>6890</v>
      </c>
      <c r="B1692" s="13" t="s">
        <v>14919</v>
      </c>
      <c r="C1692" s="13" t="s">
        <v>14920</v>
      </c>
      <c r="D1692" s="13" t="s">
        <v>13564</v>
      </c>
      <c r="E1692" s="13" t="s">
        <v>1150</v>
      </c>
      <c r="F1692" s="15">
        <v>367</v>
      </c>
      <c r="G1692" s="15">
        <v>367</v>
      </c>
    </row>
    <row r="1693" spans="1:7">
      <c r="A1693" s="14">
        <v>6895</v>
      </c>
      <c r="B1693" s="13" t="s">
        <v>14921</v>
      </c>
      <c r="C1693" s="13" t="s">
        <v>14922</v>
      </c>
      <c r="D1693" s="13" t="s">
        <v>13564</v>
      </c>
      <c r="E1693" s="13" t="s">
        <v>1150</v>
      </c>
      <c r="F1693" s="15">
        <v>367</v>
      </c>
      <c r="G1693" s="15">
        <v>367</v>
      </c>
    </row>
    <row r="1694" spans="1:7">
      <c r="A1694" s="14">
        <v>6900</v>
      </c>
      <c r="B1694" s="13" t="s">
        <v>14923</v>
      </c>
      <c r="C1694" s="13" t="s">
        <v>14924</v>
      </c>
      <c r="D1694" s="13" t="s">
        <v>13564</v>
      </c>
      <c r="E1694" s="13" t="s">
        <v>1150</v>
      </c>
      <c r="F1694" s="15">
        <v>367</v>
      </c>
      <c r="G1694" s="15">
        <v>367</v>
      </c>
    </row>
    <row r="1695" spans="1:7">
      <c r="A1695" s="14">
        <v>6905</v>
      </c>
      <c r="B1695" s="13" t="s">
        <v>14925</v>
      </c>
      <c r="C1695" s="13" t="s">
        <v>14926</v>
      </c>
      <c r="D1695" s="13" t="s">
        <v>13564</v>
      </c>
      <c r="E1695" s="13" t="s">
        <v>1150</v>
      </c>
      <c r="F1695" s="15">
        <v>367</v>
      </c>
      <c r="G1695" s="15">
        <v>367</v>
      </c>
    </row>
    <row r="1696" spans="1:7">
      <c r="A1696" s="14">
        <v>6910</v>
      </c>
      <c r="B1696" s="13" t="s">
        <v>14927</v>
      </c>
      <c r="C1696" s="13" t="s">
        <v>14928</v>
      </c>
      <c r="D1696" s="13" t="s">
        <v>13564</v>
      </c>
      <c r="E1696" s="13" t="s">
        <v>1150</v>
      </c>
      <c r="F1696" s="15">
        <v>367</v>
      </c>
      <c r="G1696" s="15">
        <v>367</v>
      </c>
    </row>
    <row r="1697" spans="1:7">
      <c r="A1697" s="14">
        <v>6915</v>
      </c>
      <c r="B1697" s="13" t="s">
        <v>14929</v>
      </c>
      <c r="C1697" s="13" t="s">
        <v>14930</v>
      </c>
      <c r="D1697" s="13" t="s">
        <v>13564</v>
      </c>
      <c r="E1697" s="13" t="s">
        <v>1150</v>
      </c>
      <c r="F1697" s="15">
        <v>367</v>
      </c>
      <c r="G1697" s="15">
        <v>367</v>
      </c>
    </row>
    <row r="1698" spans="1:7">
      <c r="A1698" s="14">
        <v>6920</v>
      </c>
      <c r="B1698" s="13" t="s">
        <v>14931</v>
      </c>
      <c r="C1698" s="13" t="s">
        <v>14932</v>
      </c>
      <c r="D1698" s="13" t="s">
        <v>13564</v>
      </c>
      <c r="E1698" s="13" t="s">
        <v>1150</v>
      </c>
      <c r="F1698" s="15">
        <v>367</v>
      </c>
      <c r="G1698" s="15">
        <v>367</v>
      </c>
    </row>
    <row r="1699" spans="1:7">
      <c r="A1699" s="14">
        <v>6925</v>
      </c>
      <c r="B1699" s="13" t="s">
        <v>14933</v>
      </c>
      <c r="C1699" s="13" t="s">
        <v>14934</v>
      </c>
      <c r="D1699" s="13" t="s">
        <v>13564</v>
      </c>
      <c r="E1699" s="13" t="s">
        <v>1150</v>
      </c>
      <c r="F1699" s="15">
        <v>367</v>
      </c>
      <c r="G1699" s="15">
        <v>367</v>
      </c>
    </row>
    <row r="1700" spans="1:7">
      <c r="A1700" s="14">
        <v>6930</v>
      </c>
      <c r="B1700" s="13" t="s">
        <v>14935</v>
      </c>
      <c r="C1700" s="13" t="s">
        <v>14936</v>
      </c>
      <c r="D1700" s="13" t="s">
        <v>13564</v>
      </c>
      <c r="E1700" s="13" t="s">
        <v>1150</v>
      </c>
      <c r="F1700" s="15">
        <v>367</v>
      </c>
      <c r="G1700" s="15">
        <v>367</v>
      </c>
    </row>
    <row r="1701" spans="1:7">
      <c r="A1701" s="14">
        <v>6935</v>
      </c>
      <c r="B1701" s="13" t="s">
        <v>14937</v>
      </c>
      <c r="C1701" s="13" t="s">
        <v>14938</v>
      </c>
      <c r="D1701" s="13" t="s">
        <v>13564</v>
      </c>
      <c r="E1701" s="13" t="s">
        <v>1150</v>
      </c>
      <c r="F1701" s="15">
        <v>367</v>
      </c>
      <c r="G1701" s="15">
        <v>367</v>
      </c>
    </row>
    <row r="1702" spans="1:7">
      <c r="A1702" s="14">
        <v>6940</v>
      </c>
      <c r="B1702" s="13" t="s">
        <v>14939</v>
      </c>
      <c r="C1702" s="13" t="s">
        <v>14940</v>
      </c>
      <c r="D1702" s="13" t="s">
        <v>13564</v>
      </c>
      <c r="E1702" s="13" t="s">
        <v>1150</v>
      </c>
      <c r="F1702" s="15">
        <v>367</v>
      </c>
      <c r="G1702" s="15">
        <v>367</v>
      </c>
    </row>
    <row r="1703" spans="1:7">
      <c r="A1703" s="14">
        <v>6945</v>
      </c>
      <c r="B1703" s="13" t="s">
        <v>14941</v>
      </c>
      <c r="C1703" s="13" t="s">
        <v>14942</v>
      </c>
      <c r="D1703" s="13" t="s">
        <v>13564</v>
      </c>
      <c r="E1703" s="13" t="s">
        <v>1150</v>
      </c>
      <c r="F1703" s="15">
        <v>367</v>
      </c>
      <c r="G1703" s="15">
        <v>367</v>
      </c>
    </row>
    <row r="1704" spans="1:7">
      <c r="A1704" s="14">
        <v>6950</v>
      </c>
      <c r="B1704" s="13" t="s">
        <v>14943</v>
      </c>
      <c r="C1704" s="13" t="s">
        <v>14944</v>
      </c>
      <c r="D1704" s="13" t="s">
        <v>13564</v>
      </c>
      <c r="E1704" s="13" t="s">
        <v>1150</v>
      </c>
      <c r="F1704" s="15">
        <v>367</v>
      </c>
      <c r="G1704" s="15">
        <v>367</v>
      </c>
    </row>
    <row r="1705" spans="1:7">
      <c r="A1705" s="14">
        <v>6952</v>
      </c>
      <c r="B1705" s="13" t="s">
        <v>14945</v>
      </c>
      <c r="C1705" s="13" t="s">
        <v>14946</v>
      </c>
      <c r="D1705" s="13" t="s">
        <v>13564</v>
      </c>
      <c r="E1705" s="13" t="s">
        <v>1150</v>
      </c>
      <c r="F1705" s="15">
        <v>39965</v>
      </c>
      <c r="G1705" s="15">
        <v>39965</v>
      </c>
    </row>
    <row r="1706" spans="1:7">
      <c r="A1706" s="14">
        <v>6955</v>
      </c>
      <c r="B1706" s="13" t="s">
        <v>14947</v>
      </c>
      <c r="C1706" s="13" t="s">
        <v>14948</v>
      </c>
      <c r="D1706" s="13" t="s">
        <v>13564</v>
      </c>
      <c r="E1706" s="13" t="s">
        <v>1150</v>
      </c>
      <c r="F1706" s="15">
        <v>367</v>
      </c>
      <c r="G1706" s="15">
        <v>367</v>
      </c>
    </row>
    <row r="1707" spans="1:7">
      <c r="A1707" s="14">
        <v>6960</v>
      </c>
      <c r="B1707" s="13" t="s">
        <v>14949</v>
      </c>
      <c r="C1707" s="13" t="s">
        <v>14950</v>
      </c>
      <c r="D1707" s="13" t="s">
        <v>13564</v>
      </c>
      <c r="E1707" s="13" t="s">
        <v>1150</v>
      </c>
      <c r="F1707" s="15">
        <v>367</v>
      </c>
      <c r="G1707" s="15">
        <v>367</v>
      </c>
    </row>
    <row r="1708" spans="1:7">
      <c r="A1708" s="14">
        <v>6965</v>
      </c>
      <c r="B1708" s="13" t="s">
        <v>14951</v>
      </c>
      <c r="C1708" s="13" t="s">
        <v>14952</v>
      </c>
      <c r="D1708" s="13" t="s">
        <v>13564</v>
      </c>
      <c r="E1708" s="13" t="s">
        <v>1150</v>
      </c>
      <c r="F1708" s="15">
        <v>367</v>
      </c>
      <c r="G1708" s="15">
        <v>367</v>
      </c>
    </row>
    <row r="1709" spans="1:7">
      <c r="A1709" s="14">
        <v>6970</v>
      </c>
      <c r="B1709" s="13" t="s">
        <v>14953</v>
      </c>
      <c r="C1709" s="13" t="s">
        <v>14954</v>
      </c>
      <c r="D1709" s="13" t="s">
        <v>13564</v>
      </c>
      <c r="E1709" s="13" t="s">
        <v>1150</v>
      </c>
      <c r="F1709" s="15">
        <v>367</v>
      </c>
      <c r="G1709" s="15">
        <v>367</v>
      </c>
    </row>
    <row r="1710" spans="1:7">
      <c r="A1710" s="14">
        <v>6975</v>
      </c>
      <c r="B1710" s="13" t="s">
        <v>14955</v>
      </c>
      <c r="C1710" s="13" t="s">
        <v>14956</v>
      </c>
      <c r="D1710" s="13" t="s">
        <v>13564</v>
      </c>
      <c r="E1710" s="13" t="s">
        <v>1150</v>
      </c>
      <c r="F1710" s="15">
        <v>367</v>
      </c>
      <c r="G1710" s="15">
        <v>367</v>
      </c>
    </row>
    <row r="1711" spans="1:7">
      <c r="A1711" s="14">
        <v>6980</v>
      </c>
      <c r="B1711" s="13" t="s">
        <v>14957</v>
      </c>
      <c r="C1711" s="13" t="s">
        <v>14958</v>
      </c>
      <c r="D1711" s="13" t="s">
        <v>13564</v>
      </c>
      <c r="E1711" s="13" t="s">
        <v>1150</v>
      </c>
      <c r="F1711" s="15">
        <v>367</v>
      </c>
      <c r="G1711" s="15">
        <v>367</v>
      </c>
    </row>
    <row r="1712" spans="1:7">
      <c r="A1712" s="14">
        <v>6985</v>
      </c>
      <c r="B1712" s="13" t="s">
        <v>14959</v>
      </c>
      <c r="C1712" s="13" t="s">
        <v>14960</v>
      </c>
      <c r="D1712" s="13" t="s">
        <v>13564</v>
      </c>
      <c r="E1712" s="13" t="s">
        <v>1150</v>
      </c>
      <c r="F1712" s="15">
        <v>367</v>
      </c>
      <c r="G1712" s="15">
        <v>367</v>
      </c>
    </row>
    <row r="1713" spans="1:7">
      <c r="A1713" s="14">
        <v>6990</v>
      </c>
      <c r="B1713" s="13" t="s">
        <v>14961</v>
      </c>
      <c r="C1713" s="13" t="s">
        <v>14962</v>
      </c>
      <c r="D1713" s="13" t="s">
        <v>13564</v>
      </c>
      <c r="E1713" s="13" t="s">
        <v>1150</v>
      </c>
      <c r="F1713" s="15">
        <v>367</v>
      </c>
      <c r="G1713" s="15">
        <v>367</v>
      </c>
    </row>
    <row r="1714" spans="1:7">
      <c r="A1714" s="14">
        <v>6995</v>
      </c>
      <c r="B1714" s="13" t="s">
        <v>14963</v>
      </c>
      <c r="C1714" s="13" t="s">
        <v>14964</v>
      </c>
      <c r="D1714" s="13" t="s">
        <v>13564</v>
      </c>
      <c r="E1714" s="13" t="s">
        <v>1150</v>
      </c>
      <c r="F1714" s="15">
        <v>367</v>
      </c>
      <c r="G1714" s="15">
        <v>367</v>
      </c>
    </row>
    <row r="1715" spans="1:7">
      <c r="A1715" s="14">
        <v>7000</v>
      </c>
      <c r="B1715" s="13" t="s">
        <v>14965</v>
      </c>
      <c r="C1715" s="13" t="s">
        <v>14966</v>
      </c>
      <c r="D1715" s="13" t="s">
        <v>13564</v>
      </c>
      <c r="E1715" s="13" t="s">
        <v>1150</v>
      </c>
      <c r="F1715" s="15">
        <v>367</v>
      </c>
      <c r="G1715" s="15">
        <v>367</v>
      </c>
    </row>
    <row r="1716" spans="1:7">
      <c r="A1716" s="14">
        <v>7005</v>
      </c>
      <c r="B1716" s="13" t="s">
        <v>14967</v>
      </c>
      <c r="C1716" s="13" t="s">
        <v>14968</v>
      </c>
      <c r="D1716" s="13" t="s">
        <v>13564</v>
      </c>
      <c r="E1716" s="13" t="s">
        <v>1150</v>
      </c>
      <c r="F1716" s="15">
        <v>367</v>
      </c>
      <c r="G1716" s="15">
        <v>367</v>
      </c>
    </row>
    <row r="1717" spans="1:7">
      <c r="A1717" s="14">
        <v>7010</v>
      </c>
      <c r="B1717" s="13" t="s">
        <v>14969</v>
      </c>
      <c r="C1717" s="13" t="s">
        <v>14970</v>
      </c>
      <c r="D1717" s="13" t="s">
        <v>13564</v>
      </c>
      <c r="E1717" s="13" t="s">
        <v>1150</v>
      </c>
      <c r="F1717" s="15">
        <v>367</v>
      </c>
      <c r="G1717" s="15">
        <v>367</v>
      </c>
    </row>
    <row r="1718" spans="1:7">
      <c r="A1718" s="14">
        <v>7015</v>
      </c>
      <c r="B1718" s="13" t="s">
        <v>14971</v>
      </c>
      <c r="C1718" s="13" t="s">
        <v>14972</v>
      </c>
      <c r="D1718" s="13" t="s">
        <v>13564</v>
      </c>
      <c r="E1718" s="13" t="s">
        <v>1150</v>
      </c>
      <c r="F1718" s="15">
        <v>367</v>
      </c>
      <c r="G1718" s="15">
        <v>367</v>
      </c>
    </row>
    <row r="1719" spans="1:7">
      <c r="A1719" s="14">
        <v>7020</v>
      </c>
      <c r="B1719" s="13" t="s">
        <v>14973</v>
      </c>
      <c r="C1719" s="13" t="s">
        <v>14974</v>
      </c>
      <c r="D1719" s="13" t="s">
        <v>13564</v>
      </c>
      <c r="E1719" s="13" t="s">
        <v>1150</v>
      </c>
      <c r="F1719" s="15">
        <v>367</v>
      </c>
      <c r="G1719" s="15">
        <v>367</v>
      </c>
    </row>
    <row r="1720" spans="1:7">
      <c r="A1720" s="14">
        <v>7025</v>
      </c>
      <c r="B1720" s="13" t="s">
        <v>14975</v>
      </c>
      <c r="C1720" s="13" t="s">
        <v>14976</v>
      </c>
      <c r="D1720" s="13" t="s">
        <v>13564</v>
      </c>
      <c r="E1720" s="13" t="s">
        <v>1150</v>
      </c>
      <c r="F1720" s="15">
        <v>367</v>
      </c>
      <c r="G1720" s="15">
        <v>367</v>
      </c>
    </row>
    <row r="1721" spans="1:7">
      <c r="A1721" s="14">
        <v>7030</v>
      </c>
      <c r="B1721" s="13" t="s">
        <v>14977</v>
      </c>
      <c r="C1721" s="13" t="s">
        <v>14978</v>
      </c>
      <c r="D1721" s="13" t="s">
        <v>13564</v>
      </c>
      <c r="E1721" s="13" t="s">
        <v>1150</v>
      </c>
      <c r="F1721" s="15">
        <v>367</v>
      </c>
      <c r="G1721" s="15">
        <v>367</v>
      </c>
    </row>
    <row r="1722" spans="1:7">
      <c r="A1722" s="14">
        <v>7035</v>
      </c>
      <c r="B1722" s="13" t="s">
        <v>14979</v>
      </c>
      <c r="C1722" s="13" t="s">
        <v>14980</v>
      </c>
      <c r="D1722" s="13" t="s">
        <v>13564</v>
      </c>
      <c r="E1722" s="13" t="s">
        <v>1150</v>
      </c>
      <c r="F1722" s="15">
        <v>367</v>
      </c>
      <c r="G1722" s="15">
        <v>367</v>
      </c>
    </row>
    <row r="1723" spans="1:7">
      <c r="A1723" s="14">
        <v>7040</v>
      </c>
      <c r="B1723" s="13" t="s">
        <v>14981</v>
      </c>
      <c r="C1723" s="13" t="s">
        <v>14982</v>
      </c>
      <c r="D1723" s="13" t="s">
        <v>13564</v>
      </c>
      <c r="E1723" s="13" t="s">
        <v>1150</v>
      </c>
      <c r="F1723" s="15">
        <v>367</v>
      </c>
      <c r="G1723" s="15">
        <v>367</v>
      </c>
    </row>
    <row r="1724" spans="1:7">
      <c r="A1724" s="14">
        <v>7045</v>
      </c>
      <c r="B1724" s="13" t="s">
        <v>14983</v>
      </c>
      <c r="C1724" s="13" t="s">
        <v>14984</v>
      </c>
      <c r="D1724" s="13" t="s">
        <v>13564</v>
      </c>
      <c r="E1724" s="13" t="s">
        <v>1150</v>
      </c>
      <c r="F1724" s="15">
        <v>367</v>
      </c>
      <c r="G1724" s="15">
        <v>367</v>
      </c>
    </row>
    <row r="1725" spans="1:7">
      <c r="A1725" s="14">
        <v>7050</v>
      </c>
      <c r="B1725" s="13" t="s">
        <v>14985</v>
      </c>
      <c r="C1725" s="13" t="s">
        <v>12881</v>
      </c>
      <c r="D1725" s="13" t="s">
        <v>13564</v>
      </c>
      <c r="E1725" s="13" t="s">
        <v>1150</v>
      </c>
      <c r="F1725" s="15">
        <v>367</v>
      </c>
      <c r="G1725" s="15">
        <v>367</v>
      </c>
    </row>
    <row r="1726" spans="1:7">
      <c r="A1726" s="14">
        <v>7055</v>
      </c>
      <c r="B1726" s="13" t="s">
        <v>14986</v>
      </c>
      <c r="C1726" s="13" t="s">
        <v>14987</v>
      </c>
      <c r="D1726" s="13" t="s">
        <v>13564</v>
      </c>
      <c r="E1726" s="13" t="s">
        <v>1150</v>
      </c>
      <c r="F1726" s="15">
        <v>367</v>
      </c>
      <c r="G1726" s="15">
        <v>367</v>
      </c>
    </row>
    <row r="1727" spans="1:7">
      <c r="A1727" s="14">
        <v>7060</v>
      </c>
      <c r="B1727" s="13" t="s">
        <v>14988</v>
      </c>
      <c r="C1727" s="13" t="s">
        <v>14989</v>
      </c>
      <c r="D1727" s="13" t="s">
        <v>13564</v>
      </c>
      <c r="E1727" s="13" t="s">
        <v>1150</v>
      </c>
      <c r="F1727" s="15">
        <v>367</v>
      </c>
      <c r="G1727" s="15">
        <v>367</v>
      </c>
    </row>
    <row r="1728" spans="1:7">
      <c r="A1728" s="14">
        <v>7065</v>
      </c>
      <c r="B1728" s="13" t="s">
        <v>14990</v>
      </c>
      <c r="C1728" s="13" t="s">
        <v>14991</v>
      </c>
      <c r="D1728" s="13" t="s">
        <v>13564</v>
      </c>
      <c r="E1728" s="13" t="s">
        <v>1150</v>
      </c>
      <c r="F1728" s="15">
        <v>367</v>
      </c>
      <c r="G1728" s="15">
        <v>367</v>
      </c>
    </row>
    <row r="1729" spans="1:7">
      <c r="A1729" s="14">
        <v>7070</v>
      </c>
      <c r="B1729" s="13" t="s">
        <v>14992</v>
      </c>
      <c r="C1729" s="13" t="s">
        <v>14993</v>
      </c>
      <c r="D1729" s="13" t="s">
        <v>13564</v>
      </c>
      <c r="E1729" s="13" t="s">
        <v>1150</v>
      </c>
      <c r="F1729" s="15">
        <v>367</v>
      </c>
      <c r="G1729" s="15">
        <v>367</v>
      </c>
    </row>
    <row r="1730" spans="1:7">
      <c r="A1730" s="14">
        <v>7075</v>
      </c>
      <c r="B1730" s="13" t="s">
        <v>14994</v>
      </c>
      <c r="C1730" s="13" t="s">
        <v>14995</v>
      </c>
      <c r="D1730" s="13" t="s">
        <v>13564</v>
      </c>
      <c r="E1730" s="13" t="s">
        <v>1150</v>
      </c>
      <c r="F1730" s="15">
        <v>367</v>
      </c>
      <c r="G1730" s="15">
        <v>367</v>
      </c>
    </row>
    <row r="1731" spans="1:7">
      <c r="A1731" s="14">
        <v>7080</v>
      </c>
      <c r="B1731" s="13" t="s">
        <v>14996</v>
      </c>
      <c r="C1731" s="13" t="s">
        <v>14997</v>
      </c>
      <c r="D1731" s="13" t="s">
        <v>13564</v>
      </c>
      <c r="E1731" s="13" t="s">
        <v>1150</v>
      </c>
      <c r="F1731" s="15">
        <v>367</v>
      </c>
      <c r="G1731" s="15">
        <v>367</v>
      </c>
    </row>
    <row r="1732" spans="1:7">
      <c r="A1732" s="14">
        <v>7085</v>
      </c>
      <c r="B1732" s="13" t="s">
        <v>14998</v>
      </c>
      <c r="C1732" s="13" t="s">
        <v>14999</v>
      </c>
      <c r="D1732" s="13" t="s">
        <v>13564</v>
      </c>
      <c r="E1732" s="13" t="s">
        <v>1150</v>
      </c>
      <c r="F1732" s="15">
        <v>367</v>
      </c>
      <c r="G1732" s="15">
        <v>367</v>
      </c>
    </row>
    <row r="1733" spans="1:7">
      <c r="A1733" s="14">
        <v>7090</v>
      </c>
      <c r="B1733" s="13" t="s">
        <v>15000</v>
      </c>
      <c r="C1733" s="13" t="s">
        <v>15001</v>
      </c>
      <c r="D1733" s="13" t="s">
        <v>13564</v>
      </c>
      <c r="E1733" s="13" t="s">
        <v>1150</v>
      </c>
      <c r="F1733" s="15">
        <v>367</v>
      </c>
      <c r="G1733" s="15">
        <v>367</v>
      </c>
    </row>
    <row r="1734" spans="1:7">
      <c r="A1734" s="14">
        <v>7095</v>
      </c>
      <c r="B1734" s="13" t="s">
        <v>15002</v>
      </c>
      <c r="C1734" s="13" t="s">
        <v>15003</v>
      </c>
      <c r="D1734" s="13" t="s">
        <v>13564</v>
      </c>
      <c r="E1734" s="13" t="s">
        <v>1150</v>
      </c>
      <c r="F1734" s="15">
        <v>367</v>
      </c>
      <c r="G1734" s="15">
        <v>367</v>
      </c>
    </row>
    <row r="1735" spans="1:7">
      <c r="A1735" s="14">
        <v>7100</v>
      </c>
      <c r="B1735" s="13" t="s">
        <v>15004</v>
      </c>
      <c r="C1735" s="13" t="s">
        <v>15005</v>
      </c>
      <c r="D1735" s="13" t="s">
        <v>13564</v>
      </c>
      <c r="E1735" s="13" t="s">
        <v>1150</v>
      </c>
      <c r="F1735" s="15">
        <v>367</v>
      </c>
      <c r="G1735" s="15">
        <v>367</v>
      </c>
    </row>
    <row r="1736" spans="1:7">
      <c r="A1736" s="14">
        <v>7102</v>
      </c>
      <c r="B1736" s="13" t="s">
        <v>15006</v>
      </c>
      <c r="C1736" s="13" t="s">
        <v>15007</v>
      </c>
      <c r="D1736" s="13" t="s">
        <v>13564</v>
      </c>
      <c r="E1736" s="13" t="s">
        <v>1150</v>
      </c>
      <c r="F1736" s="15">
        <v>37834</v>
      </c>
      <c r="G1736" s="15">
        <v>37834</v>
      </c>
    </row>
    <row r="1737" spans="1:7">
      <c r="A1737" s="14">
        <v>7105</v>
      </c>
      <c r="B1737" s="13" t="s">
        <v>15008</v>
      </c>
      <c r="C1737" s="13" t="s">
        <v>15009</v>
      </c>
      <c r="D1737" s="13" t="s">
        <v>13564</v>
      </c>
      <c r="E1737" s="13" t="s">
        <v>1150</v>
      </c>
      <c r="F1737" s="15">
        <v>367</v>
      </c>
      <c r="G1737" s="15">
        <v>367</v>
      </c>
    </row>
    <row r="1738" spans="1:7">
      <c r="A1738" s="14">
        <v>7110</v>
      </c>
      <c r="B1738" s="13" t="s">
        <v>15010</v>
      </c>
      <c r="C1738" s="13" t="s">
        <v>15011</v>
      </c>
      <c r="D1738" s="13" t="s">
        <v>13564</v>
      </c>
      <c r="E1738" s="13" t="s">
        <v>1150</v>
      </c>
      <c r="F1738" s="15">
        <v>367</v>
      </c>
      <c r="G1738" s="15">
        <v>367</v>
      </c>
    </row>
    <row r="1739" spans="1:7">
      <c r="A1739" s="14">
        <v>7115</v>
      </c>
      <c r="B1739" s="13" t="s">
        <v>15012</v>
      </c>
      <c r="C1739" s="13" t="s">
        <v>15013</v>
      </c>
      <c r="D1739" s="13" t="s">
        <v>13564</v>
      </c>
      <c r="E1739" s="13" t="s">
        <v>1150</v>
      </c>
      <c r="F1739" s="15">
        <v>367</v>
      </c>
      <c r="G1739" s="15">
        <v>367</v>
      </c>
    </row>
    <row r="1740" spans="1:7">
      <c r="A1740" s="14">
        <v>7120</v>
      </c>
      <c r="B1740" s="13" t="s">
        <v>15014</v>
      </c>
      <c r="C1740" s="13" t="s">
        <v>15015</v>
      </c>
      <c r="D1740" s="13" t="s">
        <v>13564</v>
      </c>
      <c r="E1740" s="13" t="s">
        <v>1150</v>
      </c>
      <c r="F1740" s="15">
        <v>367</v>
      </c>
      <c r="G1740" s="15">
        <v>367</v>
      </c>
    </row>
    <row r="1741" spans="1:7">
      <c r="A1741" s="14">
        <v>7125</v>
      </c>
      <c r="B1741" s="13" t="s">
        <v>15016</v>
      </c>
      <c r="C1741" s="13" t="s">
        <v>15017</v>
      </c>
      <c r="D1741" s="13" t="s">
        <v>13564</v>
      </c>
      <c r="E1741" s="13" t="s">
        <v>1150</v>
      </c>
      <c r="F1741" s="15">
        <v>367</v>
      </c>
      <c r="G1741" s="15">
        <v>367</v>
      </c>
    </row>
    <row r="1742" spans="1:7">
      <c r="A1742" s="14">
        <v>7130</v>
      </c>
      <c r="B1742" s="13" t="s">
        <v>15018</v>
      </c>
      <c r="C1742" s="13" t="s">
        <v>15019</v>
      </c>
      <c r="D1742" s="13" t="s">
        <v>13564</v>
      </c>
      <c r="E1742" s="13" t="s">
        <v>1150</v>
      </c>
      <c r="F1742" s="15">
        <v>367</v>
      </c>
      <c r="G1742" s="15">
        <v>367</v>
      </c>
    </row>
    <row r="1743" spans="1:7">
      <c r="A1743" s="14">
        <v>7135</v>
      </c>
      <c r="B1743" s="13" t="s">
        <v>15020</v>
      </c>
      <c r="C1743" s="13" t="s">
        <v>15021</v>
      </c>
      <c r="D1743" s="13" t="s">
        <v>13564</v>
      </c>
      <c r="E1743" s="13" t="s">
        <v>1150</v>
      </c>
      <c r="F1743" s="15">
        <v>367</v>
      </c>
      <c r="G1743" s="15">
        <v>367</v>
      </c>
    </row>
    <row r="1744" spans="1:7">
      <c r="A1744" s="14">
        <v>7140</v>
      </c>
      <c r="B1744" s="13" t="s">
        <v>15022</v>
      </c>
      <c r="C1744" s="13" t="s">
        <v>15023</v>
      </c>
      <c r="D1744" s="13" t="s">
        <v>13564</v>
      </c>
      <c r="E1744" s="13" t="s">
        <v>1150</v>
      </c>
      <c r="F1744" s="15">
        <v>367</v>
      </c>
      <c r="G1744" s="15">
        <v>367</v>
      </c>
    </row>
    <row r="1745" spans="1:7">
      <c r="A1745" s="14">
        <v>7145</v>
      </c>
      <c r="B1745" s="13" t="s">
        <v>15024</v>
      </c>
      <c r="C1745" s="13" t="s">
        <v>15025</v>
      </c>
      <c r="D1745" s="13" t="s">
        <v>13564</v>
      </c>
      <c r="E1745" s="13" t="s">
        <v>1150</v>
      </c>
      <c r="F1745" s="15">
        <v>367</v>
      </c>
      <c r="G1745" s="15">
        <v>367</v>
      </c>
    </row>
    <row r="1746" spans="1:7">
      <c r="A1746" s="14">
        <v>7150</v>
      </c>
      <c r="B1746" s="13" t="s">
        <v>15026</v>
      </c>
      <c r="C1746" s="13" t="s">
        <v>15027</v>
      </c>
      <c r="D1746" s="13" t="s">
        <v>13564</v>
      </c>
      <c r="E1746" s="13" t="s">
        <v>1150</v>
      </c>
      <c r="F1746" s="15">
        <v>367</v>
      </c>
      <c r="G1746" s="15">
        <v>367</v>
      </c>
    </row>
    <row r="1747" spans="1:7">
      <c r="A1747" s="14">
        <v>7155</v>
      </c>
      <c r="B1747" s="13" t="s">
        <v>15028</v>
      </c>
      <c r="C1747" s="13" t="s">
        <v>15029</v>
      </c>
      <c r="D1747" s="13" t="s">
        <v>13564</v>
      </c>
      <c r="E1747" s="13" t="s">
        <v>1150</v>
      </c>
      <c r="F1747" s="15">
        <v>367</v>
      </c>
      <c r="G1747" s="15">
        <v>367</v>
      </c>
    </row>
    <row r="1748" spans="1:7">
      <c r="A1748" s="14">
        <v>7160</v>
      </c>
      <c r="B1748" s="13" t="s">
        <v>15030</v>
      </c>
      <c r="C1748" s="13" t="s">
        <v>15031</v>
      </c>
      <c r="D1748" s="13" t="s">
        <v>13564</v>
      </c>
      <c r="E1748" s="13" t="s">
        <v>1150</v>
      </c>
      <c r="F1748" s="15">
        <v>367</v>
      </c>
      <c r="G1748" s="15">
        <v>367</v>
      </c>
    </row>
    <row r="1749" spans="1:7">
      <c r="A1749" s="14">
        <v>7165</v>
      </c>
      <c r="B1749" s="13" t="s">
        <v>15032</v>
      </c>
      <c r="C1749" s="13" t="s">
        <v>15033</v>
      </c>
      <c r="D1749" s="13" t="s">
        <v>13564</v>
      </c>
      <c r="E1749" s="13" t="s">
        <v>1150</v>
      </c>
      <c r="F1749" s="15">
        <v>367</v>
      </c>
      <c r="G1749" s="15">
        <v>367</v>
      </c>
    </row>
    <row r="1750" spans="1:7">
      <c r="A1750" s="14">
        <v>7170</v>
      </c>
      <c r="B1750" s="13" t="s">
        <v>15034</v>
      </c>
      <c r="C1750" s="13" t="s">
        <v>15035</v>
      </c>
      <c r="D1750" s="13" t="s">
        <v>13564</v>
      </c>
      <c r="E1750" s="13" t="s">
        <v>1150</v>
      </c>
      <c r="F1750" s="15">
        <v>367</v>
      </c>
      <c r="G1750" s="15">
        <v>367</v>
      </c>
    </row>
    <row r="1751" spans="1:7">
      <c r="A1751" s="14">
        <v>7175</v>
      </c>
      <c r="B1751" s="13" t="s">
        <v>15036</v>
      </c>
      <c r="C1751" s="13" t="s">
        <v>15037</v>
      </c>
      <c r="D1751" s="13" t="s">
        <v>13564</v>
      </c>
      <c r="E1751" s="13" t="s">
        <v>1150</v>
      </c>
      <c r="F1751" s="15">
        <v>367</v>
      </c>
      <c r="G1751" s="15">
        <v>367</v>
      </c>
    </row>
    <row r="1752" spans="1:7">
      <c r="A1752" s="14">
        <v>7180</v>
      </c>
      <c r="B1752" s="13" t="s">
        <v>15038</v>
      </c>
      <c r="C1752" s="13" t="s">
        <v>15039</v>
      </c>
      <c r="D1752" s="13" t="s">
        <v>13564</v>
      </c>
      <c r="E1752" s="13" t="s">
        <v>1150</v>
      </c>
      <c r="F1752" s="15">
        <v>367</v>
      </c>
      <c r="G1752" s="15">
        <v>367</v>
      </c>
    </row>
    <row r="1753" spans="1:7">
      <c r="A1753" s="14">
        <v>7185</v>
      </c>
      <c r="B1753" s="13" t="s">
        <v>15040</v>
      </c>
      <c r="C1753" s="13" t="s">
        <v>15041</v>
      </c>
      <c r="D1753" s="13" t="s">
        <v>13564</v>
      </c>
      <c r="E1753" s="13" t="s">
        <v>1150</v>
      </c>
      <c r="F1753" s="15">
        <v>367</v>
      </c>
      <c r="G1753" s="15">
        <v>367</v>
      </c>
    </row>
    <row r="1754" spans="1:7">
      <c r="A1754" s="14">
        <v>7190</v>
      </c>
      <c r="B1754" s="13" t="s">
        <v>15042</v>
      </c>
      <c r="C1754" s="13" t="s">
        <v>15043</v>
      </c>
      <c r="D1754" s="13" t="s">
        <v>13564</v>
      </c>
      <c r="E1754" s="13" t="s">
        <v>1150</v>
      </c>
      <c r="F1754" s="15">
        <v>367</v>
      </c>
      <c r="G1754" s="15">
        <v>367</v>
      </c>
    </row>
    <row r="1755" spans="1:7">
      <c r="A1755" s="14">
        <v>7195</v>
      </c>
      <c r="B1755" s="13" t="s">
        <v>15044</v>
      </c>
      <c r="C1755" s="13" t="s">
        <v>15045</v>
      </c>
      <c r="D1755" s="13" t="s">
        <v>13564</v>
      </c>
      <c r="E1755" s="13" t="s">
        <v>1150</v>
      </c>
      <c r="F1755" s="15">
        <v>367</v>
      </c>
      <c r="G1755" s="15">
        <v>367</v>
      </c>
    </row>
    <row r="1756" spans="1:7">
      <c r="A1756" s="14">
        <v>7194</v>
      </c>
      <c r="B1756" s="13" t="s">
        <v>15046</v>
      </c>
      <c r="C1756" s="13" t="s">
        <v>15047</v>
      </c>
      <c r="D1756" s="13" t="s">
        <v>13564</v>
      </c>
      <c r="E1756" s="13" t="s">
        <v>1150</v>
      </c>
      <c r="F1756" s="15">
        <v>38323</v>
      </c>
      <c r="G1756" s="15">
        <v>38323</v>
      </c>
    </row>
    <row r="1757" spans="1:7">
      <c r="A1757" s="14">
        <v>7196</v>
      </c>
      <c r="B1757" s="13" t="s">
        <v>15048</v>
      </c>
      <c r="C1757" s="13" t="s">
        <v>15049</v>
      </c>
      <c r="D1757" s="13" t="s">
        <v>13564</v>
      </c>
      <c r="E1757" s="13" t="s">
        <v>1150</v>
      </c>
      <c r="F1757" s="15">
        <v>38323</v>
      </c>
      <c r="G1757" s="15">
        <v>38323</v>
      </c>
    </row>
    <row r="1758" spans="1:7">
      <c r="A1758" s="14">
        <v>7197</v>
      </c>
      <c r="B1758" s="13" t="s">
        <v>15050</v>
      </c>
      <c r="C1758" s="13" t="s">
        <v>15051</v>
      </c>
      <c r="D1758" s="13" t="s">
        <v>13564</v>
      </c>
      <c r="E1758" s="13" t="s">
        <v>1150</v>
      </c>
      <c r="F1758" s="15">
        <v>38323</v>
      </c>
      <c r="G1758" s="15">
        <v>38323</v>
      </c>
    </row>
    <row r="1759" spans="1:7">
      <c r="A1759" s="14">
        <v>7198</v>
      </c>
      <c r="B1759" s="13" t="s">
        <v>15052</v>
      </c>
      <c r="C1759" s="13" t="s">
        <v>15053</v>
      </c>
      <c r="D1759" s="13" t="s">
        <v>13564</v>
      </c>
      <c r="E1759" s="13" t="s">
        <v>1150</v>
      </c>
      <c r="F1759" s="15">
        <v>39965</v>
      </c>
      <c r="G1759" s="15">
        <v>39965</v>
      </c>
    </row>
    <row r="1760" spans="1:7">
      <c r="A1760" s="14">
        <v>7200</v>
      </c>
      <c r="B1760" s="13" t="s">
        <v>15054</v>
      </c>
      <c r="C1760" s="13" t="s">
        <v>15055</v>
      </c>
      <c r="D1760" s="13" t="s">
        <v>13564</v>
      </c>
      <c r="E1760" s="13" t="s">
        <v>1150</v>
      </c>
      <c r="F1760" s="15">
        <v>367</v>
      </c>
      <c r="G1760" s="15">
        <v>367</v>
      </c>
    </row>
    <row r="1761" spans="1:7">
      <c r="A1761" s="14">
        <v>7205</v>
      </c>
      <c r="B1761" s="13" t="s">
        <v>15056</v>
      </c>
      <c r="C1761" s="13" t="s">
        <v>15057</v>
      </c>
      <c r="D1761" s="13" t="s">
        <v>13564</v>
      </c>
      <c r="E1761" s="13" t="s">
        <v>1150</v>
      </c>
      <c r="F1761" s="15">
        <v>367</v>
      </c>
      <c r="G1761" s="15">
        <v>367</v>
      </c>
    </row>
    <row r="1762" spans="1:7">
      <c r="A1762" s="14">
        <v>7210</v>
      </c>
      <c r="B1762" s="13" t="s">
        <v>15058</v>
      </c>
      <c r="C1762" s="13" t="s">
        <v>14089</v>
      </c>
      <c r="D1762" s="13" t="s">
        <v>13564</v>
      </c>
      <c r="E1762" s="13" t="s">
        <v>1150</v>
      </c>
      <c r="F1762" s="15">
        <v>367</v>
      </c>
      <c r="G1762" s="15">
        <v>367</v>
      </c>
    </row>
    <row r="1763" spans="1:7">
      <c r="A1763" s="14">
        <v>7215</v>
      </c>
      <c r="B1763" s="13" t="s">
        <v>15059</v>
      </c>
      <c r="C1763" s="13" t="s">
        <v>15060</v>
      </c>
      <c r="D1763" s="13" t="s">
        <v>13564</v>
      </c>
      <c r="E1763" s="13" t="s">
        <v>1150</v>
      </c>
      <c r="F1763" s="15">
        <v>367</v>
      </c>
      <c r="G1763" s="15">
        <v>367</v>
      </c>
    </row>
    <row r="1764" spans="1:7">
      <c r="A1764" s="14">
        <v>7220</v>
      </c>
      <c r="B1764" s="13" t="s">
        <v>15061</v>
      </c>
      <c r="C1764" s="13" t="s">
        <v>15062</v>
      </c>
      <c r="D1764" s="13" t="s">
        <v>13564</v>
      </c>
      <c r="E1764" s="13" t="s">
        <v>1150</v>
      </c>
      <c r="F1764" s="15">
        <v>367</v>
      </c>
      <c r="G1764" s="15">
        <v>367</v>
      </c>
    </row>
    <row r="1765" spans="1:7">
      <c r="A1765" s="14">
        <v>7225</v>
      </c>
      <c r="B1765" s="13" t="s">
        <v>15063</v>
      </c>
      <c r="C1765" s="13" t="s">
        <v>15064</v>
      </c>
      <c r="D1765" s="13" t="s">
        <v>13564</v>
      </c>
      <c r="E1765" s="13" t="s">
        <v>1150</v>
      </c>
      <c r="F1765" s="15">
        <v>367</v>
      </c>
      <c r="G1765" s="15">
        <v>367</v>
      </c>
    </row>
    <row r="1766" spans="1:7">
      <c r="A1766" s="14">
        <v>7230</v>
      </c>
      <c r="B1766" s="13" t="s">
        <v>15065</v>
      </c>
      <c r="C1766" s="13" t="s">
        <v>15066</v>
      </c>
      <c r="D1766" s="13" t="s">
        <v>13564</v>
      </c>
      <c r="E1766" s="13" t="s">
        <v>1150</v>
      </c>
      <c r="F1766" s="15">
        <v>367</v>
      </c>
      <c r="G1766" s="15">
        <v>367</v>
      </c>
    </row>
    <row r="1767" spans="1:7">
      <c r="A1767" s="14">
        <v>7231</v>
      </c>
      <c r="B1767" s="13" t="s">
        <v>15067</v>
      </c>
      <c r="C1767" s="13" t="s">
        <v>15068</v>
      </c>
      <c r="D1767" s="13" t="s">
        <v>13564</v>
      </c>
      <c r="E1767" s="13" t="s">
        <v>1150</v>
      </c>
      <c r="F1767" s="15">
        <v>368</v>
      </c>
      <c r="G1767" s="15">
        <v>368</v>
      </c>
    </row>
    <row r="1768" spans="1:7">
      <c r="A1768" s="14">
        <v>7232</v>
      </c>
      <c r="B1768" s="13" t="s">
        <v>15069</v>
      </c>
      <c r="C1768" s="13" t="s">
        <v>15070</v>
      </c>
      <c r="D1768" s="13" t="s">
        <v>13564</v>
      </c>
      <c r="E1768" s="13" t="s">
        <v>1150</v>
      </c>
      <c r="F1768" s="15">
        <v>368</v>
      </c>
      <c r="G1768" s="15">
        <v>368</v>
      </c>
    </row>
    <row r="1769" spans="1:7">
      <c r="A1769" s="14">
        <v>7235</v>
      </c>
      <c r="B1769" s="13" t="s">
        <v>15071</v>
      </c>
      <c r="C1769" s="13" t="s">
        <v>15072</v>
      </c>
      <c r="D1769" s="13" t="s">
        <v>13564</v>
      </c>
      <c r="E1769" s="13" t="s">
        <v>1150</v>
      </c>
      <c r="F1769" s="15">
        <v>367</v>
      </c>
      <c r="G1769" s="15">
        <v>367</v>
      </c>
    </row>
    <row r="1770" spans="1:7">
      <c r="A1770" s="14">
        <v>7236</v>
      </c>
      <c r="B1770" s="13" t="s">
        <v>15073</v>
      </c>
      <c r="C1770" s="13" t="s">
        <v>15074</v>
      </c>
      <c r="D1770" s="13" t="s">
        <v>13564</v>
      </c>
      <c r="E1770" s="13" t="s">
        <v>1150</v>
      </c>
      <c r="F1770" s="15">
        <v>39965</v>
      </c>
      <c r="G1770" s="15">
        <v>39965</v>
      </c>
    </row>
    <row r="1771" spans="1:7">
      <c r="A1771" s="14">
        <v>7240</v>
      </c>
      <c r="B1771" s="13" t="s">
        <v>15075</v>
      </c>
      <c r="C1771" s="13" t="s">
        <v>15076</v>
      </c>
      <c r="D1771" s="13" t="s">
        <v>13564</v>
      </c>
      <c r="E1771" s="13" t="s">
        <v>1150</v>
      </c>
      <c r="F1771" s="15">
        <v>367</v>
      </c>
      <c r="G1771" s="15">
        <v>367</v>
      </c>
    </row>
    <row r="1772" spans="1:7">
      <c r="A1772" s="14">
        <v>7245</v>
      </c>
      <c r="B1772" s="13" t="s">
        <v>15077</v>
      </c>
      <c r="C1772" s="13" t="s">
        <v>15078</v>
      </c>
      <c r="D1772" s="13" t="s">
        <v>13564</v>
      </c>
      <c r="E1772" s="13" t="s">
        <v>1150</v>
      </c>
      <c r="F1772" s="15">
        <v>367</v>
      </c>
      <c r="G1772" s="15">
        <v>367</v>
      </c>
    </row>
    <row r="1773" spans="1:7">
      <c r="A1773" s="14">
        <v>7250</v>
      </c>
      <c r="B1773" s="13" t="s">
        <v>15079</v>
      </c>
      <c r="C1773" s="13" t="s">
        <v>15080</v>
      </c>
      <c r="D1773" s="13" t="s">
        <v>13564</v>
      </c>
      <c r="E1773" s="13" t="s">
        <v>1150</v>
      </c>
      <c r="F1773" s="15">
        <v>367</v>
      </c>
      <c r="G1773" s="15">
        <v>367</v>
      </c>
    </row>
    <row r="1774" spans="1:7">
      <c r="A1774" s="14">
        <v>7255</v>
      </c>
      <c r="B1774" s="13" t="s">
        <v>15081</v>
      </c>
      <c r="C1774" s="13" t="s">
        <v>15082</v>
      </c>
      <c r="D1774" s="13" t="s">
        <v>13564</v>
      </c>
      <c r="E1774" s="13" t="s">
        <v>1150</v>
      </c>
      <c r="F1774" s="15">
        <v>367</v>
      </c>
      <c r="G1774" s="15">
        <v>367</v>
      </c>
    </row>
    <row r="1775" spans="1:7">
      <c r="A1775" s="14">
        <v>7260</v>
      </c>
      <c r="B1775" s="13" t="s">
        <v>15083</v>
      </c>
      <c r="C1775" s="13" t="s">
        <v>15084</v>
      </c>
      <c r="D1775" s="13" t="s">
        <v>13564</v>
      </c>
      <c r="E1775" s="13" t="s">
        <v>1150</v>
      </c>
      <c r="F1775" s="15">
        <v>367</v>
      </c>
      <c r="G1775" s="15">
        <v>367</v>
      </c>
    </row>
    <row r="1776" spans="1:7">
      <c r="A1776" s="14">
        <v>7265</v>
      </c>
      <c r="B1776" s="13" t="s">
        <v>15085</v>
      </c>
      <c r="C1776" s="13" t="s">
        <v>15086</v>
      </c>
      <c r="D1776" s="13" t="s">
        <v>13564</v>
      </c>
      <c r="E1776" s="13" t="s">
        <v>1150</v>
      </c>
      <c r="F1776" s="15">
        <v>367</v>
      </c>
      <c r="G1776" s="15">
        <v>367</v>
      </c>
    </row>
    <row r="1777" spans="1:7">
      <c r="A1777" s="14">
        <v>7267</v>
      </c>
      <c r="B1777" s="13" t="s">
        <v>15087</v>
      </c>
      <c r="C1777" s="13" t="s">
        <v>15088</v>
      </c>
      <c r="D1777" s="13" t="s">
        <v>13564</v>
      </c>
      <c r="E1777" s="13" t="s">
        <v>1150</v>
      </c>
      <c r="F1777" s="15">
        <v>43852</v>
      </c>
      <c r="G1777" s="15">
        <v>43852</v>
      </c>
    </row>
    <row r="1778" spans="1:7">
      <c r="A1778" s="14">
        <v>7270</v>
      </c>
      <c r="B1778" s="13" t="s">
        <v>15089</v>
      </c>
      <c r="C1778" s="13" t="s">
        <v>15090</v>
      </c>
      <c r="D1778" s="13" t="s">
        <v>13564</v>
      </c>
      <c r="E1778" s="13" t="s">
        <v>1150</v>
      </c>
      <c r="F1778" s="15">
        <v>367</v>
      </c>
      <c r="G1778" s="15">
        <v>367</v>
      </c>
    </row>
    <row r="1779" spans="1:7">
      <c r="A1779" s="14">
        <v>7275</v>
      </c>
      <c r="B1779" s="13" t="s">
        <v>15091</v>
      </c>
      <c r="C1779" s="13" t="s">
        <v>15092</v>
      </c>
      <c r="D1779" s="13" t="s">
        <v>13564</v>
      </c>
      <c r="E1779" s="13" t="s">
        <v>1150</v>
      </c>
      <c r="F1779" s="15">
        <v>367</v>
      </c>
      <c r="G1779" s="15">
        <v>367</v>
      </c>
    </row>
    <row r="1780" spans="1:7">
      <c r="A1780" s="14">
        <v>7280</v>
      </c>
      <c r="B1780" s="13" t="s">
        <v>15093</v>
      </c>
      <c r="C1780" s="13" t="s">
        <v>15094</v>
      </c>
      <c r="D1780" s="13" t="s">
        <v>13564</v>
      </c>
      <c r="E1780" s="13" t="s">
        <v>1150</v>
      </c>
      <c r="F1780" s="15">
        <v>367</v>
      </c>
      <c r="G1780" s="15">
        <v>367</v>
      </c>
    </row>
    <row r="1781" spans="1:7">
      <c r="A1781" s="14">
        <v>7285</v>
      </c>
      <c r="B1781" s="13" t="s">
        <v>15095</v>
      </c>
      <c r="C1781" s="13" t="s">
        <v>15096</v>
      </c>
      <c r="D1781" s="13" t="s">
        <v>13564</v>
      </c>
      <c r="E1781" s="13" t="s">
        <v>1150</v>
      </c>
      <c r="F1781" s="15">
        <v>367</v>
      </c>
      <c r="G1781" s="15">
        <v>367</v>
      </c>
    </row>
    <row r="1782" spans="1:7">
      <c r="A1782" s="14">
        <v>7290</v>
      </c>
      <c r="B1782" s="13" t="s">
        <v>15097</v>
      </c>
      <c r="C1782" s="13" t="s">
        <v>15098</v>
      </c>
      <c r="D1782" s="13" t="s">
        <v>13564</v>
      </c>
      <c r="E1782" s="13" t="s">
        <v>1150</v>
      </c>
      <c r="F1782" s="15">
        <v>367</v>
      </c>
      <c r="G1782" s="15">
        <v>367</v>
      </c>
    </row>
    <row r="1783" spans="1:7">
      <c r="A1783" s="14">
        <v>7295</v>
      </c>
      <c r="B1783" s="13" t="s">
        <v>15099</v>
      </c>
      <c r="C1783" s="13" t="s">
        <v>15100</v>
      </c>
      <c r="D1783" s="13" t="s">
        <v>13564</v>
      </c>
      <c r="E1783" s="13" t="s">
        <v>1150</v>
      </c>
      <c r="F1783" s="15">
        <v>367</v>
      </c>
      <c r="G1783" s="15">
        <v>367</v>
      </c>
    </row>
    <row r="1784" spans="1:7">
      <c r="A1784" s="14">
        <v>7300</v>
      </c>
      <c r="B1784" s="13" t="s">
        <v>15101</v>
      </c>
      <c r="C1784" s="13" t="s">
        <v>15102</v>
      </c>
      <c r="D1784" s="13" t="s">
        <v>13564</v>
      </c>
      <c r="E1784" s="13" t="s">
        <v>1150</v>
      </c>
      <c r="F1784" s="15">
        <v>367</v>
      </c>
      <c r="G1784" s="15">
        <v>367</v>
      </c>
    </row>
    <row r="1785" spans="1:7">
      <c r="A1785" s="14">
        <v>7305</v>
      </c>
      <c r="B1785" s="13" t="s">
        <v>15103</v>
      </c>
      <c r="C1785" s="13" t="s">
        <v>15104</v>
      </c>
      <c r="D1785" s="13" t="s">
        <v>13564</v>
      </c>
      <c r="E1785" s="13" t="s">
        <v>1150</v>
      </c>
      <c r="F1785" s="15">
        <v>367</v>
      </c>
      <c r="G1785" s="15">
        <v>367</v>
      </c>
    </row>
    <row r="1786" spans="1:7">
      <c r="A1786" s="14">
        <v>7310</v>
      </c>
      <c r="B1786" s="13" t="s">
        <v>15105</v>
      </c>
      <c r="C1786" s="13" t="s">
        <v>15106</v>
      </c>
      <c r="D1786" s="13" t="s">
        <v>13564</v>
      </c>
      <c r="E1786" s="13" t="s">
        <v>1150</v>
      </c>
      <c r="F1786" s="15">
        <v>367</v>
      </c>
      <c r="G1786" s="15">
        <v>367</v>
      </c>
    </row>
    <row r="1787" spans="1:7">
      <c r="A1787" s="14">
        <v>7315</v>
      </c>
      <c r="B1787" s="13" t="s">
        <v>15107</v>
      </c>
      <c r="C1787" s="13" t="s">
        <v>15108</v>
      </c>
      <c r="D1787" s="13" t="s">
        <v>13564</v>
      </c>
      <c r="E1787" s="13" t="s">
        <v>1150</v>
      </c>
      <c r="F1787" s="15">
        <v>367</v>
      </c>
      <c r="G1787" s="15">
        <v>367</v>
      </c>
    </row>
    <row r="1788" spans="1:7">
      <c r="A1788" s="14">
        <v>7320</v>
      </c>
      <c r="B1788" s="13" t="s">
        <v>15109</v>
      </c>
      <c r="C1788" s="13" t="s">
        <v>15110</v>
      </c>
      <c r="D1788" s="13" t="s">
        <v>13564</v>
      </c>
      <c r="E1788" s="13" t="s">
        <v>1150</v>
      </c>
      <c r="F1788" s="15">
        <v>367</v>
      </c>
      <c r="G1788" s="15">
        <v>367</v>
      </c>
    </row>
    <row r="1789" spans="1:7">
      <c r="A1789" s="14">
        <v>7325</v>
      </c>
      <c r="B1789" s="13" t="s">
        <v>15111</v>
      </c>
      <c r="C1789" s="13" t="s">
        <v>15112</v>
      </c>
      <c r="D1789" s="13" t="s">
        <v>13564</v>
      </c>
      <c r="E1789" s="13" t="s">
        <v>1150</v>
      </c>
      <c r="F1789" s="15">
        <v>367</v>
      </c>
      <c r="G1789" s="15">
        <v>367</v>
      </c>
    </row>
    <row r="1790" spans="1:7">
      <c r="A1790" s="14">
        <v>7330</v>
      </c>
      <c r="B1790" s="13" t="s">
        <v>15113</v>
      </c>
      <c r="C1790" s="13" t="s">
        <v>15114</v>
      </c>
      <c r="D1790" s="13" t="s">
        <v>13564</v>
      </c>
      <c r="E1790" s="13" t="s">
        <v>1150</v>
      </c>
      <c r="F1790" s="15">
        <v>367</v>
      </c>
      <c r="G1790" s="15">
        <v>367</v>
      </c>
    </row>
    <row r="1791" spans="1:7">
      <c r="A1791" s="14">
        <v>7335</v>
      </c>
      <c r="B1791" s="13" t="s">
        <v>15115</v>
      </c>
      <c r="C1791" s="13" t="s">
        <v>15116</v>
      </c>
      <c r="D1791" s="13" t="s">
        <v>13564</v>
      </c>
      <c r="E1791" s="13" t="s">
        <v>1150</v>
      </c>
      <c r="F1791" s="15">
        <v>367</v>
      </c>
      <c r="G1791" s="15">
        <v>367</v>
      </c>
    </row>
    <row r="1792" spans="1:7">
      <c r="A1792" s="14">
        <v>7338</v>
      </c>
      <c r="B1792" s="13" t="s">
        <v>15117</v>
      </c>
      <c r="C1792" s="13" t="s">
        <v>15118</v>
      </c>
      <c r="D1792" s="13" t="s">
        <v>13564</v>
      </c>
      <c r="E1792" s="13" t="s">
        <v>1150</v>
      </c>
      <c r="F1792" s="15">
        <v>368</v>
      </c>
      <c r="G1792" s="15">
        <v>368</v>
      </c>
    </row>
    <row r="1793" spans="1:7">
      <c r="A1793" s="14">
        <v>7340</v>
      </c>
      <c r="B1793" s="13" t="s">
        <v>15119</v>
      </c>
      <c r="C1793" s="13" t="s">
        <v>15120</v>
      </c>
      <c r="D1793" s="13" t="s">
        <v>13564</v>
      </c>
      <c r="E1793" s="13" t="s">
        <v>1150</v>
      </c>
      <c r="F1793" s="15">
        <v>367</v>
      </c>
      <c r="G1793" s="15">
        <v>367</v>
      </c>
    </row>
    <row r="1794" spans="1:7">
      <c r="A1794" s="14">
        <v>7344</v>
      </c>
      <c r="B1794" s="13" t="s">
        <v>15121</v>
      </c>
      <c r="C1794" s="13" t="s">
        <v>15122</v>
      </c>
      <c r="D1794" s="13" t="s">
        <v>13564</v>
      </c>
      <c r="E1794" s="13" t="s">
        <v>1150</v>
      </c>
      <c r="F1794" s="15">
        <v>367</v>
      </c>
      <c r="G1794" s="15">
        <v>367</v>
      </c>
    </row>
    <row r="1795" spans="1:7">
      <c r="A1795" s="14">
        <v>7345</v>
      </c>
      <c r="B1795" s="13" t="s">
        <v>15123</v>
      </c>
      <c r="C1795" s="13" t="s">
        <v>15124</v>
      </c>
      <c r="D1795" s="13" t="s">
        <v>13564</v>
      </c>
      <c r="E1795" s="13" t="s">
        <v>1150</v>
      </c>
      <c r="F1795" s="15">
        <v>368</v>
      </c>
      <c r="G1795" s="15">
        <v>368</v>
      </c>
    </row>
    <row r="1796" spans="1:7">
      <c r="A1796" s="14">
        <v>7346</v>
      </c>
      <c r="B1796" s="13" t="s">
        <v>15125</v>
      </c>
      <c r="C1796" s="13" t="s">
        <v>15126</v>
      </c>
      <c r="D1796" s="13" t="s">
        <v>13564</v>
      </c>
      <c r="E1796" s="13" t="s">
        <v>1150</v>
      </c>
      <c r="F1796" s="15">
        <v>368</v>
      </c>
      <c r="G1796" s="15">
        <v>368</v>
      </c>
    </row>
    <row r="1797" spans="1:7">
      <c r="A1797" s="14">
        <v>7347</v>
      </c>
      <c r="B1797" s="13" t="s">
        <v>15127</v>
      </c>
      <c r="C1797" s="13" t="s">
        <v>15128</v>
      </c>
      <c r="D1797" s="13" t="s">
        <v>13564</v>
      </c>
      <c r="E1797" s="13" t="s">
        <v>1150</v>
      </c>
      <c r="F1797" s="15">
        <v>37622</v>
      </c>
      <c r="G1797" s="15">
        <v>37622</v>
      </c>
    </row>
    <row r="1798" spans="1:7">
      <c r="A1798" s="14">
        <v>7349</v>
      </c>
      <c r="B1798" s="13" t="s">
        <v>15129</v>
      </c>
      <c r="C1798" s="13" t="s">
        <v>15130</v>
      </c>
      <c r="D1798" s="13" t="s">
        <v>13564</v>
      </c>
      <c r="E1798" s="13" t="s">
        <v>1150</v>
      </c>
      <c r="F1798" s="15">
        <v>37622</v>
      </c>
      <c r="G1798" s="15">
        <v>37622</v>
      </c>
    </row>
    <row r="1799" spans="1:7">
      <c r="A1799" s="14">
        <v>7350</v>
      </c>
      <c r="B1799" s="13" t="s">
        <v>15131</v>
      </c>
      <c r="C1799" s="13" t="s">
        <v>15132</v>
      </c>
      <c r="D1799" s="13" t="s">
        <v>13564</v>
      </c>
      <c r="E1799" s="13" t="s">
        <v>1150</v>
      </c>
      <c r="F1799" s="15">
        <v>367</v>
      </c>
      <c r="G1799" s="15">
        <v>367</v>
      </c>
    </row>
    <row r="1800" spans="1:7">
      <c r="A1800" s="14">
        <v>7355</v>
      </c>
      <c r="B1800" s="13" t="s">
        <v>15133</v>
      </c>
      <c r="C1800" s="13" t="s">
        <v>15134</v>
      </c>
      <c r="D1800" s="13" t="s">
        <v>13564</v>
      </c>
      <c r="E1800" s="13" t="s">
        <v>1150</v>
      </c>
      <c r="F1800" s="15">
        <v>367</v>
      </c>
      <c r="G1800" s="15">
        <v>367</v>
      </c>
    </row>
    <row r="1801" spans="1:7">
      <c r="A1801" s="14">
        <v>7358</v>
      </c>
      <c r="B1801" s="13" t="s">
        <v>15135</v>
      </c>
      <c r="C1801" s="13" t="s">
        <v>15136</v>
      </c>
      <c r="D1801" s="13" t="s">
        <v>13564</v>
      </c>
      <c r="E1801" s="13" t="s">
        <v>1150</v>
      </c>
      <c r="F1801" s="15">
        <v>37622</v>
      </c>
      <c r="G1801" s="15">
        <v>37622</v>
      </c>
    </row>
    <row r="1802" spans="1:7">
      <c r="A1802" s="14">
        <v>7360</v>
      </c>
      <c r="B1802" s="13" t="s">
        <v>15137</v>
      </c>
      <c r="C1802" s="13" t="s">
        <v>15138</v>
      </c>
      <c r="D1802" s="13" t="s">
        <v>13564</v>
      </c>
      <c r="E1802" s="13" t="s">
        <v>1150</v>
      </c>
      <c r="F1802" s="15">
        <v>367</v>
      </c>
      <c r="G1802" s="15">
        <v>367</v>
      </c>
    </row>
    <row r="1803" spans="1:7">
      <c r="A1803" s="14">
        <v>7365</v>
      </c>
      <c r="B1803" s="13" t="s">
        <v>15139</v>
      </c>
      <c r="C1803" s="13" t="s">
        <v>15140</v>
      </c>
      <c r="D1803" s="13" t="s">
        <v>13564</v>
      </c>
      <c r="E1803" s="13" t="s">
        <v>1150</v>
      </c>
      <c r="F1803" s="15">
        <v>367</v>
      </c>
      <c r="G1803" s="15">
        <v>367</v>
      </c>
    </row>
    <row r="1804" spans="1:7">
      <c r="A1804" s="14">
        <v>7370</v>
      </c>
      <c r="B1804" s="13" t="s">
        <v>15141</v>
      </c>
      <c r="C1804" s="13" t="s">
        <v>15142</v>
      </c>
      <c r="D1804" s="13" t="s">
        <v>13564</v>
      </c>
      <c r="E1804" s="13" t="s">
        <v>1150</v>
      </c>
      <c r="F1804" s="15">
        <v>367</v>
      </c>
      <c r="G1804" s="15">
        <v>367</v>
      </c>
    </row>
    <row r="1805" spans="1:7">
      <c r="A1805" s="14">
        <v>7375</v>
      </c>
      <c r="B1805" s="13" t="s">
        <v>15143</v>
      </c>
      <c r="C1805" s="13" t="s">
        <v>15144</v>
      </c>
      <c r="D1805" s="13" t="s">
        <v>13564</v>
      </c>
      <c r="E1805" s="13" t="s">
        <v>1150</v>
      </c>
      <c r="F1805" s="15">
        <v>367</v>
      </c>
      <c r="G1805" s="15">
        <v>367</v>
      </c>
    </row>
    <row r="1806" spans="1:7">
      <c r="A1806" s="14">
        <v>7380</v>
      </c>
      <c r="B1806" s="13" t="s">
        <v>15145</v>
      </c>
      <c r="C1806" s="13" t="s">
        <v>15146</v>
      </c>
      <c r="D1806" s="13" t="s">
        <v>13564</v>
      </c>
      <c r="E1806" s="13" t="s">
        <v>1150</v>
      </c>
      <c r="F1806" s="15">
        <v>367</v>
      </c>
      <c r="G1806" s="15">
        <v>367</v>
      </c>
    </row>
    <row r="1807" spans="1:7">
      <c r="A1807" s="14">
        <v>7385</v>
      </c>
      <c r="B1807" s="13" t="s">
        <v>15147</v>
      </c>
      <c r="C1807" s="13" t="s">
        <v>15148</v>
      </c>
      <c r="D1807" s="13" t="s">
        <v>13564</v>
      </c>
      <c r="E1807" s="13" t="s">
        <v>1150</v>
      </c>
      <c r="F1807" s="15">
        <v>367</v>
      </c>
      <c r="G1807" s="15">
        <v>367</v>
      </c>
    </row>
    <row r="1808" spans="1:7">
      <c r="A1808" s="14">
        <v>7390</v>
      </c>
      <c r="B1808" s="13" t="s">
        <v>15149</v>
      </c>
      <c r="C1808" s="13" t="s">
        <v>15150</v>
      </c>
      <c r="D1808" s="13" t="s">
        <v>13564</v>
      </c>
      <c r="E1808" s="13" t="s">
        <v>1150</v>
      </c>
      <c r="F1808" s="15">
        <v>367</v>
      </c>
      <c r="G1808" s="15">
        <v>367</v>
      </c>
    </row>
    <row r="1809" spans="1:7">
      <c r="A1809" s="14">
        <v>7395</v>
      </c>
      <c r="B1809" s="13" t="s">
        <v>15151</v>
      </c>
      <c r="C1809" s="13" t="s">
        <v>15152</v>
      </c>
      <c r="D1809" s="13" t="s">
        <v>13564</v>
      </c>
      <c r="E1809" s="13" t="s">
        <v>1150</v>
      </c>
      <c r="F1809" s="15">
        <v>367</v>
      </c>
      <c r="G1809" s="15">
        <v>367</v>
      </c>
    </row>
    <row r="1810" spans="1:7">
      <c r="A1810" s="14">
        <v>7400</v>
      </c>
      <c r="B1810" s="13" t="s">
        <v>15153</v>
      </c>
      <c r="C1810" s="13" t="s">
        <v>15154</v>
      </c>
      <c r="D1810" s="13" t="s">
        <v>13564</v>
      </c>
      <c r="E1810" s="13" t="s">
        <v>1150</v>
      </c>
      <c r="F1810" s="15">
        <v>367</v>
      </c>
      <c r="G1810" s="15">
        <v>367</v>
      </c>
    </row>
    <row r="1811" spans="1:7">
      <c r="A1811" s="14">
        <v>7405</v>
      </c>
      <c r="B1811" s="13" t="s">
        <v>15155</v>
      </c>
      <c r="C1811" s="13" t="s">
        <v>15156</v>
      </c>
      <c r="D1811" s="13" t="s">
        <v>13564</v>
      </c>
      <c r="E1811" s="13" t="s">
        <v>1150</v>
      </c>
      <c r="F1811" s="15">
        <v>367</v>
      </c>
      <c r="G1811" s="15">
        <v>367</v>
      </c>
    </row>
    <row r="1812" spans="1:7">
      <c r="A1812" s="14">
        <v>7410</v>
      </c>
      <c r="B1812" s="13" t="s">
        <v>15157</v>
      </c>
      <c r="C1812" s="13" t="s">
        <v>15158</v>
      </c>
      <c r="D1812" s="13" t="s">
        <v>13564</v>
      </c>
      <c r="E1812" s="13" t="s">
        <v>1150</v>
      </c>
      <c r="F1812" s="15">
        <v>367</v>
      </c>
      <c r="G1812" s="15">
        <v>367</v>
      </c>
    </row>
    <row r="1813" spans="1:7">
      <c r="A1813" s="14">
        <v>7415</v>
      </c>
      <c r="B1813" s="13" t="s">
        <v>15159</v>
      </c>
      <c r="C1813" s="13" t="s">
        <v>15160</v>
      </c>
      <c r="D1813" s="13" t="s">
        <v>13564</v>
      </c>
      <c r="E1813" s="13" t="s">
        <v>1150</v>
      </c>
      <c r="F1813" s="15">
        <v>367</v>
      </c>
      <c r="G1813" s="15">
        <v>367</v>
      </c>
    </row>
    <row r="1814" spans="1:7">
      <c r="A1814" s="14">
        <v>7420</v>
      </c>
      <c r="B1814" s="13" t="s">
        <v>15161</v>
      </c>
      <c r="C1814" s="13" t="s">
        <v>15162</v>
      </c>
      <c r="D1814" s="13" t="s">
        <v>13564</v>
      </c>
      <c r="E1814" s="13" t="s">
        <v>1150</v>
      </c>
      <c r="F1814" s="15">
        <v>367</v>
      </c>
      <c r="G1814" s="15">
        <v>367</v>
      </c>
    </row>
    <row r="1815" spans="1:7">
      <c r="A1815" s="14">
        <v>7425</v>
      </c>
      <c r="B1815" s="13" t="s">
        <v>15163</v>
      </c>
      <c r="C1815" s="13" t="s">
        <v>15164</v>
      </c>
      <c r="D1815" s="13" t="s">
        <v>13564</v>
      </c>
      <c r="E1815" s="13" t="s">
        <v>1150</v>
      </c>
      <c r="F1815" s="15">
        <v>367</v>
      </c>
      <c r="G1815" s="15">
        <v>367</v>
      </c>
    </row>
    <row r="1816" spans="1:7">
      <c r="A1816" s="14">
        <v>7430</v>
      </c>
      <c r="B1816" s="13" t="s">
        <v>15165</v>
      </c>
      <c r="C1816" s="13" t="s">
        <v>15166</v>
      </c>
      <c r="D1816" s="13" t="s">
        <v>13564</v>
      </c>
      <c r="E1816" s="13" t="s">
        <v>1150</v>
      </c>
      <c r="F1816" s="15">
        <v>367</v>
      </c>
      <c r="G1816" s="15">
        <v>367</v>
      </c>
    </row>
    <row r="1817" spans="1:7">
      <c r="A1817" s="14">
        <v>7435</v>
      </c>
      <c r="B1817" s="13" t="s">
        <v>15167</v>
      </c>
      <c r="C1817" s="13" t="s">
        <v>15168</v>
      </c>
      <c r="D1817" s="13" t="s">
        <v>13564</v>
      </c>
      <c r="E1817" s="13" t="s">
        <v>1150</v>
      </c>
      <c r="F1817" s="15">
        <v>367</v>
      </c>
      <c r="G1817" s="15">
        <v>367</v>
      </c>
    </row>
    <row r="1818" spans="1:7">
      <c r="A1818" s="14">
        <v>7440</v>
      </c>
      <c r="B1818" s="13" t="s">
        <v>15169</v>
      </c>
      <c r="C1818" s="13" t="s">
        <v>15170</v>
      </c>
      <c r="D1818" s="13" t="s">
        <v>13564</v>
      </c>
      <c r="E1818" s="13" t="s">
        <v>1150</v>
      </c>
      <c r="F1818" s="15">
        <v>367</v>
      </c>
      <c r="G1818" s="15">
        <v>367</v>
      </c>
    </row>
    <row r="1819" spans="1:7">
      <c r="A1819" s="14">
        <v>7445</v>
      </c>
      <c r="B1819" s="13" t="s">
        <v>15171</v>
      </c>
      <c r="C1819" s="13" t="s">
        <v>15172</v>
      </c>
      <c r="D1819" s="13" t="s">
        <v>13564</v>
      </c>
      <c r="E1819" s="13" t="s">
        <v>1150</v>
      </c>
      <c r="F1819" s="15">
        <v>367</v>
      </c>
      <c r="G1819" s="15">
        <v>367</v>
      </c>
    </row>
    <row r="1820" spans="1:7">
      <c r="A1820" s="14">
        <v>7450</v>
      </c>
      <c r="B1820" s="13" t="s">
        <v>15173</v>
      </c>
      <c r="C1820" s="13" t="s">
        <v>15174</v>
      </c>
      <c r="D1820" s="13" t="s">
        <v>13564</v>
      </c>
      <c r="E1820" s="13" t="s">
        <v>1150</v>
      </c>
      <c r="F1820" s="15">
        <v>367</v>
      </c>
      <c r="G1820" s="15">
        <v>367</v>
      </c>
    </row>
    <row r="1821" spans="1:7">
      <c r="A1821" s="14">
        <v>7455</v>
      </c>
      <c r="B1821" s="13" t="s">
        <v>15175</v>
      </c>
      <c r="C1821" s="13" t="s">
        <v>15176</v>
      </c>
      <c r="D1821" s="13" t="s">
        <v>13564</v>
      </c>
      <c r="E1821" s="13" t="s">
        <v>1150</v>
      </c>
      <c r="F1821" s="15">
        <v>367</v>
      </c>
      <c r="G1821" s="15">
        <v>367</v>
      </c>
    </row>
    <row r="1822" spans="1:7">
      <c r="A1822" s="14">
        <v>7460</v>
      </c>
      <c r="B1822" s="13" t="s">
        <v>15177</v>
      </c>
      <c r="C1822" s="13" t="s">
        <v>15178</v>
      </c>
      <c r="D1822" s="13" t="s">
        <v>13564</v>
      </c>
      <c r="E1822" s="13" t="s">
        <v>1150</v>
      </c>
      <c r="F1822" s="15">
        <v>367</v>
      </c>
      <c r="G1822" s="15">
        <v>367</v>
      </c>
    </row>
    <row r="1823" spans="1:7">
      <c r="A1823" s="14">
        <v>7465</v>
      </c>
      <c r="B1823" s="13" t="s">
        <v>15179</v>
      </c>
      <c r="C1823" s="13" t="s">
        <v>15180</v>
      </c>
      <c r="D1823" s="13" t="s">
        <v>13564</v>
      </c>
      <c r="E1823" s="13" t="s">
        <v>1150</v>
      </c>
      <c r="F1823" s="15">
        <v>367</v>
      </c>
      <c r="G1823" s="15">
        <v>367</v>
      </c>
    </row>
    <row r="1824" spans="1:7">
      <c r="A1824" s="14">
        <v>7470</v>
      </c>
      <c r="B1824" s="13" t="s">
        <v>15181</v>
      </c>
      <c r="C1824" s="13" t="s">
        <v>15182</v>
      </c>
      <c r="D1824" s="13" t="s">
        <v>13564</v>
      </c>
      <c r="E1824" s="13" t="s">
        <v>1150</v>
      </c>
      <c r="F1824" s="15">
        <v>367</v>
      </c>
      <c r="G1824" s="15">
        <v>367</v>
      </c>
    </row>
    <row r="1825" spans="1:7">
      <c r="A1825" s="14">
        <v>7475</v>
      </c>
      <c r="B1825" s="13" t="s">
        <v>15183</v>
      </c>
      <c r="C1825" s="13" t="s">
        <v>15184</v>
      </c>
      <c r="D1825" s="13" t="s">
        <v>13564</v>
      </c>
      <c r="E1825" s="13" t="s">
        <v>1150</v>
      </c>
      <c r="F1825" s="15">
        <v>367</v>
      </c>
      <c r="G1825" s="15">
        <v>367</v>
      </c>
    </row>
    <row r="1826" spans="1:7">
      <c r="A1826" s="14">
        <v>7480</v>
      </c>
      <c r="B1826" s="13" t="s">
        <v>15185</v>
      </c>
      <c r="C1826" s="13" t="s">
        <v>15186</v>
      </c>
      <c r="D1826" s="13" t="s">
        <v>13564</v>
      </c>
      <c r="E1826" s="13" t="s">
        <v>1150</v>
      </c>
      <c r="F1826" s="15">
        <v>367</v>
      </c>
      <c r="G1826" s="15">
        <v>367</v>
      </c>
    </row>
    <row r="1827" spans="1:7">
      <c r="A1827" s="14">
        <v>7485</v>
      </c>
      <c r="B1827" s="13" t="s">
        <v>15187</v>
      </c>
      <c r="C1827" s="13" t="s">
        <v>15188</v>
      </c>
      <c r="D1827" s="13" t="s">
        <v>13564</v>
      </c>
      <c r="E1827" s="13" t="s">
        <v>1150</v>
      </c>
      <c r="F1827" s="15">
        <v>367</v>
      </c>
      <c r="G1827" s="15">
        <v>367</v>
      </c>
    </row>
    <row r="1828" spans="1:7">
      <c r="A1828" s="14">
        <v>7490</v>
      </c>
      <c r="B1828" s="13" t="s">
        <v>15189</v>
      </c>
      <c r="C1828" s="13" t="s">
        <v>15190</v>
      </c>
      <c r="D1828" s="13" t="s">
        <v>13564</v>
      </c>
      <c r="E1828" s="13" t="s">
        <v>1150</v>
      </c>
      <c r="F1828" s="15">
        <v>367</v>
      </c>
      <c r="G1828" s="15">
        <v>367</v>
      </c>
    </row>
    <row r="1829" spans="1:7">
      <c r="A1829" s="14">
        <v>7495</v>
      </c>
      <c r="B1829" s="13" t="s">
        <v>15191</v>
      </c>
      <c r="C1829" s="13" t="s">
        <v>15192</v>
      </c>
      <c r="D1829" s="13" t="s">
        <v>13564</v>
      </c>
      <c r="E1829" s="13" t="s">
        <v>1150</v>
      </c>
      <c r="F1829" s="15">
        <v>367</v>
      </c>
      <c r="G1829" s="15">
        <v>367</v>
      </c>
    </row>
    <row r="1830" spans="1:7">
      <c r="A1830" s="14">
        <v>7500</v>
      </c>
      <c r="B1830" s="13" t="s">
        <v>15193</v>
      </c>
      <c r="C1830" s="13" t="s">
        <v>15194</v>
      </c>
      <c r="D1830" s="13" t="s">
        <v>13564</v>
      </c>
      <c r="E1830" s="13" t="s">
        <v>1150</v>
      </c>
      <c r="F1830" s="15">
        <v>367</v>
      </c>
      <c r="G1830" s="15">
        <v>367</v>
      </c>
    </row>
    <row r="1831" spans="1:7">
      <c r="A1831" s="14">
        <v>7505</v>
      </c>
      <c r="B1831" s="13" t="s">
        <v>15195</v>
      </c>
      <c r="C1831" s="13" t="s">
        <v>15196</v>
      </c>
      <c r="D1831" s="13" t="s">
        <v>13564</v>
      </c>
      <c r="E1831" s="13" t="s">
        <v>1150</v>
      </c>
      <c r="F1831" s="15">
        <v>367</v>
      </c>
      <c r="G1831" s="15">
        <v>367</v>
      </c>
    </row>
    <row r="1832" spans="1:7">
      <c r="A1832" s="14">
        <v>7510</v>
      </c>
      <c r="B1832" s="13" t="s">
        <v>15197</v>
      </c>
      <c r="C1832" s="13" t="s">
        <v>15198</v>
      </c>
      <c r="D1832" s="13" t="s">
        <v>13564</v>
      </c>
      <c r="E1832" s="13" t="s">
        <v>1150</v>
      </c>
      <c r="F1832" s="15">
        <v>367</v>
      </c>
      <c r="G1832" s="15">
        <v>367</v>
      </c>
    </row>
    <row r="1833" spans="1:7">
      <c r="A1833" s="14">
        <v>7515</v>
      </c>
      <c r="B1833" s="13" t="s">
        <v>15199</v>
      </c>
      <c r="C1833" s="13" t="s">
        <v>15200</v>
      </c>
      <c r="D1833" s="13" t="s">
        <v>13564</v>
      </c>
      <c r="E1833" s="13" t="s">
        <v>1150</v>
      </c>
      <c r="F1833" s="15">
        <v>367</v>
      </c>
      <c r="G1833" s="15">
        <v>367</v>
      </c>
    </row>
    <row r="1834" spans="1:7">
      <c r="A1834" s="14">
        <v>7520</v>
      </c>
      <c r="B1834" s="13" t="s">
        <v>15201</v>
      </c>
      <c r="C1834" s="13" t="s">
        <v>15202</v>
      </c>
      <c r="D1834" s="13" t="s">
        <v>13564</v>
      </c>
      <c r="E1834" s="13" t="s">
        <v>1150</v>
      </c>
      <c r="F1834" s="15">
        <v>367</v>
      </c>
      <c r="G1834" s="15">
        <v>367</v>
      </c>
    </row>
    <row r="1835" spans="1:7">
      <c r="A1835" s="14">
        <v>7525</v>
      </c>
      <c r="B1835" s="13" t="s">
        <v>15203</v>
      </c>
      <c r="C1835" s="13" t="s">
        <v>15204</v>
      </c>
      <c r="D1835" s="13" t="s">
        <v>13564</v>
      </c>
      <c r="E1835" s="13" t="s">
        <v>1150</v>
      </c>
      <c r="F1835" s="15">
        <v>367</v>
      </c>
      <c r="G1835" s="15">
        <v>367</v>
      </c>
    </row>
    <row r="1836" spans="1:7">
      <c r="A1836" s="14">
        <v>7530</v>
      </c>
      <c r="B1836" s="13" t="s">
        <v>15205</v>
      </c>
      <c r="C1836" s="13" t="s">
        <v>15206</v>
      </c>
      <c r="D1836" s="13" t="s">
        <v>13564</v>
      </c>
      <c r="E1836" s="13" t="s">
        <v>1150</v>
      </c>
      <c r="F1836" s="15">
        <v>367</v>
      </c>
      <c r="G1836" s="15">
        <v>367</v>
      </c>
    </row>
    <row r="1837" spans="1:7">
      <c r="A1837" s="14">
        <v>7535</v>
      </c>
      <c r="B1837" s="13" t="s">
        <v>15207</v>
      </c>
      <c r="C1837" s="13" t="s">
        <v>15208</v>
      </c>
      <c r="D1837" s="13" t="s">
        <v>13564</v>
      </c>
      <c r="E1837" s="13" t="s">
        <v>1150</v>
      </c>
      <c r="F1837" s="15">
        <v>367</v>
      </c>
      <c r="G1837" s="15">
        <v>367</v>
      </c>
    </row>
    <row r="1838" spans="1:7">
      <c r="A1838" s="14">
        <v>7540</v>
      </c>
      <c r="B1838" s="13" t="s">
        <v>15209</v>
      </c>
      <c r="C1838" s="13" t="s">
        <v>15210</v>
      </c>
      <c r="D1838" s="13" t="s">
        <v>13564</v>
      </c>
      <c r="E1838" s="13" t="s">
        <v>1150</v>
      </c>
      <c r="F1838" s="15">
        <v>367</v>
      </c>
      <c r="G1838" s="15">
        <v>367</v>
      </c>
    </row>
    <row r="1839" spans="1:7">
      <c r="A1839" s="14">
        <v>7545</v>
      </c>
      <c r="B1839" s="13" t="s">
        <v>15211</v>
      </c>
      <c r="C1839" s="13" t="s">
        <v>15212</v>
      </c>
      <c r="D1839" s="13" t="s">
        <v>13564</v>
      </c>
      <c r="E1839" s="13" t="s">
        <v>1150</v>
      </c>
      <c r="F1839" s="15">
        <v>367</v>
      </c>
      <c r="G1839" s="15">
        <v>367</v>
      </c>
    </row>
    <row r="1840" spans="1:7">
      <c r="A1840" s="14">
        <v>7550</v>
      </c>
      <c r="B1840" s="13" t="s">
        <v>15213</v>
      </c>
      <c r="C1840" s="13" t="s">
        <v>15214</v>
      </c>
      <c r="D1840" s="13" t="s">
        <v>13564</v>
      </c>
      <c r="E1840" s="13" t="s">
        <v>1150</v>
      </c>
      <c r="F1840" s="15">
        <v>367</v>
      </c>
      <c r="G1840" s="15">
        <v>367</v>
      </c>
    </row>
    <row r="1841" spans="1:7">
      <c r="A1841" s="14">
        <v>7555</v>
      </c>
      <c r="B1841" s="13" t="s">
        <v>15215</v>
      </c>
      <c r="C1841" s="13" t="s">
        <v>15216</v>
      </c>
      <c r="D1841" s="13" t="s">
        <v>13564</v>
      </c>
      <c r="E1841" s="13" t="s">
        <v>1150</v>
      </c>
      <c r="F1841" s="15">
        <v>367</v>
      </c>
      <c r="G1841" s="15">
        <v>367</v>
      </c>
    </row>
    <row r="1842" spans="1:7">
      <c r="A1842" s="14">
        <v>7560</v>
      </c>
      <c r="B1842" s="13" t="s">
        <v>15217</v>
      </c>
      <c r="C1842" s="13" t="s">
        <v>15218</v>
      </c>
      <c r="D1842" s="13" t="s">
        <v>13564</v>
      </c>
      <c r="E1842" s="13" t="s">
        <v>1150</v>
      </c>
      <c r="F1842" s="15">
        <v>367</v>
      </c>
      <c r="G1842" s="15">
        <v>367</v>
      </c>
    </row>
    <row r="1843" spans="1:7">
      <c r="A1843" s="14">
        <v>7561</v>
      </c>
      <c r="B1843" s="13" t="s">
        <v>15219</v>
      </c>
      <c r="C1843" s="13" t="s">
        <v>15220</v>
      </c>
      <c r="D1843" s="13" t="s">
        <v>13564</v>
      </c>
      <c r="E1843" s="13" t="s">
        <v>1150</v>
      </c>
      <c r="F1843" s="15">
        <v>37762</v>
      </c>
      <c r="G1843" s="15">
        <v>37762</v>
      </c>
    </row>
    <row r="1844" spans="1:7">
      <c r="A1844" s="14">
        <v>7563</v>
      </c>
      <c r="B1844" s="13" t="s">
        <v>15221</v>
      </c>
      <c r="C1844" s="13" t="s">
        <v>15222</v>
      </c>
      <c r="D1844" s="13" t="s">
        <v>13564</v>
      </c>
      <c r="E1844" s="13" t="s">
        <v>1150</v>
      </c>
      <c r="F1844" s="15">
        <v>37762</v>
      </c>
      <c r="G1844" s="15">
        <v>37762</v>
      </c>
    </row>
    <row r="1845" spans="1:7">
      <c r="A1845" s="14">
        <v>7565</v>
      </c>
      <c r="B1845" s="13" t="s">
        <v>15223</v>
      </c>
      <c r="C1845" s="13" t="s">
        <v>15224</v>
      </c>
      <c r="D1845" s="13" t="s">
        <v>13564</v>
      </c>
      <c r="E1845" s="13" t="s">
        <v>1150</v>
      </c>
      <c r="F1845" s="15">
        <v>367</v>
      </c>
      <c r="G1845" s="15">
        <v>367</v>
      </c>
    </row>
    <row r="1846" spans="1:7">
      <c r="A1846" s="14">
        <v>7570</v>
      </c>
      <c r="B1846" s="13" t="s">
        <v>15225</v>
      </c>
      <c r="C1846" s="13" t="s">
        <v>15226</v>
      </c>
      <c r="D1846" s="13" t="s">
        <v>13564</v>
      </c>
      <c r="E1846" s="13" t="s">
        <v>1150</v>
      </c>
      <c r="F1846" s="15">
        <v>367</v>
      </c>
      <c r="G1846" s="15">
        <v>367</v>
      </c>
    </row>
    <row r="1847" spans="1:7">
      <c r="A1847" s="14">
        <v>7575</v>
      </c>
      <c r="B1847" s="13" t="s">
        <v>15227</v>
      </c>
      <c r="C1847" s="13" t="s">
        <v>15228</v>
      </c>
      <c r="D1847" s="13" t="s">
        <v>13564</v>
      </c>
      <c r="E1847" s="13" t="s">
        <v>1150</v>
      </c>
      <c r="F1847" s="15">
        <v>367</v>
      </c>
      <c r="G1847" s="15">
        <v>367</v>
      </c>
    </row>
    <row r="1848" spans="1:7">
      <c r="A1848" s="14">
        <v>7580</v>
      </c>
      <c r="B1848" s="13" t="s">
        <v>15229</v>
      </c>
      <c r="C1848" s="13" t="s">
        <v>15230</v>
      </c>
      <c r="D1848" s="13" t="s">
        <v>13564</v>
      </c>
      <c r="E1848" s="13" t="s">
        <v>1150</v>
      </c>
      <c r="F1848" s="15">
        <v>367</v>
      </c>
      <c r="G1848" s="15">
        <v>367</v>
      </c>
    </row>
    <row r="1849" spans="1:7">
      <c r="A1849" s="14">
        <v>7585</v>
      </c>
      <c r="B1849" s="13" t="s">
        <v>15231</v>
      </c>
      <c r="C1849" s="13" t="s">
        <v>15232</v>
      </c>
      <c r="D1849" s="13" t="s">
        <v>13564</v>
      </c>
      <c r="E1849" s="13" t="s">
        <v>1150</v>
      </c>
      <c r="F1849" s="15">
        <v>367</v>
      </c>
      <c r="G1849" s="15">
        <v>367</v>
      </c>
    </row>
    <row r="1850" spans="1:7">
      <c r="A1850" s="14">
        <v>7590</v>
      </c>
      <c r="B1850" s="13" t="s">
        <v>15233</v>
      </c>
      <c r="C1850" s="13" t="s">
        <v>15234</v>
      </c>
      <c r="D1850" s="13" t="s">
        <v>13564</v>
      </c>
      <c r="E1850" s="13" t="s">
        <v>1150</v>
      </c>
      <c r="F1850" s="15">
        <v>367</v>
      </c>
      <c r="G1850" s="15">
        <v>367</v>
      </c>
    </row>
    <row r="1851" spans="1:7">
      <c r="A1851" s="14">
        <v>7595</v>
      </c>
      <c r="B1851" s="13" t="s">
        <v>15235</v>
      </c>
      <c r="C1851" s="13" t="s">
        <v>15236</v>
      </c>
      <c r="D1851" s="13" t="s">
        <v>13564</v>
      </c>
      <c r="E1851" s="13" t="s">
        <v>1150</v>
      </c>
      <c r="F1851" s="15">
        <v>367</v>
      </c>
      <c r="G1851" s="15">
        <v>367</v>
      </c>
    </row>
    <row r="1852" spans="1:7">
      <c r="A1852" s="14">
        <v>7600</v>
      </c>
      <c r="B1852" s="13" t="s">
        <v>15237</v>
      </c>
      <c r="C1852" s="13" t="s">
        <v>15238</v>
      </c>
      <c r="D1852" s="13" t="s">
        <v>13564</v>
      </c>
      <c r="E1852" s="13" t="s">
        <v>1150</v>
      </c>
      <c r="F1852" s="15">
        <v>367</v>
      </c>
      <c r="G1852" s="15">
        <v>367</v>
      </c>
    </row>
    <row r="1853" spans="1:7">
      <c r="A1853" s="14">
        <v>7602</v>
      </c>
      <c r="B1853" s="13" t="s">
        <v>15239</v>
      </c>
      <c r="C1853" s="13" t="s">
        <v>15240</v>
      </c>
      <c r="D1853" s="13" t="s">
        <v>13564</v>
      </c>
      <c r="E1853" s="13" t="s">
        <v>1150</v>
      </c>
      <c r="F1853" s="15">
        <v>37762</v>
      </c>
      <c r="G1853" s="15">
        <v>37762</v>
      </c>
    </row>
    <row r="1854" spans="1:7">
      <c r="A1854" s="14">
        <v>7605</v>
      </c>
      <c r="B1854" s="13" t="s">
        <v>15241</v>
      </c>
      <c r="C1854" s="13" t="s">
        <v>15242</v>
      </c>
      <c r="D1854" s="13" t="s">
        <v>13564</v>
      </c>
      <c r="E1854" s="13" t="s">
        <v>1150</v>
      </c>
      <c r="F1854" s="15">
        <v>367</v>
      </c>
      <c r="G1854" s="15">
        <v>367</v>
      </c>
    </row>
    <row r="1855" spans="1:7">
      <c r="A1855" s="14">
        <v>7607</v>
      </c>
      <c r="B1855" s="13" t="s">
        <v>15243</v>
      </c>
      <c r="C1855" s="13" t="s">
        <v>15244</v>
      </c>
      <c r="D1855" s="13" t="s">
        <v>13564</v>
      </c>
      <c r="E1855" s="13" t="s">
        <v>1150</v>
      </c>
      <c r="F1855" s="15">
        <v>37762</v>
      </c>
      <c r="G1855" s="15">
        <v>37762</v>
      </c>
    </row>
    <row r="1856" spans="1:7">
      <c r="A1856" s="14">
        <v>7608</v>
      </c>
      <c r="B1856" s="13" t="s">
        <v>15245</v>
      </c>
      <c r="C1856" s="13" t="s">
        <v>15246</v>
      </c>
      <c r="D1856" s="13" t="s">
        <v>13564</v>
      </c>
      <c r="E1856" s="13" t="s">
        <v>1150</v>
      </c>
      <c r="F1856" s="15">
        <v>37762</v>
      </c>
      <c r="G1856" s="15">
        <v>37762</v>
      </c>
    </row>
    <row r="1857" spans="1:7">
      <c r="A1857" s="14">
        <v>7609</v>
      </c>
      <c r="B1857" s="13" t="s">
        <v>15247</v>
      </c>
      <c r="C1857" s="13" t="s">
        <v>15248</v>
      </c>
      <c r="D1857" s="13" t="s">
        <v>13564</v>
      </c>
      <c r="E1857" s="13" t="s">
        <v>1150</v>
      </c>
      <c r="F1857" s="15">
        <v>37762</v>
      </c>
      <c r="G1857" s="15">
        <v>37762</v>
      </c>
    </row>
    <row r="1858" spans="1:7">
      <c r="A1858" s="14">
        <v>7610</v>
      </c>
      <c r="B1858" s="13" t="s">
        <v>15249</v>
      </c>
      <c r="C1858" s="13" t="s">
        <v>15250</v>
      </c>
      <c r="D1858" s="13" t="s">
        <v>13564</v>
      </c>
      <c r="E1858" s="13" t="s">
        <v>1150</v>
      </c>
      <c r="F1858" s="15">
        <v>367</v>
      </c>
      <c r="G1858" s="15">
        <v>367</v>
      </c>
    </row>
    <row r="1859" spans="1:7">
      <c r="A1859" s="14">
        <v>7615</v>
      </c>
      <c r="B1859" s="13" t="s">
        <v>15251</v>
      </c>
      <c r="C1859" s="13" t="s">
        <v>13003</v>
      </c>
      <c r="D1859" s="13" t="s">
        <v>13564</v>
      </c>
      <c r="E1859" s="13" t="s">
        <v>1150</v>
      </c>
      <c r="F1859" s="15">
        <v>367</v>
      </c>
      <c r="G1859" s="15">
        <v>367</v>
      </c>
    </row>
    <row r="1860" spans="1:7">
      <c r="A1860" s="14">
        <v>7620</v>
      </c>
      <c r="B1860" s="13" t="s">
        <v>15252</v>
      </c>
      <c r="C1860" s="13" t="s">
        <v>15253</v>
      </c>
      <c r="D1860" s="13" t="s">
        <v>13564</v>
      </c>
      <c r="E1860" s="13" t="s">
        <v>1150</v>
      </c>
      <c r="F1860" s="15">
        <v>367</v>
      </c>
      <c r="G1860" s="15">
        <v>367</v>
      </c>
    </row>
    <row r="1861" spans="1:7">
      <c r="A1861" s="14">
        <v>7625</v>
      </c>
      <c r="B1861" s="13" t="s">
        <v>15254</v>
      </c>
      <c r="C1861" s="13" t="s">
        <v>15255</v>
      </c>
      <c r="D1861" s="13" t="s">
        <v>13564</v>
      </c>
      <c r="E1861" s="13" t="s">
        <v>1150</v>
      </c>
      <c r="F1861" s="15">
        <v>367</v>
      </c>
      <c r="G1861" s="15">
        <v>367</v>
      </c>
    </row>
    <row r="1862" spans="1:7">
      <c r="A1862" s="14">
        <v>7630</v>
      </c>
      <c r="B1862" s="13" t="s">
        <v>15256</v>
      </c>
      <c r="C1862" s="13" t="s">
        <v>15257</v>
      </c>
      <c r="D1862" s="13" t="s">
        <v>13564</v>
      </c>
      <c r="E1862" s="13" t="s">
        <v>1150</v>
      </c>
      <c r="F1862" s="15">
        <v>367</v>
      </c>
      <c r="G1862" s="15">
        <v>367</v>
      </c>
    </row>
    <row r="1863" spans="1:7">
      <c r="A1863" s="14">
        <v>7635</v>
      </c>
      <c r="B1863" s="13" t="s">
        <v>15258</v>
      </c>
      <c r="C1863" s="13" t="s">
        <v>15259</v>
      </c>
      <c r="D1863" s="13" t="s">
        <v>13564</v>
      </c>
      <c r="E1863" s="13" t="s">
        <v>1150</v>
      </c>
      <c r="F1863" s="15">
        <v>367</v>
      </c>
      <c r="G1863" s="15">
        <v>367</v>
      </c>
    </row>
    <row r="1864" spans="1:7">
      <c r="A1864" s="14">
        <v>7640</v>
      </c>
      <c r="B1864" s="13" t="s">
        <v>15260</v>
      </c>
      <c r="C1864" s="13" t="s">
        <v>15261</v>
      </c>
      <c r="D1864" s="13" t="s">
        <v>13564</v>
      </c>
      <c r="E1864" s="13" t="s">
        <v>1150</v>
      </c>
      <c r="F1864" s="15">
        <v>367</v>
      </c>
      <c r="G1864" s="15">
        <v>367</v>
      </c>
    </row>
    <row r="1865" spans="1:7">
      <c r="A1865" s="14">
        <v>7645</v>
      </c>
      <c r="B1865" s="13" t="s">
        <v>15262</v>
      </c>
      <c r="C1865" s="13" t="s">
        <v>15263</v>
      </c>
      <c r="D1865" s="13" t="s">
        <v>13564</v>
      </c>
      <c r="E1865" s="13" t="s">
        <v>1150</v>
      </c>
      <c r="F1865" s="15">
        <v>367</v>
      </c>
      <c r="G1865" s="15">
        <v>367</v>
      </c>
    </row>
    <row r="1866" spans="1:7">
      <c r="A1866" s="14">
        <v>7650</v>
      </c>
      <c r="B1866" s="13" t="s">
        <v>15264</v>
      </c>
      <c r="C1866" s="13" t="s">
        <v>14001</v>
      </c>
      <c r="D1866" s="13" t="s">
        <v>13564</v>
      </c>
      <c r="E1866" s="13" t="s">
        <v>1150</v>
      </c>
      <c r="F1866" s="15">
        <v>367</v>
      </c>
      <c r="G1866" s="15">
        <v>367</v>
      </c>
    </row>
    <row r="1867" spans="1:7">
      <c r="A1867" s="14">
        <v>7652</v>
      </c>
      <c r="B1867" s="13" t="s">
        <v>15265</v>
      </c>
      <c r="C1867" s="13" t="s">
        <v>15266</v>
      </c>
      <c r="D1867" s="13" t="s">
        <v>13564</v>
      </c>
      <c r="E1867" s="13" t="s">
        <v>1150</v>
      </c>
      <c r="F1867" s="15">
        <v>37762</v>
      </c>
      <c r="G1867" s="15">
        <v>37762</v>
      </c>
    </row>
    <row r="1868" spans="1:7">
      <c r="A1868" s="14">
        <v>7655</v>
      </c>
      <c r="B1868" s="13" t="s">
        <v>15267</v>
      </c>
      <c r="C1868" s="13" t="s">
        <v>15268</v>
      </c>
      <c r="D1868" s="13" t="s">
        <v>13564</v>
      </c>
      <c r="E1868" s="13" t="s">
        <v>1150</v>
      </c>
      <c r="F1868" s="15">
        <v>367</v>
      </c>
      <c r="G1868" s="15">
        <v>367</v>
      </c>
    </row>
    <row r="1869" spans="1:7">
      <c r="A1869" s="14">
        <v>7660</v>
      </c>
      <c r="B1869" s="13" t="s">
        <v>15269</v>
      </c>
      <c r="C1869" s="13" t="s">
        <v>12481</v>
      </c>
      <c r="D1869" s="13" t="s">
        <v>13564</v>
      </c>
      <c r="E1869" s="13" t="s">
        <v>1150</v>
      </c>
      <c r="F1869" s="15">
        <v>367</v>
      </c>
      <c r="G1869" s="15">
        <v>367</v>
      </c>
    </row>
    <row r="1870" spans="1:7">
      <c r="A1870" s="14">
        <v>7665</v>
      </c>
      <c r="B1870" s="13" t="s">
        <v>15270</v>
      </c>
      <c r="C1870" s="13" t="s">
        <v>15271</v>
      </c>
      <c r="D1870" s="13" t="s">
        <v>13564</v>
      </c>
      <c r="E1870" s="13" t="s">
        <v>1150</v>
      </c>
      <c r="F1870" s="15">
        <v>367</v>
      </c>
      <c r="G1870" s="15">
        <v>367</v>
      </c>
    </row>
    <row r="1871" spans="1:7">
      <c r="A1871" s="14">
        <v>7670</v>
      </c>
      <c r="B1871" s="13" t="s">
        <v>15272</v>
      </c>
      <c r="C1871" s="13" t="s">
        <v>15273</v>
      </c>
      <c r="D1871" s="13" t="s">
        <v>13564</v>
      </c>
      <c r="E1871" s="13" t="s">
        <v>1150</v>
      </c>
      <c r="F1871" s="15">
        <v>367</v>
      </c>
      <c r="G1871" s="15">
        <v>367</v>
      </c>
    </row>
    <row r="1872" spans="1:7">
      <c r="A1872" s="14">
        <v>7672</v>
      </c>
      <c r="B1872" s="13" t="s">
        <v>15274</v>
      </c>
      <c r="C1872" s="13" t="s">
        <v>15275</v>
      </c>
      <c r="D1872" s="13" t="s">
        <v>13564</v>
      </c>
      <c r="E1872" s="13" t="s">
        <v>1150</v>
      </c>
      <c r="F1872" s="15">
        <v>37561</v>
      </c>
      <c r="G1872" s="15">
        <v>37561</v>
      </c>
    </row>
    <row r="1873" spans="1:7">
      <c r="A1873" s="14">
        <v>7675</v>
      </c>
      <c r="B1873" s="13" t="s">
        <v>15276</v>
      </c>
      <c r="C1873" s="13" t="s">
        <v>13128</v>
      </c>
      <c r="D1873" s="13" t="s">
        <v>13564</v>
      </c>
      <c r="E1873" s="13" t="s">
        <v>1150</v>
      </c>
      <c r="F1873" s="15">
        <v>367</v>
      </c>
      <c r="G1873" s="15">
        <v>367</v>
      </c>
    </row>
    <row r="1874" spans="1:7">
      <c r="A1874" s="14">
        <v>7678</v>
      </c>
      <c r="B1874" s="13" t="s">
        <v>15277</v>
      </c>
      <c r="C1874" s="13" t="s">
        <v>15278</v>
      </c>
      <c r="D1874" s="13" t="s">
        <v>13564</v>
      </c>
      <c r="E1874" s="13" t="s">
        <v>1150</v>
      </c>
      <c r="F1874" s="15">
        <v>37762</v>
      </c>
      <c r="G1874" s="15">
        <v>37762</v>
      </c>
    </row>
    <row r="1875" spans="1:7">
      <c r="A1875" s="14">
        <v>7680</v>
      </c>
      <c r="B1875" s="13" t="s">
        <v>15279</v>
      </c>
      <c r="C1875" s="13" t="s">
        <v>15280</v>
      </c>
      <c r="D1875" s="13" t="s">
        <v>13564</v>
      </c>
      <c r="E1875" s="13" t="s">
        <v>1150</v>
      </c>
      <c r="F1875" s="15">
        <v>367</v>
      </c>
      <c r="G1875" s="15">
        <v>367</v>
      </c>
    </row>
    <row r="1876" spans="1:7">
      <c r="A1876" s="14">
        <v>7685</v>
      </c>
      <c r="B1876" s="13" t="s">
        <v>15281</v>
      </c>
      <c r="C1876" s="13" t="s">
        <v>15282</v>
      </c>
      <c r="D1876" s="13" t="s">
        <v>13564</v>
      </c>
      <c r="E1876" s="13" t="s">
        <v>1150</v>
      </c>
      <c r="F1876" s="15">
        <v>367</v>
      </c>
      <c r="G1876" s="15">
        <v>367</v>
      </c>
    </row>
    <row r="1877" spans="1:7">
      <c r="A1877" s="14">
        <v>7690</v>
      </c>
      <c r="B1877" s="13" t="s">
        <v>15283</v>
      </c>
      <c r="C1877" s="13" t="s">
        <v>15284</v>
      </c>
      <c r="D1877" s="13" t="s">
        <v>13564</v>
      </c>
      <c r="E1877" s="13" t="s">
        <v>1150</v>
      </c>
      <c r="F1877" s="15">
        <v>367</v>
      </c>
      <c r="G1877" s="15">
        <v>367</v>
      </c>
    </row>
    <row r="1878" spans="1:7">
      <c r="A1878" s="14">
        <v>7695</v>
      </c>
      <c r="B1878" s="13" t="s">
        <v>15285</v>
      </c>
      <c r="C1878" s="13" t="s">
        <v>15286</v>
      </c>
      <c r="D1878" s="13" t="s">
        <v>13564</v>
      </c>
      <c r="E1878" s="13" t="s">
        <v>1150</v>
      </c>
      <c r="F1878" s="15">
        <v>367</v>
      </c>
      <c r="G1878" s="15">
        <v>367</v>
      </c>
    </row>
    <row r="1879" spans="1:7">
      <c r="A1879" s="14">
        <v>7700</v>
      </c>
      <c r="B1879" s="13" t="s">
        <v>15287</v>
      </c>
      <c r="C1879" s="13" t="s">
        <v>15288</v>
      </c>
      <c r="D1879" s="13" t="s">
        <v>13564</v>
      </c>
      <c r="E1879" s="13" t="s">
        <v>1150</v>
      </c>
      <c r="F1879" s="15">
        <v>367</v>
      </c>
      <c r="G1879" s="15">
        <v>367</v>
      </c>
    </row>
    <row r="1880" spans="1:7">
      <c r="A1880" s="14">
        <v>7705</v>
      </c>
      <c r="B1880" s="13" t="s">
        <v>15289</v>
      </c>
      <c r="C1880" s="13" t="s">
        <v>15290</v>
      </c>
      <c r="D1880" s="13" t="s">
        <v>13564</v>
      </c>
      <c r="E1880" s="13" t="s">
        <v>1150</v>
      </c>
      <c r="F1880" s="15">
        <v>367</v>
      </c>
      <c r="G1880" s="15">
        <v>367</v>
      </c>
    </row>
    <row r="1881" spans="1:7">
      <c r="A1881" s="14">
        <v>7710</v>
      </c>
      <c r="B1881" s="13" t="s">
        <v>15291</v>
      </c>
      <c r="C1881" s="13" t="s">
        <v>15292</v>
      </c>
      <c r="D1881" s="13" t="s">
        <v>13564</v>
      </c>
      <c r="E1881" s="13" t="s">
        <v>1150</v>
      </c>
      <c r="F1881" s="15">
        <v>367</v>
      </c>
      <c r="G1881" s="15">
        <v>367</v>
      </c>
    </row>
    <row r="1882" spans="1:7">
      <c r="A1882" s="14">
        <v>7715</v>
      </c>
      <c r="B1882" s="13" t="s">
        <v>15293</v>
      </c>
      <c r="C1882" s="13" t="s">
        <v>15294</v>
      </c>
      <c r="D1882" s="13" t="s">
        <v>13564</v>
      </c>
      <c r="E1882" s="13" t="s">
        <v>1150</v>
      </c>
      <c r="F1882" s="15">
        <v>367</v>
      </c>
      <c r="G1882" s="15">
        <v>367</v>
      </c>
    </row>
    <row r="1883" spans="1:7">
      <c r="A1883" s="14">
        <v>7717</v>
      </c>
      <c r="B1883" s="13" t="s">
        <v>15295</v>
      </c>
      <c r="C1883" s="13" t="s">
        <v>15296</v>
      </c>
      <c r="D1883" s="13" t="s">
        <v>13564</v>
      </c>
      <c r="E1883" s="13" t="s">
        <v>1150</v>
      </c>
      <c r="F1883" s="15">
        <v>37762</v>
      </c>
      <c r="G1883" s="15">
        <v>37762</v>
      </c>
    </row>
    <row r="1884" spans="1:7">
      <c r="A1884" s="14">
        <v>7720</v>
      </c>
      <c r="B1884" s="13" t="s">
        <v>15297</v>
      </c>
      <c r="C1884" s="13" t="s">
        <v>15298</v>
      </c>
      <c r="D1884" s="13" t="s">
        <v>13564</v>
      </c>
      <c r="E1884" s="13" t="s">
        <v>1150</v>
      </c>
      <c r="F1884" s="15">
        <v>367</v>
      </c>
      <c r="G1884" s="15">
        <v>367</v>
      </c>
    </row>
    <row r="1885" spans="1:7">
      <c r="A1885" s="14">
        <v>7725</v>
      </c>
      <c r="B1885" s="13" t="s">
        <v>15299</v>
      </c>
      <c r="C1885" s="13" t="s">
        <v>15300</v>
      </c>
      <c r="D1885" s="13" t="s">
        <v>13564</v>
      </c>
      <c r="E1885" s="13" t="s">
        <v>1150</v>
      </c>
      <c r="F1885" s="15">
        <v>367</v>
      </c>
      <c r="G1885" s="15">
        <v>367</v>
      </c>
    </row>
    <row r="1886" spans="1:7">
      <c r="A1886" s="14">
        <v>7730</v>
      </c>
      <c r="B1886" s="13" t="s">
        <v>15301</v>
      </c>
      <c r="C1886" s="13" t="s">
        <v>15302</v>
      </c>
      <c r="D1886" s="13" t="s">
        <v>13564</v>
      </c>
      <c r="E1886" s="13" t="s">
        <v>1150</v>
      </c>
      <c r="F1886" s="15">
        <v>367</v>
      </c>
      <c r="G1886" s="15">
        <v>367</v>
      </c>
    </row>
    <row r="1887" spans="1:7">
      <c r="A1887" s="14">
        <v>7732</v>
      </c>
      <c r="B1887" s="13" t="s">
        <v>15303</v>
      </c>
      <c r="C1887" s="13" t="s">
        <v>15304</v>
      </c>
      <c r="D1887" s="13" t="s">
        <v>13564</v>
      </c>
      <c r="E1887" s="13" t="s">
        <v>1150</v>
      </c>
      <c r="F1887" s="15">
        <v>37762</v>
      </c>
      <c r="G1887" s="15">
        <v>37762</v>
      </c>
    </row>
    <row r="1888" spans="1:7">
      <c r="A1888" s="14">
        <v>7735</v>
      </c>
      <c r="B1888" s="13" t="s">
        <v>15305</v>
      </c>
      <c r="C1888" s="13" t="s">
        <v>15306</v>
      </c>
      <c r="D1888" s="13" t="s">
        <v>13564</v>
      </c>
      <c r="E1888" s="13" t="s">
        <v>1150</v>
      </c>
      <c r="F1888" s="15">
        <v>367</v>
      </c>
      <c r="G1888" s="15">
        <v>367</v>
      </c>
    </row>
    <row r="1889" spans="1:7">
      <c r="A1889" s="14">
        <v>7740</v>
      </c>
      <c r="B1889" s="13" t="s">
        <v>15307</v>
      </c>
      <c r="C1889" s="13" t="s">
        <v>15308</v>
      </c>
      <c r="D1889" s="13" t="s">
        <v>13564</v>
      </c>
      <c r="E1889" s="13" t="s">
        <v>1150</v>
      </c>
      <c r="F1889" s="15">
        <v>367</v>
      </c>
      <c r="G1889" s="15">
        <v>367</v>
      </c>
    </row>
    <row r="1890" spans="1:7">
      <c r="A1890" s="14">
        <v>7745</v>
      </c>
      <c r="B1890" s="13" t="s">
        <v>15309</v>
      </c>
      <c r="C1890" s="13" t="s">
        <v>15310</v>
      </c>
      <c r="D1890" s="13" t="s">
        <v>13564</v>
      </c>
      <c r="E1890" s="13" t="s">
        <v>1150</v>
      </c>
      <c r="F1890" s="15">
        <v>367</v>
      </c>
      <c r="G1890" s="15">
        <v>367</v>
      </c>
    </row>
    <row r="1891" spans="1:7">
      <c r="A1891" s="14">
        <v>7750</v>
      </c>
      <c r="B1891" s="13" t="s">
        <v>15311</v>
      </c>
      <c r="C1891" s="13" t="s">
        <v>15312</v>
      </c>
      <c r="D1891" s="13" t="s">
        <v>13564</v>
      </c>
      <c r="E1891" s="13" t="s">
        <v>1150</v>
      </c>
      <c r="F1891" s="15">
        <v>367</v>
      </c>
      <c r="G1891" s="15">
        <v>367</v>
      </c>
    </row>
    <row r="1892" spans="1:7">
      <c r="A1892" s="14">
        <v>7752</v>
      </c>
      <c r="B1892" s="13" t="s">
        <v>15313</v>
      </c>
      <c r="C1892" s="13" t="s">
        <v>15314</v>
      </c>
      <c r="D1892" s="13" t="s">
        <v>13564</v>
      </c>
      <c r="E1892" s="13" t="s">
        <v>1150</v>
      </c>
      <c r="F1892" s="15">
        <v>37762</v>
      </c>
      <c r="G1892" s="15">
        <v>37762</v>
      </c>
    </row>
    <row r="1893" spans="1:7">
      <c r="A1893" s="14">
        <v>7753</v>
      </c>
      <c r="B1893" s="13" t="s">
        <v>15315</v>
      </c>
      <c r="C1893" s="13" t="s">
        <v>15316</v>
      </c>
      <c r="D1893" s="13" t="s">
        <v>13564</v>
      </c>
      <c r="E1893" s="13" t="s">
        <v>1150</v>
      </c>
      <c r="F1893" s="15">
        <v>37762</v>
      </c>
      <c r="G1893" s="15">
        <v>37762</v>
      </c>
    </row>
    <row r="1894" spans="1:7">
      <c r="A1894" s="14">
        <v>7754</v>
      </c>
      <c r="B1894" s="13" t="s">
        <v>15317</v>
      </c>
      <c r="C1894" s="13" t="s">
        <v>15318</v>
      </c>
      <c r="D1894" s="13" t="s">
        <v>13564</v>
      </c>
      <c r="E1894" s="13" t="s">
        <v>1150</v>
      </c>
      <c r="F1894" s="15">
        <v>37762</v>
      </c>
      <c r="G1894" s="15">
        <v>37762</v>
      </c>
    </row>
    <row r="1895" spans="1:7">
      <c r="A1895" s="14">
        <v>7755</v>
      </c>
      <c r="B1895" s="13" t="s">
        <v>15319</v>
      </c>
      <c r="C1895" s="13" t="s">
        <v>15320</v>
      </c>
      <c r="D1895" s="13" t="s">
        <v>13564</v>
      </c>
      <c r="E1895" s="13" t="s">
        <v>1150</v>
      </c>
      <c r="F1895" s="15">
        <v>367</v>
      </c>
      <c r="G1895" s="15">
        <v>367</v>
      </c>
    </row>
    <row r="1896" spans="1:7">
      <c r="A1896" s="14">
        <v>7760</v>
      </c>
      <c r="B1896" s="13" t="s">
        <v>15321</v>
      </c>
      <c r="C1896" s="13" t="s">
        <v>15322</v>
      </c>
      <c r="D1896" s="13" t="s">
        <v>13564</v>
      </c>
      <c r="E1896" s="13" t="s">
        <v>1150</v>
      </c>
      <c r="F1896" s="15">
        <v>367</v>
      </c>
      <c r="G1896" s="15">
        <v>367</v>
      </c>
    </row>
    <row r="1897" spans="1:7">
      <c r="A1897" s="14">
        <v>7765</v>
      </c>
      <c r="B1897" s="13" t="s">
        <v>15323</v>
      </c>
      <c r="C1897" s="13" t="s">
        <v>15324</v>
      </c>
      <c r="D1897" s="13" t="s">
        <v>13564</v>
      </c>
      <c r="E1897" s="13" t="s">
        <v>1150</v>
      </c>
      <c r="F1897" s="15">
        <v>367</v>
      </c>
      <c r="G1897" s="15">
        <v>367</v>
      </c>
    </row>
    <row r="1898" spans="1:7">
      <c r="A1898" s="14">
        <v>7770</v>
      </c>
      <c r="B1898" s="13" t="s">
        <v>15325</v>
      </c>
      <c r="C1898" s="13" t="s">
        <v>15326</v>
      </c>
      <c r="D1898" s="13" t="s">
        <v>13564</v>
      </c>
      <c r="E1898" s="13" t="s">
        <v>1150</v>
      </c>
      <c r="F1898" s="15">
        <v>367</v>
      </c>
      <c r="G1898" s="15">
        <v>367</v>
      </c>
    </row>
    <row r="1899" spans="1:7">
      <c r="A1899" s="14">
        <v>7772</v>
      </c>
      <c r="B1899" s="13" t="s">
        <v>15327</v>
      </c>
      <c r="C1899" s="13" t="s">
        <v>15328</v>
      </c>
      <c r="D1899" s="13" t="s">
        <v>13564</v>
      </c>
      <c r="E1899" s="13" t="s">
        <v>1150</v>
      </c>
      <c r="F1899" s="15">
        <v>37762</v>
      </c>
      <c r="G1899" s="15">
        <v>37762</v>
      </c>
    </row>
    <row r="1900" spans="1:7">
      <c r="A1900" s="14">
        <v>7775</v>
      </c>
      <c r="B1900" s="13" t="s">
        <v>15329</v>
      </c>
      <c r="C1900" s="13" t="s">
        <v>15330</v>
      </c>
      <c r="D1900" s="13" t="s">
        <v>13564</v>
      </c>
      <c r="E1900" s="13" t="s">
        <v>1150</v>
      </c>
      <c r="F1900" s="15">
        <v>367</v>
      </c>
      <c r="G1900" s="15">
        <v>367</v>
      </c>
    </row>
    <row r="1901" spans="1:7">
      <c r="A1901" s="14">
        <v>7777</v>
      </c>
      <c r="B1901" s="13" t="s">
        <v>15331</v>
      </c>
      <c r="C1901" s="13" t="s">
        <v>15332</v>
      </c>
      <c r="D1901" s="13" t="s">
        <v>13564</v>
      </c>
      <c r="E1901" s="13" t="s">
        <v>1150</v>
      </c>
      <c r="F1901" s="15">
        <v>37762</v>
      </c>
      <c r="G1901" s="15">
        <v>37762</v>
      </c>
    </row>
    <row r="1902" spans="1:7">
      <c r="A1902" s="14">
        <v>7778</v>
      </c>
      <c r="B1902" s="13" t="s">
        <v>15333</v>
      </c>
      <c r="C1902" s="13" t="s">
        <v>15334</v>
      </c>
      <c r="D1902" s="13" t="s">
        <v>13564</v>
      </c>
      <c r="E1902" s="13" t="s">
        <v>1150</v>
      </c>
      <c r="F1902" s="15">
        <v>37762</v>
      </c>
      <c r="G1902" s="15">
        <v>37762</v>
      </c>
    </row>
    <row r="1903" spans="1:7">
      <c r="A1903" s="14">
        <v>7780</v>
      </c>
      <c r="B1903" s="13" t="s">
        <v>15335</v>
      </c>
      <c r="C1903" s="13" t="s">
        <v>15336</v>
      </c>
      <c r="D1903" s="13" t="s">
        <v>13564</v>
      </c>
      <c r="E1903" s="13" t="s">
        <v>1150</v>
      </c>
      <c r="F1903" s="15">
        <v>367</v>
      </c>
      <c r="G1903" s="15">
        <v>367</v>
      </c>
    </row>
    <row r="1904" spans="1:7">
      <c r="A1904" s="14">
        <v>7785</v>
      </c>
      <c r="B1904" s="13" t="s">
        <v>15337</v>
      </c>
      <c r="C1904" s="13" t="s">
        <v>15338</v>
      </c>
      <c r="D1904" s="13" t="s">
        <v>13564</v>
      </c>
      <c r="E1904" s="13" t="s">
        <v>1150</v>
      </c>
      <c r="F1904" s="15">
        <v>367</v>
      </c>
      <c r="G1904" s="15">
        <v>367</v>
      </c>
    </row>
    <row r="1905" spans="1:7">
      <c r="A1905" s="14">
        <v>7790</v>
      </c>
      <c r="B1905" s="13" t="s">
        <v>15339</v>
      </c>
      <c r="C1905" s="13" t="s">
        <v>15340</v>
      </c>
      <c r="D1905" s="13" t="s">
        <v>13564</v>
      </c>
      <c r="E1905" s="13" t="s">
        <v>1150</v>
      </c>
      <c r="F1905" s="15">
        <v>367</v>
      </c>
      <c r="G1905" s="15">
        <v>367</v>
      </c>
    </row>
    <row r="1906" spans="1:7">
      <c r="A1906" s="14">
        <v>7795</v>
      </c>
      <c r="B1906" s="13" t="s">
        <v>15341</v>
      </c>
      <c r="C1906" s="13" t="s">
        <v>15342</v>
      </c>
      <c r="D1906" s="13" t="s">
        <v>13564</v>
      </c>
      <c r="E1906" s="13" t="s">
        <v>1150</v>
      </c>
      <c r="F1906" s="15">
        <v>367</v>
      </c>
      <c r="G1906" s="15">
        <v>367</v>
      </c>
    </row>
    <row r="1907" spans="1:7">
      <c r="A1907" s="14">
        <v>7800</v>
      </c>
      <c r="B1907" s="13" t="s">
        <v>15343</v>
      </c>
      <c r="C1907" s="13" t="s">
        <v>15344</v>
      </c>
      <c r="D1907" s="13" t="s">
        <v>13564</v>
      </c>
      <c r="E1907" s="13" t="s">
        <v>1150</v>
      </c>
      <c r="F1907" s="15">
        <v>367</v>
      </c>
      <c r="G1907" s="15">
        <v>367</v>
      </c>
    </row>
    <row r="1908" spans="1:7">
      <c r="A1908" s="14">
        <v>7805</v>
      </c>
      <c r="B1908" s="13" t="s">
        <v>15345</v>
      </c>
      <c r="C1908" s="13" t="s">
        <v>15346</v>
      </c>
      <c r="D1908" s="13" t="s">
        <v>13564</v>
      </c>
      <c r="E1908" s="13" t="s">
        <v>1150</v>
      </c>
      <c r="F1908" s="15">
        <v>367</v>
      </c>
      <c r="G1908" s="15">
        <v>367</v>
      </c>
    </row>
    <row r="1909" spans="1:7">
      <c r="A1909" s="14">
        <v>7810</v>
      </c>
      <c r="B1909" s="13" t="s">
        <v>15347</v>
      </c>
      <c r="C1909" s="13" t="s">
        <v>15348</v>
      </c>
      <c r="D1909" s="13" t="s">
        <v>13564</v>
      </c>
      <c r="E1909" s="13" t="s">
        <v>1150</v>
      </c>
      <c r="F1909" s="15">
        <v>367</v>
      </c>
      <c r="G1909" s="15">
        <v>367</v>
      </c>
    </row>
    <row r="1910" spans="1:7">
      <c r="A1910" s="14">
        <v>7815</v>
      </c>
      <c r="B1910" s="13" t="s">
        <v>15349</v>
      </c>
      <c r="C1910" s="13" t="s">
        <v>15350</v>
      </c>
      <c r="D1910" s="13" t="s">
        <v>13564</v>
      </c>
      <c r="E1910" s="13" t="s">
        <v>1150</v>
      </c>
      <c r="F1910" s="15">
        <v>367</v>
      </c>
      <c r="G1910" s="15">
        <v>367</v>
      </c>
    </row>
    <row r="1911" spans="1:7">
      <c r="A1911" s="14">
        <v>7820</v>
      </c>
      <c r="B1911" s="13" t="s">
        <v>15351</v>
      </c>
      <c r="C1911" s="13" t="s">
        <v>15352</v>
      </c>
      <c r="D1911" s="13" t="s">
        <v>13564</v>
      </c>
      <c r="E1911" s="13" t="s">
        <v>1150</v>
      </c>
      <c r="F1911" s="15">
        <v>367</v>
      </c>
      <c r="G1911" s="15">
        <v>367</v>
      </c>
    </row>
    <row r="1912" spans="1:7">
      <c r="A1912" s="14">
        <v>7825</v>
      </c>
      <c r="B1912" s="13" t="s">
        <v>15353</v>
      </c>
      <c r="C1912" s="13" t="s">
        <v>15354</v>
      </c>
      <c r="D1912" s="13" t="s">
        <v>13564</v>
      </c>
      <c r="E1912" s="13" t="s">
        <v>1150</v>
      </c>
      <c r="F1912" s="15">
        <v>367</v>
      </c>
      <c r="G1912" s="15">
        <v>367</v>
      </c>
    </row>
    <row r="1913" spans="1:7">
      <c r="A1913" s="14">
        <v>7830</v>
      </c>
      <c r="B1913" s="13" t="s">
        <v>15355</v>
      </c>
      <c r="C1913" s="13" t="s">
        <v>15356</v>
      </c>
      <c r="D1913" s="13" t="s">
        <v>13564</v>
      </c>
      <c r="E1913" s="13" t="s">
        <v>1150</v>
      </c>
      <c r="F1913" s="15">
        <v>367</v>
      </c>
      <c r="G1913" s="15">
        <v>367</v>
      </c>
    </row>
    <row r="1914" spans="1:7">
      <c r="A1914" s="14">
        <v>7835</v>
      </c>
      <c r="B1914" s="13" t="s">
        <v>15357</v>
      </c>
      <c r="C1914" s="13" t="s">
        <v>15358</v>
      </c>
      <c r="D1914" s="13" t="s">
        <v>13564</v>
      </c>
      <c r="E1914" s="13" t="s">
        <v>1150</v>
      </c>
      <c r="F1914" s="15">
        <v>367</v>
      </c>
      <c r="G1914" s="15">
        <v>367</v>
      </c>
    </row>
    <row r="1915" spans="1:7">
      <c r="A1915" s="14">
        <v>7840</v>
      </c>
      <c r="B1915" s="13" t="s">
        <v>15359</v>
      </c>
      <c r="C1915" s="13" t="s">
        <v>15360</v>
      </c>
      <c r="D1915" s="13" t="s">
        <v>13564</v>
      </c>
      <c r="E1915" s="13" t="s">
        <v>1150</v>
      </c>
      <c r="F1915" s="15">
        <v>367</v>
      </c>
      <c r="G1915" s="15">
        <v>367</v>
      </c>
    </row>
    <row r="1916" spans="1:7">
      <c r="A1916" s="14">
        <v>7845</v>
      </c>
      <c r="B1916" s="13" t="s">
        <v>15361</v>
      </c>
      <c r="C1916" s="13" t="s">
        <v>15362</v>
      </c>
      <c r="D1916" s="13" t="s">
        <v>13564</v>
      </c>
      <c r="E1916" s="13" t="s">
        <v>1150</v>
      </c>
      <c r="F1916" s="15">
        <v>367</v>
      </c>
      <c r="G1916" s="15">
        <v>367</v>
      </c>
    </row>
    <row r="1917" spans="1:7">
      <c r="A1917" s="14">
        <v>7848</v>
      </c>
      <c r="B1917" s="13" t="s">
        <v>15363</v>
      </c>
      <c r="C1917" s="13" t="s">
        <v>15364</v>
      </c>
      <c r="D1917" s="13" t="s">
        <v>13564</v>
      </c>
      <c r="E1917" s="13" t="s">
        <v>1150</v>
      </c>
      <c r="F1917" s="15">
        <v>37762</v>
      </c>
      <c r="G1917" s="15">
        <v>37762</v>
      </c>
    </row>
    <row r="1918" spans="1:7">
      <c r="A1918" s="14">
        <v>7850</v>
      </c>
      <c r="B1918" s="13" t="s">
        <v>15365</v>
      </c>
      <c r="C1918" s="13" t="s">
        <v>15366</v>
      </c>
      <c r="D1918" s="13" t="s">
        <v>13564</v>
      </c>
      <c r="E1918" s="13" t="s">
        <v>1150</v>
      </c>
      <c r="F1918" s="15">
        <v>367</v>
      </c>
      <c r="G1918" s="15">
        <v>367</v>
      </c>
    </row>
    <row r="1919" spans="1:7">
      <c r="A1919" s="14">
        <v>7855</v>
      </c>
      <c r="B1919" s="13" t="s">
        <v>15367</v>
      </c>
      <c r="C1919" s="13" t="s">
        <v>15368</v>
      </c>
      <c r="D1919" s="13" t="s">
        <v>13564</v>
      </c>
      <c r="E1919" s="13" t="s">
        <v>1150</v>
      </c>
      <c r="F1919" s="15">
        <v>367</v>
      </c>
      <c r="G1919" s="15">
        <v>367</v>
      </c>
    </row>
    <row r="1920" spans="1:7">
      <c r="A1920" s="14">
        <v>7860</v>
      </c>
      <c r="B1920" s="13" t="s">
        <v>15369</v>
      </c>
      <c r="C1920" s="13" t="s">
        <v>15370</v>
      </c>
      <c r="D1920" s="13" t="s">
        <v>13564</v>
      </c>
      <c r="E1920" s="13" t="s">
        <v>1150</v>
      </c>
      <c r="F1920" s="15">
        <v>367</v>
      </c>
      <c r="G1920" s="15">
        <v>367</v>
      </c>
    </row>
    <row r="1921" spans="1:7">
      <c r="A1921" s="14">
        <v>7865</v>
      </c>
      <c r="B1921" s="13" t="s">
        <v>15371</v>
      </c>
      <c r="C1921" s="13" t="s">
        <v>15372</v>
      </c>
      <c r="D1921" s="13" t="s">
        <v>13564</v>
      </c>
      <c r="E1921" s="13" t="s">
        <v>1150</v>
      </c>
      <c r="F1921" s="15">
        <v>367</v>
      </c>
      <c r="G1921" s="15">
        <v>367</v>
      </c>
    </row>
    <row r="1922" spans="1:7">
      <c r="A1922" s="14">
        <v>7870</v>
      </c>
      <c r="B1922" s="13" t="s">
        <v>15373</v>
      </c>
      <c r="C1922" s="13" t="s">
        <v>15374</v>
      </c>
      <c r="D1922" s="13" t="s">
        <v>13564</v>
      </c>
      <c r="E1922" s="13" t="s">
        <v>1150</v>
      </c>
      <c r="F1922" s="15">
        <v>367</v>
      </c>
      <c r="G1922" s="15">
        <v>367</v>
      </c>
    </row>
    <row r="1923" spans="1:7">
      <c r="A1923" s="14">
        <v>7875</v>
      </c>
      <c r="B1923" s="13" t="s">
        <v>15375</v>
      </c>
      <c r="C1923" s="13" t="s">
        <v>15376</v>
      </c>
      <c r="D1923" s="13" t="s">
        <v>13564</v>
      </c>
      <c r="E1923" s="13" t="s">
        <v>1150</v>
      </c>
      <c r="F1923" s="15">
        <v>367</v>
      </c>
      <c r="G1923" s="15">
        <v>367</v>
      </c>
    </row>
    <row r="1924" spans="1:7">
      <c r="A1924" s="14">
        <v>7880</v>
      </c>
      <c r="B1924" s="13" t="s">
        <v>15377</v>
      </c>
      <c r="C1924" s="13" t="s">
        <v>15378</v>
      </c>
      <c r="D1924" s="13" t="s">
        <v>13564</v>
      </c>
      <c r="E1924" s="13" t="s">
        <v>1150</v>
      </c>
      <c r="F1924" s="15">
        <v>367</v>
      </c>
      <c r="G1924" s="15">
        <v>367</v>
      </c>
    </row>
    <row r="1925" spans="1:7">
      <c r="A1925" s="14">
        <v>7882</v>
      </c>
      <c r="B1925" s="13" t="s">
        <v>15379</v>
      </c>
      <c r="C1925" s="13" t="s">
        <v>15380</v>
      </c>
      <c r="D1925" s="13" t="s">
        <v>13564</v>
      </c>
      <c r="E1925" s="13" t="s">
        <v>1150</v>
      </c>
      <c r="F1925" s="15">
        <v>37762</v>
      </c>
      <c r="G1925" s="15">
        <v>37762</v>
      </c>
    </row>
    <row r="1926" spans="1:7">
      <c r="A1926" s="14">
        <v>7885</v>
      </c>
      <c r="B1926" s="13" t="s">
        <v>15381</v>
      </c>
      <c r="C1926" s="13" t="s">
        <v>15382</v>
      </c>
      <c r="D1926" s="13" t="s">
        <v>13564</v>
      </c>
      <c r="E1926" s="13" t="s">
        <v>1150</v>
      </c>
      <c r="F1926" s="15">
        <v>367</v>
      </c>
      <c r="G1926" s="15">
        <v>367</v>
      </c>
    </row>
    <row r="1927" spans="1:7">
      <c r="A1927" s="14">
        <v>7888</v>
      </c>
      <c r="B1927" s="13" t="s">
        <v>15383</v>
      </c>
      <c r="C1927" s="13" t="s">
        <v>15384</v>
      </c>
      <c r="D1927" s="13" t="s">
        <v>13564</v>
      </c>
      <c r="E1927" s="13" t="s">
        <v>1150</v>
      </c>
      <c r="F1927" s="15">
        <v>37762</v>
      </c>
      <c r="G1927" s="15">
        <v>37762</v>
      </c>
    </row>
    <row r="1928" spans="1:7">
      <c r="A1928" s="14">
        <v>7890</v>
      </c>
      <c r="B1928" s="13" t="s">
        <v>15385</v>
      </c>
      <c r="C1928" s="13" t="s">
        <v>15386</v>
      </c>
      <c r="D1928" s="13" t="s">
        <v>13564</v>
      </c>
      <c r="E1928" s="13" t="s">
        <v>1150</v>
      </c>
      <c r="F1928" s="15">
        <v>367</v>
      </c>
      <c r="G1928" s="15">
        <v>367</v>
      </c>
    </row>
    <row r="1929" spans="1:7">
      <c r="A1929" s="14">
        <v>7895</v>
      </c>
      <c r="B1929" s="13" t="s">
        <v>15387</v>
      </c>
      <c r="C1929" s="13" t="s">
        <v>15388</v>
      </c>
      <c r="D1929" s="13" t="s">
        <v>13564</v>
      </c>
      <c r="E1929" s="13" t="s">
        <v>1150</v>
      </c>
      <c r="F1929" s="15">
        <v>367</v>
      </c>
      <c r="G1929" s="15">
        <v>367</v>
      </c>
    </row>
    <row r="1930" spans="1:7">
      <c r="A1930" s="14">
        <v>7900</v>
      </c>
      <c r="B1930" s="13" t="s">
        <v>15389</v>
      </c>
      <c r="C1930" s="13" t="s">
        <v>15390</v>
      </c>
      <c r="D1930" s="13" t="s">
        <v>13564</v>
      </c>
      <c r="E1930" s="13" t="s">
        <v>1150</v>
      </c>
      <c r="F1930" s="15">
        <v>367</v>
      </c>
      <c r="G1930" s="15">
        <v>367</v>
      </c>
    </row>
    <row r="1931" spans="1:7">
      <c r="A1931" s="14">
        <v>7905</v>
      </c>
      <c r="B1931" s="13" t="s">
        <v>15391</v>
      </c>
      <c r="C1931" s="13" t="s">
        <v>15392</v>
      </c>
      <c r="D1931" s="13" t="s">
        <v>13564</v>
      </c>
      <c r="E1931" s="13" t="s">
        <v>1150</v>
      </c>
      <c r="F1931" s="15">
        <v>367</v>
      </c>
      <c r="G1931" s="15">
        <v>367</v>
      </c>
    </row>
    <row r="1932" spans="1:7">
      <c r="A1932" s="14">
        <v>7907</v>
      </c>
      <c r="B1932" s="13" t="s">
        <v>15393</v>
      </c>
      <c r="C1932" s="13" t="s">
        <v>15394</v>
      </c>
      <c r="D1932" s="13" t="s">
        <v>13564</v>
      </c>
      <c r="E1932" s="13" t="s">
        <v>1150</v>
      </c>
      <c r="F1932" s="15">
        <v>37762</v>
      </c>
      <c r="G1932" s="15">
        <v>37762</v>
      </c>
    </row>
    <row r="1933" spans="1:7">
      <c r="A1933" s="14">
        <v>7910</v>
      </c>
      <c r="B1933" s="13" t="s">
        <v>15395</v>
      </c>
      <c r="C1933" s="13" t="s">
        <v>15396</v>
      </c>
      <c r="D1933" s="13" t="s">
        <v>13564</v>
      </c>
      <c r="E1933" s="13" t="s">
        <v>1150</v>
      </c>
      <c r="F1933" s="15">
        <v>367</v>
      </c>
      <c r="G1933" s="15">
        <v>367</v>
      </c>
    </row>
    <row r="1934" spans="1:7">
      <c r="A1934" s="14">
        <v>7915</v>
      </c>
      <c r="B1934" s="13" t="s">
        <v>15397</v>
      </c>
      <c r="C1934" s="13" t="s">
        <v>15398</v>
      </c>
      <c r="D1934" s="13" t="s">
        <v>13564</v>
      </c>
      <c r="E1934" s="13" t="s">
        <v>1150</v>
      </c>
      <c r="F1934" s="15">
        <v>367</v>
      </c>
      <c r="G1934" s="15">
        <v>367</v>
      </c>
    </row>
    <row r="1935" spans="1:7">
      <c r="A1935" s="14">
        <v>7920</v>
      </c>
      <c r="B1935" s="13" t="s">
        <v>15399</v>
      </c>
      <c r="C1935" s="13" t="s">
        <v>15400</v>
      </c>
      <c r="D1935" s="13" t="s">
        <v>13564</v>
      </c>
      <c r="E1935" s="13" t="s">
        <v>1150</v>
      </c>
      <c r="F1935" s="15">
        <v>367</v>
      </c>
      <c r="G1935" s="15">
        <v>367</v>
      </c>
    </row>
    <row r="1936" spans="1:7">
      <c r="A1936" s="14">
        <v>7925</v>
      </c>
      <c r="B1936" s="13" t="s">
        <v>15401</v>
      </c>
      <c r="C1936" s="13" t="s">
        <v>15402</v>
      </c>
      <c r="D1936" s="13" t="s">
        <v>13564</v>
      </c>
      <c r="E1936" s="13" t="s">
        <v>1150</v>
      </c>
      <c r="F1936" s="15">
        <v>367</v>
      </c>
      <c r="G1936" s="15">
        <v>367</v>
      </c>
    </row>
    <row r="1937" spans="1:7">
      <c r="A1937" s="14">
        <v>7930</v>
      </c>
      <c r="B1937" s="13" t="s">
        <v>15403</v>
      </c>
      <c r="C1937" s="13" t="s">
        <v>15404</v>
      </c>
      <c r="D1937" s="13" t="s">
        <v>13564</v>
      </c>
      <c r="E1937" s="13" t="s">
        <v>1150</v>
      </c>
      <c r="F1937" s="15">
        <v>367</v>
      </c>
      <c r="G1937" s="15">
        <v>367</v>
      </c>
    </row>
    <row r="1938" spans="1:7">
      <c r="A1938" s="14">
        <v>7935</v>
      </c>
      <c r="B1938" s="13" t="s">
        <v>15405</v>
      </c>
      <c r="C1938" s="13" t="s">
        <v>15406</v>
      </c>
      <c r="D1938" s="13" t="s">
        <v>13564</v>
      </c>
      <c r="E1938" s="13" t="s">
        <v>1150</v>
      </c>
      <c r="F1938" s="15">
        <v>367</v>
      </c>
      <c r="G1938" s="15">
        <v>367</v>
      </c>
    </row>
    <row r="1939" spans="1:7">
      <c r="A1939" s="14">
        <v>7940</v>
      </c>
      <c r="B1939" s="13" t="s">
        <v>15407</v>
      </c>
      <c r="C1939" s="13" t="s">
        <v>15408</v>
      </c>
      <c r="D1939" s="13" t="s">
        <v>13564</v>
      </c>
      <c r="E1939" s="13" t="s">
        <v>1150</v>
      </c>
      <c r="F1939" s="15">
        <v>367</v>
      </c>
      <c r="G1939" s="15">
        <v>367</v>
      </c>
    </row>
    <row r="1940" spans="1:7">
      <c r="A1940" s="14">
        <v>7945</v>
      </c>
      <c r="B1940" s="13" t="s">
        <v>15409</v>
      </c>
      <c r="C1940" s="13" t="s">
        <v>15410</v>
      </c>
      <c r="D1940" s="13" t="s">
        <v>13564</v>
      </c>
      <c r="E1940" s="13" t="s">
        <v>1150</v>
      </c>
      <c r="F1940" s="15">
        <v>367</v>
      </c>
      <c r="G1940" s="15">
        <v>367</v>
      </c>
    </row>
    <row r="1941" spans="1:7">
      <c r="A1941" s="14">
        <v>7950</v>
      </c>
      <c r="B1941" s="13" t="s">
        <v>15411</v>
      </c>
      <c r="C1941" s="13" t="s">
        <v>15412</v>
      </c>
      <c r="D1941" s="13" t="s">
        <v>13564</v>
      </c>
      <c r="E1941" s="13" t="s">
        <v>1150</v>
      </c>
      <c r="F1941" s="15">
        <v>367</v>
      </c>
      <c r="G1941" s="15">
        <v>367</v>
      </c>
    </row>
    <row r="1942" spans="1:7">
      <c r="A1942" s="14">
        <v>7955</v>
      </c>
      <c r="B1942" s="13" t="s">
        <v>15413</v>
      </c>
      <c r="C1942" s="13" t="s">
        <v>15414</v>
      </c>
      <c r="D1942" s="13" t="s">
        <v>13564</v>
      </c>
      <c r="E1942" s="13" t="s">
        <v>1150</v>
      </c>
      <c r="F1942" s="15">
        <v>367</v>
      </c>
      <c r="G1942" s="15">
        <v>367</v>
      </c>
    </row>
    <row r="1943" spans="1:7">
      <c r="A1943" s="14">
        <v>7960</v>
      </c>
      <c r="B1943" s="13" t="s">
        <v>15415</v>
      </c>
      <c r="C1943" s="13" t="s">
        <v>15416</v>
      </c>
      <c r="D1943" s="13" t="s">
        <v>13564</v>
      </c>
      <c r="E1943" s="13" t="s">
        <v>1150</v>
      </c>
      <c r="F1943" s="15">
        <v>367</v>
      </c>
      <c r="G1943" s="15">
        <v>367</v>
      </c>
    </row>
    <row r="1944" spans="1:7">
      <c r="A1944" s="14">
        <v>7963</v>
      </c>
      <c r="B1944" s="13" t="s">
        <v>15417</v>
      </c>
      <c r="C1944" s="13" t="s">
        <v>15418</v>
      </c>
      <c r="D1944" s="13" t="s">
        <v>13564</v>
      </c>
      <c r="E1944" s="13" t="s">
        <v>1150</v>
      </c>
      <c r="F1944" s="15">
        <v>37762</v>
      </c>
      <c r="G1944" s="15">
        <v>37762</v>
      </c>
    </row>
    <row r="1945" spans="1:7">
      <c r="A1945" s="14">
        <v>7965</v>
      </c>
      <c r="B1945" s="13" t="s">
        <v>15419</v>
      </c>
      <c r="C1945" s="13" t="s">
        <v>15420</v>
      </c>
      <c r="D1945" s="13" t="s">
        <v>13564</v>
      </c>
      <c r="E1945" s="13" t="s">
        <v>1150</v>
      </c>
      <c r="F1945" s="15">
        <v>367</v>
      </c>
      <c r="G1945" s="15">
        <v>367</v>
      </c>
    </row>
    <row r="1946" spans="1:7">
      <c r="A1946" s="14">
        <v>7970</v>
      </c>
      <c r="B1946" s="13" t="s">
        <v>15421</v>
      </c>
      <c r="C1946" s="13" t="s">
        <v>15422</v>
      </c>
      <c r="D1946" s="13" t="s">
        <v>13564</v>
      </c>
      <c r="E1946" s="13" t="s">
        <v>1150</v>
      </c>
      <c r="F1946" s="15">
        <v>367</v>
      </c>
      <c r="G1946" s="15">
        <v>367</v>
      </c>
    </row>
    <row r="1947" spans="1:7">
      <c r="A1947" s="14">
        <v>7975</v>
      </c>
      <c r="B1947" s="13" t="s">
        <v>15423</v>
      </c>
      <c r="C1947" s="13" t="s">
        <v>15424</v>
      </c>
      <c r="D1947" s="13" t="s">
        <v>13564</v>
      </c>
      <c r="E1947" s="13" t="s">
        <v>1150</v>
      </c>
      <c r="F1947" s="15">
        <v>367</v>
      </c>
      <c r="G1947" s="15">
        <v>367</v>
      </c>
    </row>
    <row r="1948" spans="1:7">
      <c r="A1948" s="14">
        <v>7980</v>
      </c>
      <c r="B1948" s="13" t="s">
        <v>15425</v>
      </c>
      <c r="C1948" s="13" t="s">
        <v>15426</v>
      </c>
      <c r="D1948" s="13" t="s">
        <v>13564</v>
      </c>
      <c r="E1948" s="13" t="s">
        <v>1150</v>
      </c>
      <c r="F1948" s="15">
        <v>367</v>
      </c>
      <c r="G1948" s="15">
        <v>367</v>
      </c>
    </row>
    <row r="1949" spans="1:7">
      <c r="A1949" s="14">
        <v>7982</v>
      </c>
      <c r="B1949" s="13" t="s">
        <v>15427</v>
      </c>
      <c r="C1949" s="13" t="s">
        <v>15428</v>
      </c>
      <c r="D1949" s="13" t="s">
        <v>13564</v>
      </c>
      <c r="E1949" s="13" t="s">
        <v>1150</v>
      </c>
      <c r="F1949" s="15">
        <v>37762</v>
      </c>
      <c r="G1949" s="15">
        <v>37762</v>
      </c>
    </row>
    <row r="1950" spans="1:7">
      <c r="A1950" s="14">
        <v>7985</v>
      </c>
      <c r="B1950" s="13" t="s">
        <v>15429</v>
      </c>
      <c r="C1950" s="13" t="s">
        <v>15430</v>
      </c>
      <c r="D1950" s="13" t="s">
        <v>13564</v>
      </c>
      <c r="E1950" s="13" t="s">
        <v>1150</v>
      </c>
      <c r="F1950" s="15">
        <v>367</v>
      </c>
      <c r="G1950" s="15">
        <v>367</v>
      </c>
    </row>
    <row r="1951" spans="1:7">
      <c r="A1951" s="14">
        <v>7990</v>
      </c>
      <c r="B1951" s="13" t="s">
        <v>15431</v>
      </c>
      <c r="C1951" s="13" t="s">
        <v>15432</v>
      </c>
      <c r="D1951" s="13" t="s">
        <v>13564</v>
      </c>
      <c r="E1951" s="13" t="s">
        <v>1150</v>
      </c>
      <c r="F1951" s="15">
        <v>367</v>
      </c>
      <c r="G1951" s="15">
        <v>367</v>
      </c>
    </row>
    <row r="1952" spans="1:7">
      <c r="A1952" s="14">
        <v>7995</v>
      </c>
      <c r="B1952" s="13" t="s">
        <v>15433</v>
      </c>
      <c r="C1952" s="13" t="s">
        <v>15434</v>
      </c>
      <c r="D1952" s="13" t="s">
        <v>13564</v>
      </c>
      <c r="E1952" s="13" t="s">
        <v>1150</v>
      </c>
      <c r="F1952" s="15">
        <v>367</v>
      </c>
      <c r="G1952" s="15">
        <v>367</v>
      </c>
    </row>
    <row r="1953" spans="1:7">
      <c r="A1953" s="14">
        <v>8000</v>
      </c>
      <c r="B1953" s="13" t="s">
        <v>15435</v>
      </c>
      <c r="C1953" s="13" t="s">
        <v>15436</v>
      </c>
      <c r="D1953" s="13" t="s">
        <v>13564</v>
      </c>
      <c r="E1953" s="13" t="s">
        <v>1150</v>
      </c>
      <c r="F1953" s="15">
        <v>367</v>
      </c>
      <c r="G1953" s="15">
        <v>367</v>
      </c>
    </row>
    <row r="1954" spans="1:7">
      <c r="A1954" s="14">
        <v>8005</v>
      </c>
      <c r="B1954" s="13" t="s">
        <v>15437</v>
      </c>
      <c r="C1954" s="13" t="s">
        <v>15438</v>
      </c>
      <c r="D1954" s="13" t="s">
        <v>13564</v>
      </c>
      <c r="E1954" s="13" t="s">
        <v>1150</v>
      </c>
      <c r="F1954" s="15">
        <v>367</v>
      </c>
      <c r="G1954" s="15">
        <v>367</v>
      </c>
    </row>
    <row r="1955" spans="1:7">
      <c r="A1955" s="14">
        <v>8009</v>
      </c>
      <c r="B1955" s="13" t="s">
        <v>15439</v>
      </c>
      <c r="C1955" s="13" t="s">
        <v>15440</v>
      </c>
      <c r="D1955" s="13" t="s">
        <v>13564</v>
      </c>
      <c r="E1955" s="13" t="s">
        <v>1150</v>
      </c>
      <c r="F1955" s="15">
        <v>37762</v>
      </c>
      <c r="G1955" s="15">
        <v>37762</v>
      </c>
    </row>
    <row r="1956" spans="1:7">
      <c r="A1956" s="14">
        <v>8010</v>
      </c>
      <c r="B1956" s="13" t="s">
        <v>15441</v>
      </c>
      <c r="C1956" s="13" t="s">
        <v>15442</v>
      </c>
      <c r="D1956" s="13" t="s">
        <v>13564</v>
      </c>
      <c r="E1956" s="13" t="s">
        <v>1150</v>
      </c>
      <c r="F1956" s="15">
        <v>367</v>
      </c>
      <c r="G1956" s="15">
        <v>367</v>
      </c>
    </row>
    <row r="1957" spans="1:7">
      <c r="A1957" s="14">
        <v>8015</v>
      </c>
      <c r="B1957" s="13" t="s">
        <v>15443</v>
      </c>
      <c r="C1957" s="13" t="s">
        <v>15444</v>
      </c>
      <c r="D1957" s="13" t="s">
        <v>13564</v>
      </c>
      <c r="E1957" s="13" t="s">
        <v>1150</v>
      </c>
      <c r="F1957" s="15">
        <v>367</v>
      </c>
      <c r="G1957" s="15">
        <v>367</v>
      </c>
    </row>
    <row r="1958" spans="1:7">
      <c r="A1958" s="14">
        <v>8020</v>
      </c>
      <c r="B1958" s="13" t="s">
        <v>15445</v>
      </c>
      <c r="C1958" s="13" t="s">
        <v>15446</v>
      </c>
      <c r="D1958" s="13" t="s">
        <v>13564</v>
      </c>
      <c r="E1958" s="13" t="s">
        <v>1150</v>
      </c>
      <c r="F1958" s="15">
        <v>367</v>
      </c>
      <c r="G1958" s="15">
        <v>367</v>
      </c>
    </row>
    <row r="1959" spans="1:7">
      <c r="A1959" s="14">
        <v>8025</v>
      </c>
      <c r="B1959" s="13" t="s">
        <v>15447</v>
      </c>
      <c r="C1959" s="13" t="s">
        <v>15448</v>
      </c>
      <c r="D1959" s="13" t="s">
        <v>13564</v>
      </c>
      <c r="E1959" s="13" t="s">
        <v>1150</v>
      </c>
      <c r="F1959" s="15">
        <v>367</v>
      </c>
      <c r="G1959" s="15">
        <v>367</v>
      </c>
    </row>
    <row r="1960" spans="1:7">
      <c r="A1960" s="14">
        <v>8030</v>
      </c>
      <c r="B1960" s="13" t="s">
        <v>15449</v>
      </c>
      <c r="C1960" s="13" t="s">
        <v>15450</v>
      </c>
      <c r="D1960" s="13" t="s">
        <v>13564</v>
      </c>
      <c r="E1960" s="13" t="s">
        <v>1150</v>
      </c>
      <c r="F1960" s="15">
        <v>367</v>
      </c>
      <c r="G1960" s="15">
        <v>367</v>
      </c>
    </row>
    <row r="1961" spans="1:7">
      <c r="A1961" s="14">
        <v>8035</v>
      </c>
      <c r="B1961" s="13" t="s">
        <v>15451</v>
      </c>
      <c r="C1961" s="13" t="s">
        <v>15452</v>
      </c>
      <c r="D1961" s="13" t="s">
        <v>13564</v>
      </c>
      <c r="E1961" s="13" t="s">
        <v>1150</v>
      </c>
      <c r="F1961" s="15">
        <v>367</v>
      </c>
      <c r="G1961" s="15">
        <v>367</v>
      </c>
    </row>
    <row r="1962" spans="1:7">
      <c r="A1962" s="14">
        <v>8040</v>
      </c>
      <c r="B1962" s="13" t="s">
        <v>15453</v>
      </c>
      <c r="C1962" s="13" t="s">
        <v>15454</v>
      </c>
      <c r="D1962" s="13" t="s">
        <v>13564</v>
      </c>
      <c r="E1962" s="13" t="s">
        <v>1150</v>
      </c>
      <c r="F1962" s="15">
        <v>367</v>
      </c>
      <c r="G1962" s="15">
        <v>367</v>
      </c>
    </row>
    <row r="1963" spans="1:7">
      <c r="A1963" s="14">
        <v>8045</v>
      </c>
      <c r="B1963" s="13" t="s">
        <v>15455</v>
      </c>
      <c r="C1963" s="13" t="s">
        <v>15456</v>
      </c>
      <c r="D1963" s="13" t="s">
        <v>13564</v>
      </c>
      <c r="E1963" s="13" t="s">
        <v>1150</v>
      </c>
      <c r="F1963" s="15">
        <v>367</v>
      </c>
      <c r="G1963" s="15">
        <v>367</v>
      </c>
    </row>
    <row r="1964" spans="1:7">
      <c r="A1964" s="14">
        <v>8050</v>
      </c>
      <c r="B1964" s="13" t="s">
        <v>15457</v>
      </c>
      <c r="C1964" s="13" t="s">
        <v>15458</v>
      </c>
      <c r="D1964" s="13" t="s">
        <v>13564</v>
      </c>
      <c r="E1964" s="13" t="s">
        <v>1150</v>
      </c>
      <c r="F1964" s="15">
        <v>367</v>
      </c>
      <c r="G1964" s="15">
        <v>367</v>
      </c>
    </row>
    <row r="1965" spans="1:7">
      <c r="A1965" s="14">
        <v>8055</v>
      </c>
      <c r="B1965" s="13" t="s">
        <v>15459</v>
      </c>
      <c r="C1965" s="13" t="s">
        <v>15460</v>
      </c>
      <c r="D1965" s="13" t="s">
        <v>13564</v>
      </c>
      <c r="E1965" s="13" t="s">
        <v>1150</v>
      </c>
      <c r="F1965" s="15">
        <v>367</v>
      </c>
      <c r="G1965" s="15">
        <v>367</v>
      </c>
    </row>
    <row r="1966" spans="1:7">
      <c r="A1966" s="14">
        <v>8060</v>
      </c>
      <c r="B1966" s="13" t="s">
        <v>15461</v>
      </c>
      <c r="C1966" s="13" t="s">
        <v>15462</v>
      </c>
      <c r="D1966" s="13" t="s">
        <v>13564</v>
      </c>
      <c r="E1966" s="13" t="s">
        <v>1150</v>
      </c>
      <c r="F1966" s="15">
        <v>367</v>
      </c>
      <c r="G1966" s="15">
        <v>367</v>
      </c>
    </row>
    <row r="1967" spans="1:7">
      <c r="A1967" s="14">
        <v>8065</v>
      </c>
      <c r="B1967" s="13" t="s">
        <v>15463</v>
      </c>
      <c r="C1967" s="13" t="s">
        <v>15464</v>
      </c>
      <c r="D1967" s="13" t="s">
        <v>13564</v>
      </c>
      <c r="E1967" s="13" t="s">
        <v>1150</v>
      </c>
      <c r="F1967" s="15">
        <v>367</v>
      </c>
      <c r="G1967" s="15">
        <v>367</v>
      </c>
    </row>
    <row r="1968" spans="1:7">
      <c r="A1968" s="14">
        <v>8070</v>
      </c>
      <c r="B1968" s="13" t="s">
        <v>15465</v>
      </c>
      <c r="C1968" s="13" t="s">
        <v>15466</v>
      </c>
      <c r="D1968" s="13" t="s">
        <v>13564</v>
      </c>
      <c r="E1968" s="13" t="s">
        <v>1150</v>
      </c>
      <c r="F1968" s="15">
        <v>367</v>
      </c>
      <c r="G1968" s="15">
        <v>367</v>
      </c>
    </row>
    <row r="1969" spans="1:7">
      <c r="A1969" s="14">
        <v>8075</v>
      </c>
      <c r="B1969" s="13" t="s">
        <v>15467</v>
      </c>
      <c r="C1969" s="13" t="s">
        <v>15468</v>
      </c>
      <c r="D1969" s="13" t="s">
        <v>13564</v>
      </c>
      <c r="E1969" s="13" t="s">
        <v>1150</v>
      </c>
      <c r="F1969" s="15">
        <v>367</v>
      </c>
      <c r="G1969" s="15">
        <v>367</v>
      </c>
    </row>
    <row r="1970" spans="1:7">
      <c r="A1970" s="14">
        <v>8080</v>
      </c>
      <c r="B1970" s="13" t="s">
        <v>15469</v>
      </c>
      <c r="C1970" s="13" t="s">
        <v>15470</v>
      </c>
      <c r="D1970" s="13" t="s">
        <v>13564</v>
      </c>
      <c r="E1970" s="13" t="s">
        <v>1150</v>
      </c>
      <c r="F1970" s="15">
        <v>367</v>
      </c>
      <c r="G1970" s="15">
        <v>367</v>
      </c>
    </row>
    <row r="1971" spans="1:7">
      <c r="A1971" s="14">
        <v>8085</v>
      </c>
      <c r="B1971" s="13" t="s">
        <v>15471</v>
      </c>
      <c r="C1971" s="13" t="s">
        <v>15472</v>
      </c>
      <c r="D1971" s="13" t="s">
        <v>13564</v>
      </c>
      <c r="E1971" s="13" t="s">
        <v>1150</v>
      </c>
      <c r="F1971" s="15">
        <v>367</v>
      </c>
      <c r="G1971" s="15">
        <v>367</v>
      </c>
    </row>
    <row r="1972" spans="1:7">
      <c r="A1972" s="14">
        <v>8088</v>
      </c>
      <c r="B1972" s="13" t="s">
        <v>15473</v>
      </c>
      <c r="C1972" s="13" t="s">
        <v>15474</v>
      </c>
      <c r="D1972" s="13" t="s">
        <v>13564</v>
      </c>
      <c r="E1972" s="13" t="s">
        <v>1150</v>
      </c>
      <c r="F1972" s="15">
        <v>368</v>
      </c>
      <c r="G1972" s="15">
        <v>368</v>
      </c>
    </row>
    <row r="1973" spans="1:7">
      <c r="A1973" s="14">
        <v>8090</v>
      </c>
      <c r="B1973" s="13" t="s">
        <v>15475</v>
      </c>
      <c r="C1973" s="13" t="s">
        <v>15476</v>
      </c>
      <c r="D1973" s="13" t="s">
        <v>13564</v>
      </c>
      <c r="E1973" s="13" t="s">
        <v>1150</v>
      </c>
      <c r="F1973" s="15">
        <v>367</v>
      </c>
      <c r="G1973" s="15">
        <v>367</v>
      </c>
    </row>
    <row r="1974" spans="1:7">
      <c r="A1974" s="14">
        <v>8095</v>
      </c>
      <c r="B1974" s="13" t="s">
        <v>15477</v>
      </c>
      <c r="C1974" s="13" t="s">
        <v>15478</v>
      </c>
      <c r="D1974" s="13" t="s">
        <v>13564</v>
      </c>
      <c r="E1974" s="13" t="s">
        <v>1150</v>
      </c>
      <c r="F1974" s="15">
        <v>367</v>
      </c>
      <c r="G1974" s="15">
        <v>367</v>
      </c>
    </row>
    <row r="1975" spans="1:7">
      <c r="A1975" s="14">
        <v>8100</v>
      </c>
      <c r="B1975" s="13" t="s">
        <v>15479</v>
      </c>
      <c r="C1975" s="13" t="s">
        <v>15480</v>
      </c>
      <c r="D1975" s="13" t="s">
        <v>13564</v>
      </c>
      <c r="E1975" s="13" t="s">
        <v>1150</v>
      </c>
      <c r="F1975" s="15">
        <v>367</v>
      </c>
      <c r="G1975" s="15">
        <v>367</v>
      </c>
    </row>
    <row r="1976" spans="1:7">
      <c r="A1976" s="14">
        <v>8105</v>
      </c>
      <c r="B1976" s="13" t="s">
        <v>15481</v>
      </c>
      <c r="C1976" s="13" t="s">
        <v>13478</v>
      </c>
      <c r="D1976" s="13" t="s">
        <v>13564</v>
      </c>
      <c r="E1976" s="13" t="s">
        <v>1150</v>
      </c>
      <c r="F1976" s="15">
        <v>367</v>
      </c>
      <c r="G1976" s="15">
        <v>367</v>
      </c>
    </row>
    <row r="1977" spans="1:7">
      <c r="A1977" s="14">
        <v>8110</v>
      </c>
      <c r="B1977" s="13" t="s">
        <v>15482</v>
      </c>
      <c r="C1977" s="13" t="s">
        <v>15483</v>
      </c>
      <c r="D1977" s="13" t="s">
        <v>13564</v>
      </c>
      <c r="E1977" s="13" t="s">
        <v>1150</v>
      </c>
      <c r="F1977" s="15">
        <v>367</v>
      </c>
      <c r="G1977" s="15">
        <v>367</v>
      </c>
    </row>
    <row r="1978" spans="1:7">
      <c r="A1978" s="14">
        <v>8115</v>
      </c>
      <c r="B1978" s="13" t="s">
        <v>15484</v>
      </c>
      <c r="C1978" s="13" t="s">
        <v>15485</v>
      </c>
      <c r="D1978" s="13" t="s">
        <v>13564</v>
      </c>
      <c r="E1978" s="13" t="s">
        <v>1150</v>
      </c>
      <c r="F1978" s="15">
        <v>367</v>
      </c>
      <c r="G1978" s="15">
        <v>367</v>
      </c>
    </row>
    <row r="1979" spans="1:7">
      <c r="A1979" s="14">
        <v>8116</v>
      </c>
      <c r="B1979" s="13" t="s">
        <v>15486</v>
      </c>
      <c r="C1979" s="13" t="s">
        <v>15487</v>
      </c>
      <c r="D1979" s="13" t="s">
        <v>13564</v>
      </c>
      <c r="E1979" s="13" t="s">
        <v>1150</v>
      </c>
      <c r="F1979" s="15">
        <v>368</v>
      </c>
      <c r="G1979" s="15">
        <v>368</v>
      </c>
    </row>
    <row r="1980" spans="1:7">
      <c r="A1980" s="14">
        <v>8117</v>
      </c>
      <c r="B1980" s="13" t="s">
        <v>15488</v>
      </c>
      <c r="C1980" s="13" t="s">
        <v>15489</v>
      </c>
      <c r="D1980" s="13" t="s">
        <v>13564</v>
      </c>
      <c r="E1980" s="13" t="s">
        <v>1150</v>
      </c>
      <c r="F1980" s="15">
        <v>367</v>
      </c>
      <c r="G1980" s="15">
        <v>367</v>
      </c>
    </row>
    <row r="1981" spans="1:7">
      <c r="A1981" s="14">
        <v>8119</v>
      </c>
      <c r="B1981" s="13" t="s">
        <v>15490</v>
      </c>
      <c r="C1981" s="13" t="s">
        <v>15491</v>
      </c>
      <c r="D1981" s="13" t="s">
        <v>13564</v>
      </c>
      <c r="E1981" s="13" t="s">
        <v>1150</v>
      </c>
      <c r="F1981" s="15">
        <v>367</v>
      </c>
      <c r="G1981" s="15">
        <v>367</v>
      </c>
    </row>
    <row r="1982" spans="1:7">
      <c r="A1982" s="14">
        <v>8120</v>
      </c>
      <c r="B1982" s="13" t="s">
        <v>15492</v>
      </c>
      <c r="C1982" s="13" t="s">
        <v>15493</v>
      </c>
      <c r="D1982" s="13" t="s">
        <v>13564</v>
      </c>
      <c r="E1982" s="13" t="s">
        <v>1150</v>
      </c>
      <c r="F1982" s="15">
        <v>368</v>
      </c>
      <c r="G1982" s="15">
        <v>368</v>
      </c>
    </row>
    <row r="1983" spans="1:7">
      <c r="A1983" s="14">
        <v>8121</v>
      </c>
      <c r="B1983" s="13" t="s">
        <v>15494</v>
      </c>
      <c r="C1983" s="13" t="s">
        <v>15495</v>
      </c>
      <c r="D1983" s="13" t="s">
        <v>13564</v>
      </c>
      <c r="E1983" s="13" t="s">
        <v>1150</v>
      </c>
      <c r="F1983" s="15">
        <v>368</v>
      </c>
      <c r="G1983" s="15">
        <v>368</v>
      </c>
    </row>
    <row r="1984" spans="1:7">
      <c r="A1984" s="14">
        <v>8122</v>
      </c>
      <c r="B1984" s="13" t="s">
        <v>15496</v>
      </c>
      <c r="C1984" s="13" t="s">
        <v>15497</v>
      </c>
      <c r="D1984" s="13" t="s">
        <v>13564</v>
      </c>
      <c r="E1984" s="13" t="s">
        <v>1150</v>
      </c>
      <c r="F1984" s="15">
        <v>368</v>
      </c>
      <c r="G1984" s="15">
        <v>368</v>
      </c>
    </row>
    <row r="1985" spans="1:7">
      <c r="A1985" s="14">
        <v>8124</v>
      </c>
      <c r="B1985" s="13" t="s">
        <v>15498</v>
      </c>
      <c r="C1985" s="13" t="s">
        <v>15499</v>
      </c>
      <c r="D1985" s="13" t="s">
        <v>13564</v>
      </c>
      <c r="E1985" s="13" t="s">
        <v>1150</v>
      </c>
      <c r="F1985" s="15">
        <v>368</v>
      </c>
      <c r="G1985" s="15">
        <v>368</v>
      </c>
    </row>
    <row r="1986" spans="1:7">
      <c r="A1986" s="14">
        <v>8140</v>
      </c>
      <c r="B1986" s="13" t="s">
        <v>15500</v>
      </c>
      <c r="C1986" s="13" t="s">
        <v>15501</v>
      </c>
      <c r="D1986" s="13" t="s">
        <v>13773</v>
      </c>
      <c r="E1986" s="13" t="s">
        <v>1150</v>
      </c>
      <c r="F1986" s="15">
        <v>38353</v>
      </c>
      <c r="G1986" s="15">
        <v>38353</v>
      </c>
    </row>
    <row r="1987" spans="1:7">
      <c r="A1987" s="14">
        <v>8150</v>
      </c>
      <c r="B1987" s="13" t="s">
        <v>15502</v>
      </c>
      <c r="C1987" s="13" t="s">
        <v>15503</v>
      </c>
      <c r="D1987" s="13" t="s">
        <v>13773</v>
      </c>
      <c r="E1987" s="13" t="s">
        <v>1150</v>
      </c>
      <c r="F1987" s="15">
        <v>38389</v>
      </c>
      <c r="G1987" s="15">
        <v>38389</v>
      </c>
    </row>
    <row r="1988" spans="1:7">
      <c r="A1988" s="14">
        <v>8168</v>
      </c>
      <c r="B1988" s="13" t="s">
        <v>15504</v>
      </c>
      <c r="C1988" s="13" t="s">
        <v>15505</v>
      </c>
      <c r="D1988" s="13" t="s">
        <v>13773</v>
      </c>
      <c r="E1988" s="13" t="s">
        <v>1150</v>
      </c>
      <c r="F1988" s="15">
        <v>42370</v>
      </c>
      <c r="G1988" s="15">
        <v>42370</v>
      </c>
    </row>
    <row r="1989" spans="1:7">
      <c r="A1989" s="14">
        <v>8175</v>
      </c>
      <c r="B1989" s="13" t="s">
        <v>15506</v>
      </c>
      <c r="C1989" s="13" t="s">
        <v>15507</v>
      </c>
      <c r="D1989" s="13" t="s">
        <v>13773</v>
      </c>
      <c r="E1989" s="13" t="s">
        <v>1150</v>
      </c>
      <c r="F1989" s="15">
        <v>40909</v>
      </c>
      <c r="G1989" s="15">
        <v>40909</v>
      </c>
    </row>
    <row r="1990" spans="1:7">
      <c r="A1990" s="14">
        <v>8180</v>
      </c>
      <c r="B1990" s="13" t="s">
        <v>15508</v>
      </c>
      <c r="C1990" s="13" t="s">
        <v>15509</v>
      </c>
      <c r="D1990" s="13" t="s">
        <v>13564</v>
      </c>
      <c r="E1990" s="13" t="s">
        <v>1150</v>
      </c>
      <c r="F1990" s="15">
        <v>37561</v>
      </c>
      <c r="G1990" s="15">
        <v>37561</v>
      </c>
    </row>
    <row r="1991" spans="1:7">
      <c r="A1991" s="14">
        <v>8185</v>
      </c>
      <c r="B1991" s="13" t="s">
        <v>15510</v>
      </c>
      <c r="C1991" s="13" t="s">
        <v>15511</v>
      </c>
      <c r="D1991" s="13" t="s">
        <v>13564</v>
      </c>
      <c r="E1991" s="13" t="s">
        <v>1150</v>
      </c>
      <c r="F1991" s="15">
        <v>37561</v>
      </c>
      <c r="G1991" s="15">
        <v>37561</v>
      </c>
    </row>
    <row r="1992" spans="1:7">
      <c r="A1992" s="14">
        <v>8190</v>
      </c>
      <c r="B1992" s="13" t="s">
        <v>15512</v>
      </c>
      <c r="C1992" s="13" t="s">
        <v>15513</v>
      </c>
      <c r="E1992" s="13" t="s">
        <v>1150</v>
      </c>
      <c r="F1992" s="15">
        <v>37622</v>
      </c>
      <c r="G1992" s="15">
        <v>37622</v>
      </c>
    </row>
    <row r="1993" spans="1:7">
      <c r="A1993" s="14">
        <v>8195</v>
      </c>
      <c r="B1993" s="13" t="s">
        <v>15514</v>
      </c>
      <c r="C1993" s="13" t="s">
        <v>15515</v>
      </c>
      <c r="D1993" s="13" t="s">
        <v>13564</v>
      </c>
      <c r="E1993" s="13" t="s">
        <v>1150</v>
      </c>
      <c r="F1993" s="15">
        <v>37561</v>
      </c>
      <c r="G1993" s="15">
        <v>37561</v>
      </c>
    </row>
    <row r="1994" spans="1:7">
      <c r="A1994" s="14">
        <v>8200</v>
      </c>
      <c r="B1994" s="13" t="s">
        <v>15516</v>
      </c>
      <c r="C1994" s="13" t="s">
        <v>15517</v>
      </c>
      <c r="D1994" s="13" t="s">
        <v>13564</v>
      </c>
      <c r="E1994" s="13" t="s">
        <v>1150</v>
      </c>
      <c r="F1994" s="15">
        <v>37561</v>
      </c>
      <c r="G1994" s="15">
        <v>37561</v>
      </c>
    </row>
    <row r="1995" spans="1:7">
      <c r="A1995" s="14">
        <v>8210</v>
      </c>
      <c r="B1995" s="13" t="s">
        <v>15518</v>
      </c>
      <c r="C1995" s="13" t="s">
        <v>15519</v>
      </c>
      <c r="D1995" s="13" t="s">
        <v>13564</v>
      </c>
      <c r="E1995" s="13" t="s">
        <v>1150</v>
      </c>
      <c r="F1995" s="15">
        <v>37561</v>
      </c>
      <c r="G1995" s="15">
        <v>37561</v>
      </c>
    </row>
    <row r="1996" spans="1:7">
      <c r="A1996" s="14">
        <v>8230</v>
      </c>
      <c r="B1996" s="13" t="s">
        <v>15520</v>
      </c>
      <c r="C1996" s="13" t="s">
        <v>15521</v>
      </c>
      <c r="D1996" s="13" t="s">
        <v>13564</v>
      </c>
      <c r="E1996" s="13" t="s">
        <v>1150</v>
      </c>
      <c r="F1996" s="15">
        <v>367</v>
      </c>
      <c r="G1996" s="15">
        <v>367</v>
      </c>
    </row>
    <row r="1997" spans="1:7">
      <c r="A1997" s="14">
        <v>8235</v>
      </c>
      <c r="B1997" s="13" t="s">
        <v>15522</v>
      </c>
      <c r="C1997" s="13" t="s">
        <v>15523</v>
      </c>
      <c r="D1997" s="13" t="s">
        <v>13564</v>
      </c>
      <c r="E1997" s="13" t="s">
        <v>1150</v>
      </c>
      <c r="F1997" s="15">
        <v>367</v>
      </c>
      <c r="G1997" s="15">
        <v>367</v>
      </c>
    </row>
    <row r="1998" spans="1:7">
      <c r="A1998" s="14">
        <v>8240</v>
      </c>
      <c r="B1998" s="13" t="s">
        <v>15524</v>
      </c>
      <c r="C1998" s="13" t="s">
        <v>15525</v>
      </c>
      <c r="D1998" s="13" t="s">
        <v>13564</v>
      </c>
      <c r="E1998" s="13" t="s">
        <v>1150</v>
      </c>
      <c r="F1998" s="15">
        <v>367</v>
      </c>
      <c r="G1998" s="15">
        <v>367</v>
      </c>
    </row>
    <row r="1999" spans="1:7">
      <c r="A1999" s="14">
        <v>8245</v>
      </c>
      <c r="B1999" s="13" t="s">
        <v>15526</v>
      </c>
      <c r="C1999" s="13" t="s">
        <v>15527</v>
      </c>
      <c r="D1999" s="13" t="s">
        <v>13564</v>
      </c>
      <c r="E1999" s="13" t="s">
        <v>1150</v>
      </c>
      <c r="F1999" s="15">
        <v>367</v>
      </c>
      <c r="G1999" s="15">
        <v>367</v>
      </c>
    </row>
    <row r="2000" spans="1:7">
      <c r="A2000" s="14">
        <v>8250</v>
      </c>
      <c r="B2000" s="13" t="s">
        <v>15528</v>
      </c>
      <c r="C2000" s="13" t="s">
        <v>15529</v>
      </c>
      <c r="D2000" s="13" t="s">
        <v>13564</v>
      </c>
      <c r="E2000" s="13" t="s">
        <v>1150</v>
      </c>
      <c r="F2000" s="15">
        <v>367</v>
      </c>
      <c r="G2000" s="15">
        <v>367</v>
      </c>
    </row>
    <row r="2001" spans="1:7">
      <c r="A2001" s="14">
        <v>8255</v>
      </c>
      <c r="B2001" s="13" t="s">
        <v>15530</v>
      </c>
      <c r="C2001" s="13" t="s">
        <v>15531</v>
      </c>
      <c r="D2001" s="13" t="s">
        <v>13564</v>
      </c>
      <c r="E2001" s="13" t="s">
        <v>1150</v>
      </c>
      <c r="F2001" s="15">
        <v>367</v>
      </c>
      <c r="G2001" s="15">
        <v>367</v>
      </c>
    </row>
    <row r="2002" spans="1:7">
      <c r="A2002" s="14">
        <v>8260</v>
      </c>
      <c r="B2002" s="13" t="s">
        <v>15532</v>
      </c>
      <c r="C2002" s="13" t="s">
        <v>15533</v>
      </c>
      <c r="D2002" s="13" t="s">
        <v>13564</v>
      </c>
      <c r="E2002" s="13" t="s">
        <v>1150</v>
      </c>
      <c r="F2002" s="15">
        <v>367</v>
      </c>
      <c r="G2002" s="15">
        <v>367</v>
      </c>
    </row>
    <row r="2003" spans="1:7">
      <c r="A2003" s="14">
        <v>8265</v>
      </c>
      <c r="B2003" s="13" t="s">
        <v>15534</v>
      </c>
      <c r="C2003" s="13" t="s">
        <v>15535</v>
      </c>
      <c r="D2003" s="13" t="s">
        <v>13564</v>
      </c>
      <c r="E2003" s="13" t="s">
        <v>1150</v>
      </c>
      <c r="F2003" s="15">
        <v>367</v>
      </c>
      <c r="G2003" s="15">
        <v>367</v>
      </c>
    </row>
    <row r="2004" spans="1:7">
      <c r="A2004" s="14">
        <v>8270</v>
      </c>
      <c r="B2004" s="13" t="s">
        <v>15536</v>
      </c>
      <c r="C2004" s="13" t="s">
        <v>15537</v>
      </c>
      <c r="D2004" s="13" t="s">
        <v>13564</v>
      </c>
      <c r="E2004" s="13" t="s">
        <v>1150</v>
      </c>
      <c r="F2004" s="15">
        <v>367</v>
      </c>
      <c r="G2004" s="15">
        <v>367</v>
      </c>
    </row>
    <row r="2005" spans="1:7">
      <c r="A2005" s="14">
        <v>8275</v>
      </c>
      <c r="B2005" s="13" t="s">
        <v>15538</v>
      </c>
      <c r="C2005" s="13" t="s">
        <v>15539</v>
      </c>
      <c r="D2005" s="13" t="s">
        <v>13564</v>
      </c>
      <c r="E2005" s="13" t="s">
        <v>1150</v>
      </c>
      <c r="F2005" s="15">
        <v>367</v>
      </c>
      <c r="G2005" s="15">
        <v>367</v>
      </c>
    </row>
    <row r="2006" spans="1:7">
      <c r="A2006" s="14">
        <v>8280</v>
      </c>
      <c r="B2006" s="13" t="s">
        <v>15540</v>
      </c>
      <c r="C2006" s="13" t="s">
        <v>15541</v>
      </c>
      <c r="D2006" s="13" t="s">
        <v>13564</v>
      </c>
      <c r="E2006" s="13" t="s">
        <v>1150</v>
      </c>
      <c r="F2006" s="15">
        <v>367</v>
      </c>
      <c r="G2006" s="15">
        <v>367</v>
      </c>
    </row>
    <row r="2007" spans="1:7">
      <c r="A2007" s="14">
        <v>8285</v>
      </c>
      <c r="B2007" s="13" t="s">
        <v>15542</v>
      </c>
      <c r="C2007" s="13" t="s">
        <v>15543</v>
      </c>
      <c r="D2007" s="13" t="s">
        <v>13564</v>
      </c>
      <c r="E2007" s="13" t="s">
        <v>1150</v>
      </c>
      <c r="F2007" s="15">
        <v>367</v>
      </c>
      <c r="G2007" s="15">
        <v>367</v>
      </c>
    </row>
    <row r="2008" spans="1:7">
      <c r="A2008" s="14">
        <v>8290</v>
      </c>
      <c r="B2008" s="13" t="s">
        <v>15544</v>
      </c>
      <c r="C2008" s="13" t="s">
        <v>15545</v>
      </c>
      <c r="D2008" s="13" t="s">
        <v>13564</v>
      </c>
      <c r="E2008" s="13" t="s">
        <v>1150</v>
      </c>
      <c r="F2008" s="15">
        <v>367</v>
      </c>
      <c r="G2008" s="15">
        <v>367</v>
      </c>
    </row>
    <row r="2009" spans="1:7">
      <c r="A2009" s="14">
        <v>8295</v>
      </c>
      <c r="B2009" s="13" t="s">
        <v>15546</v>
      </c>
      <c r="C2009" s="13" t="s">
        <v>15547</v>
      </c>
      <c r="D2009" s="13" t="s">
        <v>13564</v>
      </c>
      <c r="E2009" s="13" t="s">
        <v>1150</v>
      </c>
      <c r="F2009" s="15">
        <v>367</v>
      </c>
      <c r="G2009" s="15">
        <v>367</v>
      </c>
    </row>
    <row r="2010" spans="1:7">
      <c r="A2010" s="14">
        <v>8300</v>
      </c>
      <c r="B2010" s="13" t="s">
        <v>15548</v>
      </c>
      <c r="C2010" s="13" t="s">
        <v>15549</v>
      </c>
      <c r="D2010" s="13" t="s">
        <v>13564</v>
      </c>
      <c r="E2010" s="13" t="s">
        <v>1150</v>
      </c>
      <c r="F2010" s="15">
        <v>367</v>
      </c>
      <c r="G2010" s="15">
        <v>367</v>
      </c>
    </row>
    <row r="2011" spans="1:7">
      <c r="A2011" s="14">
        <v>8305</v>
      </c>
      <c r="B2011" s="13" t="s">
        <v>15550</v>
      </c>
      <c r="C2011" s="13" t="s">
        <v>15551</v>
      </c>
      <c r="D2011" s="13" t="s">
        <v>13564</v>
      </c>
      <c r="E2011" s="13" t="s">
        <v>1150</v>
      </c>
      <c r="F2011" s="15">
        <v>367</v>
      </c>
      <c r="G2011" s="15">
        <v>367</v>
      </c>
    </row>
    <row r="2012" spans="1:7">
      <c r="A2012" s="14">
        <v>8310</v>
      </c>
      <c r="B2012" s="13" t="s">
        <v>15552</v>
      </c>
      <c r="C2012" s="13" t="s">
        <v>15553</v>
      </c>
      <c r="D2012" s="13" t="s">
        <v>13564</v>
      </c>
      <c r="E2012" s="13" t="s">
        <v>1150</v>
      </c>
      <c r="F2012" s="15">
        <v>367</v>
      </c>
      <c r="G2012" s="15">
        <v>367</v>
      </c>
    </row>
    <row r="2013" spans="1:7">
      <c r="A2013" s="14">
        <v>8315</v>
      </c>
      <c r="B2013" s="13" t="s">
        <v>15554</v>
      </c>
      <c r="C2013" s="13" t="s">
        <v>15555</v>
      </c>
      <c r="D2013" s="13" t="s">
        <v>13564</v>
      </c>
      <c r="E2013" s="13" t="s">
        <v>1150</v>
      </c>
      <c r="F2013" s="15">
        <v>367</v>
      </c>
      <c r="G2013" s="15">
        <v>367</v>
      </c>
    </row>
    <row r="2014" spans="1:7">
      <c r="A2014" s="14">
        <v>8320</v>
      </c>
      <c r="B2014" s="13" t="s">
        <v>15556</v>
      </c>
      <c r="C2014" s="13" t="s">
        <v>15557</v>
      </c>
      <c r="D2014" s="13" t="s">
        <v>13564</v>
      </c>
      <c r="E2014" s="13" t="s">
        <v>1150</v>
      </c>
      <c r="F2014" s="15">
        <v>367</v>
      </c>
      <c r="G2014" s="15">
        <v>367</v>
      </c>
    </row>
    <row r="2015" spans="1:7">
      <c r="A2015" s="14">
        <v>8325</v>
      </c>
      <c r="B2015" s="13" t="s">
        <v>15558</v>
      </c>
      <c r="C2015" s="13" t="s">
        <v>15559</v>
      </c>
      <c r="D2015" s="13" t="s">
        <v>13564</v>
      </c>
      <c r="E2015" s="13" t="s">
        <v>1150</v>
      </c>
      <c r="F2015" s="15">
        <v>367</v>
      </c>
      <c r="G2015" s="15">
        <v>367</v>
      </c>
    </row>
    <row r="2016" spans="1:7">
      <c r="A2016" s="14">
        <v>8330</v>
      </c>
      <c r="B2016" s="13" t="s">
        <v>15560</v>
      </c>
      <c r="C2016" s="13" t="s">
        <v>15561</v>
      </c>
      <c r="D2016" s="13" t="s">
        <v>13564</v>
      </c>
      <c r="E2016" s="13" t="s">
        <v>1150</v>
      </c>
      <c r="F2016" s="15">
        <v>367</v>
      </c>
      <c r="G2016" s="15">
        <v>367</v>
      </c>
    </row>
    <row r="2017" spans="1:7">
      <c r="A2017" s="14">
        <v>8335</v>
      </c>
      <c r="B2017" s="13" t="s">
        <v>15562</v>
      </c>
      <c r="C2017" s="13" t="s">
        <v>15563</v>
      </c>
      <c r="D2017" s="13" t="s">
        <v>13564</v>
      </c>
      <c r="E2017" s="13" t="s">
        <v>1150</v>
      </c>
      <c r="F2017" s="15">
        <v>367</v>
      </c>
      <c r="G2017" s="15">
        <v>367</v>
      </c>
    </row>
    <row r="2018" spans="1:7">
      <c r="A2018" s="14">
        <v>8340</v>
      </c>
      <c r="B2018" s="13" t="s">
        <v>15564</v>
      </c>
      <c r="C2018" s="13" t="s">
        <v>15565</v>
      </c>
      <c r="D2018" s="13" t="s">
        <v>13564</v>
      </c>
      <c r="E2018" s="13" t="s">
        <v>1150</v>
      </c>
      <c r="F2018" s="15">
        <v>367</v>
      </c>
      <c r="G2018" s="15">
        <v>367</v>
      </c>
    </row>
    <row r="2019" spans="1:7">
      <c r="A2019" s="14">
        <v>8345</v>
      </c>
      <c r="B2019" s="13" t="s">
        <v>15566</v>
      </c>
      <c r="C2019" s="13" t="s">
        <v>15567</v>
      </c>
      <c r="D2019" s="13" t="s">
        <v>13564</v>
      </c>
      <c r="E2019" s="13" t="s">
        <v>1150</v>
      </c>
      <c r="F2019" s="15">
        <v>367</v>
      </c>
      <c r="G2019" s="15">
        <v>367</v>
      </c>
    </row>
    <row r="2020" spans="1:7">
      <c r="A2020" s="14">
        <v>8350</v>
      </c>
      <c r="B2020" s="13" t="s">
        <v>15568</v>
      </c>
      <c r="C2020" s="13" t="s">
        <v>15569</v>
      </c>
      <c r="D2020" s="13" t="s">
        <v>13564</v>
      </c>
      <c r="E2020" s="13" t="s">
        <v>1150</v>
      </c>
      <c r="F2020" s="15">
        <v>367</v>
      </c>
      <c r="G2020" s="15">
        <v>367</v>
      </c>
    </row>
    <row r="2021" spans="1:7">
      <c r="A2021" s="14">
        <v>8355</v>
      </c>
      <c r="B2021" s="13" t="s">
        <v>15570</v>
      </c>
      <c r="C2021" s="13" t="s">
        <v>15571</v>
      </c>
      <c r="D2021" s="13" t="s">
        <v>13564</v>
      </c>
      <c r="E2021" s="13" t="s">
        <v>1150</v>
      </c>
      <c r="F2021" s="15">
        <v>367</v>
      </c>
      <c r="G2021" s="15">
        <v>367</v>
      </c>
    </row>
    <row r="2022" spans="1:7">
      <c r="A2022" s="14">
        <v>8360</v>
      </c>
      <c r="B2022" s="13" t="s">
        <v>15572</v>
      </c>
      <c r="C2022" s="13" t="s">
        <v>15573</v>
      </c>
      <c r="D2022" s="13" t="s">
        <v>13564</v>
      </c>
      <c r="E2022" s="13" t="s">
        <v>1150</v>
      </c>
      <c r="F2022" s="15">
        <v>367</v>
      </c>
      <c r="G2022" s="15">
        <v>367</v>
      </c>
    </row>
    <row r="2023" spans="1:7">
      <c r="A2023" s="14">
        <v>8365</v>
      </c>
      <c r="B2023" s="13" t="s">
        <v>15574</v>
      </c>
      <c r="C2023" s="13" t="s">
        <v>15575</v>
      </c>
      <c r="D2023" s="13" t="s">
        <v>13564</v>
      </c>
      <c r="E2023" s="13" t="s">
        <v>1150</v>
      </c>
      <c r="F2023" s="15">
        <v>367</v>
      </c>
      <c r="G2023" s="15">
        <v>367</v>
      </c>
    </row>
    <row r="2024" spans="1:7">
      <c r="A2024" s="14">
        <v>8370</v>
      </c>
      <c r="B2024" s="13" t="s">
        <v>15576</v>
      </c>
      <c r="C2024" s="13" t="s">
        <v>15577</v>
      </c>
      <c r="D2024" s="13" t="s">
        <v>13564</v>
      </c>
      <c r="E2024" s="13" t="s">
        <v>1150</v>
      </c>
      <c r="F2024" s="15">
        <v>367</v>
      </c>
      <c r="G2024" s="15">
        <v>367</v>
      </c>
    </row>
    <row r="2025" spans="1:7">
      <c r="A2025" s="14">
        <v>8375</v>
      </c>
      <c r="B2025" s="13" t="s">
        <v>15578</v>
      </c>
      <c r="C2025" s="13" t="s">
        <v>15579</v>
      </c>
      <c r="D2025" s="13" t="s">
        <v>13564</v>
      </c>
      <c r="E2025" s="13" t="s">
        <v>1150</v>
      </c>
      <c r="F2025" s="15">
        <v>367</v>
      </c>
      <c r="G2025" s="15">
        <v>367</v>
      </c>
    </row>
    <row r="2026" spans="1:7">
      <c r="A2026" s="14">
        <v>8380</v>
      </c>
      <c r="B2026" s="13" t="s">
        <v>15580</v>
      </c>
      <c r="C2026" s="13" t="s">
        <v>15581</v>
      </c>
      <c r="D2026" s="13" t="s">
        <v>13564</v>
      </c>
      <c r="E2026" s="13" t="s">
        <v>1150</v>
      </c>
      <c r="F2026" s="15">
        <v>367</v>
      </c>
      <c r="G2026" s="15">
        <v>367</v>
      </c>
    </row>
    <row r="2027" spans="1:7">
      <c r="A2027" s="14">
        <v>8385</v>
      </c>
      <c r="B2027" s="13" t="s">
        <v>15582</v>
      </c>
      <c r="C2027" s="13" t="s">
        <v>15583</v>
      </c>
      <c r="D2027" s="13" t="s">
        <v>13564</v>
      </c>
      <c r="E2027" s="13" t="s">
        <v>1150</v>
      </c>
      <c r="F2027" s="15">
        <v>367</v>
      </c>
      <c r="G2027" s="15">
        <v>367</v>
      </c>
    </row>
    <row r="2028" spans="1:7">
      <c r="A2028" s="14">
        <v>8390</v>
      </c>
      <c r="B2028" s="13" t="s">
        <v>15584</v>
      </c>
      <c r="C2028" s="13" t="s">
        <v>15585</v>
      </c>
      <c r="D2028" s="13" t="s">
        <v>13564</v>
      </c>
      <c r="E2028" s="13" t="s">
        <v>1150</v>
      </c>
      <c r="F2028" s="15">
        <v>367</v>
      </c>
      <c r="G2028" s="15">
        <v>367</v>
      </c>
    </row>
    <row r="2029" spans="1:7">
      <c r="A2029" s="14">
        <v>8395</v>
      </c>
      <c r="B2029" s="13" t="s">
        <v>15586</v>
      </c>
      <c r="C2029" s="13" t="s">
        <v>15587</v>
      </c>
      <c r="D2029" s="13" t="s">
        <v>13564</v>
      </c>
      <c r="E2029" s="13" t="s">
        <v>1150</v>
      </c>
      <c r="F2029" s="15">
        <v>367</v>
      </c>
      <c r="G2029" s="15">
        <v>367</v>
      </c>
    </row>
    <row r="2030" spans="1:7">
      <c r="A2030" s="14">
        <v>8400</v>
      </c>
      <c r="B2030" s="13" t="s">
        <v>15588</v>
      </c>
      <c r="C2030" s="13" t="s">
        <v>15589</v>
      </c>
      <c r="D2030" s="13" t="s">
        <v>13564</v>
      </c>
      <c r="E2030" s="13" t="s">
        <v>1150</v>
      </c>
      <c r="F2030" s="15">
        <v>367</v>
      </c>
      <c r="G2030" s="15">
        <v>367</v>
      </c>
    </row>
    <row r="2031" spans="1:7">
      <c r="A2031" s="14">
        <v>8405</v>
      </c>
      <c r="B2031" s="13" t="s">
        <v>15590</v>
      </c>
      <c r="C2031" s="13" t="s">
        <v>15591</v>
      </c>
      <c r="D2031" s="13" t="s">
        <v>13564</v>
      </c>
      <c r="E2031" s="13" t="s">
        <v>1150</v>
      </c>
      <c r="F2031" s="15">
        <v>367</v>
      </c>
      <c r="G2031" s="15">
        <v>367</v>
      </c>
    </row>
    <row r="2032" spans="1:7">
      <c r="A2032" s="14">
        <v>8410</v>
      </c>
      <c r="B2032" s="13" t="s">
        <v>15592</v>
      </c>
      <c r="C2032" s="13" t="s">
        <v>15593</v>
      </c>
      <c r="D2032" s="13" t="s">
        <v>13564</v>
      </c>
      <c r="E2032" s="13" t="s">
        <v>1150</v>
      </c>
      <c r="F2032" s="15">
        <v>367</v>
      </c>
      <c r="G2032" s="15">
        <v>367</v>
      </c>
    </row>
    <row r="2033" spans="1:7">
      <c r="A2033" s="14">
        <v>8415</v>
      </c>
      <c r="B2033" s="13" t="s">
        <v>15594</v>
      </c>
      <c r="C2033" s="13" t="s">
        <v>15595</v>
      </c>
      <c r="D2033" s="13" t="s">
        <v>13564</v>
      </c>
      <c r="E2033" s="13" t="s">
        <v>1150</v>
      </c>
      <c r="F2033" s="15">
        <v>367</v>
      </c>
      <c r="G2033" s="15">
        <v>367</v>
      </c>
    </row>
    <row r="2034" spans="1:7">
      <c r="A2034" s="14">
        <v>8420</v>
      </c>
      <c r="B2034" s="13" t="s">
        <v>15596</v>
      </c>
      <c r="C2034" s="13" t="s">
        <v>15597</v>
      </c>
      <c r="D2034" s="13" t="s">
        <v>13564</v>
      </c>
      <c r="E2034" s="13" t="s">
        <v>1150</v>
      </c>
      <c r="F2034" s="15">
        <v>367</v>
      </c>
      <c r="G2034" s="15">
        <v>367</v>
      </c>
    </row>
    <row r="2035" spans="1:7">
      <c r="A2035" s="14">
        <v>8425</v>
      </c>
      <c r="B2035" s="13" t="s">
        <v>15598</v>
      </c>
      <c r="C2035" s="13" t="s">
        <v>15599</v>
      </c>
      <c r="D2035" s="13" t="s">
        <v>13564</v>
      </c>
      <c r="E2035" s="13" t="s">
        <v>1150</v>
      </c>
      <c r="F2035" s="15">
        <v>367</v>
      </c>
      <c r="G2035" s="15">
        <v>367</v>
      </c>
    </row>
    <row r="2036" spans="1:7">
      <c r="A2036" s="14">
        <v>8430</v>
      </c>
      <c r="B2036" s="13" t="s">
        <v>15600</v>
      </c>
      <c r="C2036" s="13" t="s">
        <v>15601</v>
      </c>
      <c r="D2036" s="13" t="s">
        <v>13564</v>
      </c>
      <c r="E2036" s="13" t="s">
        <v>1150</v>
      </c>
      <c r="F2036" s="15">
        <v>367</v>
      </c>
      <c r="G2036" s="15">
        <v>367</v>
      </c>
    </row>
    <row r="2037" spans="1:7">
      <c r="A2037" s="14">
        <v>8435</v>
      </c>
      <c r="B2037" s="13" t="s">
        <v>15602</v>
      </c>
      <c r="C2037" s="13" t="s">
        <v>15603</v>
      </c>
      <c r="D2037" s="13" t="s">
        <v>13564</v>
      </c>
      <c r="E2037" s="13" t="s">
        <v>1150</v>
      </c>
      <c r="F2037" s="15">
        <v>367</v>
      </c>
      <c r="G2037" s="15">
        <v>367</v>
      </c>
    </row>
    <row r="2038" spans="1:7">
      <c r="A2038" s="14">
        <v>8440</v>
      </c>
      <c r="B2038" s="13" t="s">
        <v>15604</v>
      </c>
      <c r="C2038" s="13" t="s">
        <v>15605</v>
      </c>
      <c r="D2038" s="13" t="s">
        <v>13564</v>
      </c>
      <c r="E2038" s="13" t="s">
        <v>1150</v>
      </c>
      <c r="F2038" s="15">
        <v>367</v>
      </c>
      <c r="G2038" s="15">
        <v>367</v>
      </c>
    </row>
    <row r="2039" spans="1:7">
      <c r="A2039" s="14">
        <v>8445</v>
      </c>
      <c r="B2039" s="13" t="s">
        <v>15606</v>
      </c>
      <c r="C2039" s="13" t="s">
        <v>15607</v>
      </c>
      <c r="D2039" s="13" t="s">
        <v>13564</v>
      </c>
      <c r="E2039" s="13" t="s">
        <v>1150</v>
      </c>
      <c r="F2039" s="15">
        <v>367</v>
      </c>
      <c r="G2039" s="15">
        <v>367</v>
      </c>
    </row>
    <row r="2040" spans="1:7">
      <c r="A2040" s="14">
        <v>8450</v>
      </c>
      <c r="B2040" s="13" t="s">
        <v>15608</v>
      </c>
      <c r="C2040" s="13" t="s">
        <v>15609</v>
      </c>
      <c r="D2040" s="13" t="s">
        <v>13564</v>
      </c>
      <c r="E2040" s="13" t="s">
        <v>1150</v>
      </c>
      <c r="F2040" s="15">
        <v>367</v>
      </c>
      <c r="G2040" s="15">
        <v>367</v>
      </c>
    </row>
    <row r="2041" spans="1:7">
      <c r="A2041" s="14">
        <v>8455</v>
      </c>
      <c r="B2041" s="13" t="s">
        <v>15610</v>
      </c>
      <c r="C2041" s="13" t="s">
        <v>15611</v>
      </c>
      <c r="D2041" s="13" t="s">
        <v>13564</v>
      </c>
      <c r="E2041" s="13" t="s">
        <v>1150</v>
      </c>
      <c r="F2041" s="15">
        <v>367</v>
      </c>
      <c r="G2041" s="15">
        <v>367</v>
      </c>
    </row>
    <row r="2042" spans="1:7">
      <c r="A2042" s="14">
        <v>8460</v>
      </c>
      <c r="B2042" s="13" t="s">
        <v>15612</v>
      </c>
      <c r="C2042" s="13" t="s">
        <v>15613</v>
      </c>
      <c r="D2042" s="13" t="s">
        <v>13564</v>
      </c>
      <c r="E2042" s="13" t="s">
        <v>1150</v>
      </c>
      <c r="F2042" s="15">
        <v>367</v>
      </c>
      <c r="G2042" s="15">
        <v>367</v>
      </c>
    </row>
    <row r="2043" spans="1:7">
      <c r="A2043" s="14">
        <v>8465</v>
      </c>
      <c r="B2043" s="13" t="s">
        <v>15614</v>
      </c>
      <c r="C2043" s="13" t="s">
        <v>15615</v>
      </c>
      <c r="D2043" s="13" t="s">
        <v>13564</v>
      </c>
      <c r="E2043" s="13" t="s">
        <v>1150</v>
      </c>
      <c r="F2043" s="15">
        <v>367</v>
      </c>
      <c r="G2043" s="15">
        <v>367</v>
      </c>
    </row>
    <row r="2044" spans="1:7">
      <c r="A2044" s="14">
        <v>8470</v>
      </c>
      <c r="B2044" s="13" t="s">
        <v>15616</v>
      </c>
      <c r="C2044" s="13" t="s">
        <v>15617</v>
      </c>
      <c r="D2044" s="13" t="s">
        <v>13564</v>
      </c>
      <c r="E2044" s="13" t="s">
        <v>1150</v>
      </c>
      <c r="F2044" s="15">
        <v>367</v>
      </c>
      <c r="G2044" s="15">
        <v>367</v>
      </c>
    </row>
    <row r="2045" spans="1:7">
      <c r="A2045" s="14">
        <v>8475</v>
      </c>
      <c r="B2045" s="13" t="s">
        <v>15618</v>
      </c>
      <c r="C2045" s="13" t="s">
        <v>15619</v>
      </c>
      <c r="D2045" s="13" t="s">
        <v>13564</v>
      </c>
      <c r="E2045" s="13" t="s">
        <v>1150</v>
      </c>
      <c r="F2045" s="15">
        <v>367</v>
      </c>
      <c r="G2045" s="15">
        <v>367</v>
      </c>
    </row>
    <row r="2046" spans="1:7">
      <c r="A2046" s="14">
        <v>8480</v>
      </c>
      <c r="B2046" s="13" t="s">
        <v>15620</v>
      </c>
      <c r="C2046" s="13" t="s">
        <v>15621</v>
      </c>
      <c r="D2046" s="13" t="s">
        <v>13564</v>
      </c>
      <c r="E2046" s="13" t="s">
        <v>1150</v>
      </c>
      <c r="F2046" s="15">
        <v>367</v>
      </c>
      <c r="G2046" s="15">
        <v>367</v>
      </c>
    </row>
    <row r="2047" spans="1:7">
      <c r="A2047" s="14">
        <v>8485</v>
      </c>
      <c r="B2047" s="13" t="s">
        <v>15622</v>
      </c>
      <c r="C2047" s="13" t="s">
        <v>15623</v>
      </c>
      <c r="D2047" s="13" t="s">
        <v>13564</v>
      </c>
      <c r="E2047" s="13" t="s">
        <v>1150</v>
      </c>
      <c r="F2047" s="15">
        <v>367</v>
      </c>
      <c r="G2047" s="15">
        <v>367</v>
      </c>
    </row>
    <row r="2048" spans="1:7">
      <c r="A2048" s="14">
        <v>8490</v>
      </c>
      <c r="B2048" s="13" t="s">
        <v>15624</v>
      </c>
      <c r="C2048" s="13" t="s">
        <v>15625</v>
      </c>
      <c r="D2048" s="13" t="s">
        <v>13564</v>
      </c>
      <c r="E2048" s="13" t="s">
        <v>1150</v>
      </c>
      <c r="F2048" s="15">
        <v>367</v>
      </c>
      <c r="G2048" s="15">
        <v>367</v>
      </c>
    </row>
    <row r="2049" spans="1:7">
      <c r="A2049" s="14">
        <v>8495</v>
      </c>
      <c r="B2049" s="13" t="s">
        <v>15626</v>
      </c>
      <c r="C2049" s="13" t="s">
        <v>15627</v>
      </c>
      <c r="D2049" s="13" t="s">
        <v>13564</v>
      </c>
      <c r="E2049" s="13" t="s">
        <v>1150</v>
      </c>
      <c r="F2049" s="15">
        <v>367</v>
      </c>
      <c r="G2049" s="15">
        <v>367</v>
      </c>
    </row>
    <row r="2050" spans="1:7">
      <c r="A2050" s="14">
        <v>8500</v>
      </c>
      <c r="B2050" s="13" t="s">
        <v>15628</v>
      </c>
      <c r="C2050" s="13" t="s">
        <v>15629</v>
      </c>
      <c r="D2050" s="13" t="s">
        <v>13564</v>
      </c>
      <c r="E2050" s="13" t="s">
        <v>1150</v>
      </c>
      <c r="F2050" s="15">
        <v>367</v>
      </c>
      <c r="G2050" s="15">
        <v>367</v>
      </c>
    </row>
    <row r="2051" spans="1:7">
      <c r="A2051" s="14">
        <v>8505</v>
      </c>
      <c r="B2051" s="13" t="s">
        <v>15630</v>
      </c>
      <c r="C2051" s="13" t="s">
        <v>15631</v>
      </c>
      <c r="D2051" s="13" t="s">
        <v>13564</v>
      </c>
      <c r="E2051" s="13" t="s">
        <v>1150</v>
      </c>
      <c r="F2051" s="15">
        <v>367</v>
      </c>
      <c r="G2051" s="15">
        <v>367</v>
      </c>
    </row>
    <row r="2052" spans="1:7">
      <c r="A2052" s="14">
        <v>8510</v>
      </c>
      <c r="B2052" s="13" t="s">
        <v>15632</v>
      </c>
      <c r="C2052" s="13" t="s">
        <v>15633</v>
      </c>
      <c r="D2052" s="13" t="s">
        <v>13564</v>
      </c>
      <c r="E2052" s="13" t="s">
        <v>1150</v>
      </c>
      <c r="F2052" s="15">
        <v>367</v>
      </c>
      <c r="G2052" s="15">
        <v>367</v>
      </c>
    </row>
    <row r="2053" spans="1:7">
      <c r="A2053" s="14">
        <v>8515</v>
      </c>
      <c r="B2053" s="13" t="s">
        <v>15634</v>
      </c>
      <c r="C2053" s="13" t="s">
        <v>15635</v>
      </c>
      <c r="D2053" s="13" t="s">
        <v>13564</v>
      </c>
      <c r="E2053" s="13" t="s">
        <v>1150</v>
      </c>
      <c r="F2053" s="15">
        <v>367</v>
      </c>
      <c r="G2053" s="15">
        <v>367</v>
      </c>
    </row>
    <row r="2054" spans="1:7">
      <c r="A2054" s="14">
        <v>8520</v>
      </c>
      <c r="B2054" s="13" t="s">
        <v>15636</v>
      </c>
      <c r="C2054" s="13" t="s">
        <v>15637</v>
      </c>
      <c r="D2054" s="13" t="s">
        <v>13564</v>
      </c>
      <c r="E2054" s="13" t="s">
        <v>1150</v>
      </c>
      <c r="F2054" s="15">
        <v>367</v>
      </c>
      <c r="G2054" s="15">
        <v>367</v>
      </c>
    </row>
    <row r="2055" spans="1:7">
      <c r="A2055" s="14">
        <v>8525</v>
      </c>
      <c r="B2055" s="13" t="s">
        <v>15638</v>
      </c>
      <c r="C2055" s="13" t="s">
        <v>15639</v>
      </c>
      <c r="D2055" s="13" t="s">
        <v>13564</v>
      </c>
      <c r="E2055" s="13" t="s">
        <v>1150</v>
      </c>
      <c r="F2055" s="15">
        <v>367</v>
      </c>
      <c r="G2055" s="15">
        <v>367</v>
      </c>
    </row>
    <row r="2056" spans="1:7">
      <c r="A2056" s="14">
        <v>8530</v>
      </c>
      <c r="B2056" s="13" t="s">
        <v>15640</v>
      </c>
      <c r="C2056" s="13" t="s">
        <v>15641</v>
      </c>
      <c r="D2056" s="13" t="s">
        <v>13564</v>
      </c>
      <c r="E2056" s="13" t="s">
        <v>1150</v>
      </c>
      <c r="F2056" s="15">
        <v>367</v>
      </c>
      <c r="G2056" s="15">
        <v>367</v>
      </c>
    </row>
    <row r="2057" spans="1:7">
      <c r="A2057" s="14">
        <v>8535</v>
      </c>
      <c r="B2057" s="13" t="s">
        <v>15642</v>
      </c>
      <c r="C2057" s="13" t="s">
        <v>15643</v>
      </c>
      <c r="D2057" s="13" t="s">
        <v>13564</v>
      </c>
      <c r="E2057" s="13" t="s">
        <v>1150</v>
      </c>
      <c r="F2057" s="15">
        <v>367</v>
      </c>
      <c r="G2057" s="15">
        <v>367</v>
      </c>
    </row>
    <row r="2058" spans="1:7">
      <c r="A2058" s="14">
        <v>8540</v>
      </c>
      <c r="B2058" s="13" t="s">
        <v>15644</v>
      </c>
      <c r="C2058" s="13" t="s">
        <v>15645</v>
      </c>
      <c r="D2058" s="13" t="s">
        <v>13564</v>
      </c>
      <c r="E2058" s="13" t="s">
        <v>1150</v>
      </c>
      <c r="F2058" s="15">
        <v>367</v>
      </c>
      <c r="G2058" s="15">
        <v>367</v>
      </c>
    </row>
    <row r="2059" spans="1:7">
      <c r="A2059" s="14">
        <v>8545</v>
      </c>
      <c r="B2059" s="13" t="s">
        <v>15646</v>
      </c>
      <c r="C2059" s="13" t="s">
        <v>15647</v>
      </c>
      <c r="D2059" s="13" t="s">
        <v>13564</v>
      </c>
      <c r="E2059" s="13" t="s">
        <v>1150</v>
      </c>
      <c r="F2059" s="15">
        <v>367</v>
      </c>
      <c r="G2059" s="15">
        <v>367</v>
      </c>
    </row>
    <row r="2060" spans="1:7">
      <c r="A2060" s="14">
        <v>8550</v>
      </c>
      <c r="B2060" s="13" t="s">
        <v>15648</v>
      </c>
      <c r="C2060" s="13" t="s">
        <v>15649</v>
      </c>
      <c r="D2060" s="13" t="s">
        <v>13564</v>
      </c>
      <c r="E2060" s="13" t="s">
        <v>1150</v>
      </c>
      <c r="F2060" s="15">
        <v>367</v>
      </c>
      <c r="G2060" s="15">
        <v>367</v>
      </c>
    </row>
    <row r="2061" spans="1:7">
      <c r="A2061" s="14">
        <v>8555</v>
      </c>
      <c r="B2061" s="13" t="s">
        <v>15650</v>
      </c>
      <c r="C2061" s="13" t="s">
        <v>15651</v>
      </c>
      <c r="D2061" s="13" t="s">
        <v>13564</v>
      </c>
      <c r="E2061" s="13" t="s">
        <v>1150</v>
      </c>
      <c r="F2061" s="15">
        <v>367</v>
      </c>
      <c r="G2061" s="15">
        <v>367</v>
      </c>
    </row>
    <row r="2062" spans="1:7">
      <c r="A2062" s="14">
        <v>8560</v>
      </c>
      <c r="B2062" s="13" t="s">
        <v>15652</v>
      </c>
      <c r="C2062" s="13" t="s">
        <v>15653</v>
      </c>
      <c r="D2062" s="13" t="s">
        <v>13564</v>
      </c>
      <c r="E2062" s="13" t="s">
        <v>1150</v>
      </c>
      <c r="F2062" s="15">
        <v>367</v>
      </c>
      <c r="G2062" s="15">
        <v>367</v>
      </c>
    </row>
    <row r="2063" spans="1:7">
      <c r="A2063" s="14">
        <v>8565</v>
      </c>
      <c r="B2063" s="13" t="s">
        <v>15654</v>
      </c>
      <c r="C2063" s="13" t="s">
        <v>15655</v>
      </c>
      <c r="D2063" s="13" t="s">
        <v>13564</v>
      </c>
      <c r="E2063" s="13" t="s">
        <v>1150</v>
      </c>
      <c r="F2063" s="15">
        <v>367</v>
      </c>
      <c r="G2063" s="15">
        <v>367</v>
      </c>
    </row>
    <row r="2064" spans="1:7">
      <c r="A2064" s="14">
        <v>8570</v>
      </c>
      <c r="B2064" s="13" t="s">
        <v>15656</v>
      </c>
      <c r="C2064" s="13" t="s">
        <v>15657</v>
      </c>
      <c r="D2064" s="13" t="s">
        <v>13564</v>
      </c>
      <c r="E2064" s="13" t="s">
        <v>1150</v>
      </c>
      <c r="F2064" s="15">
        <v>367</v>
      </c>
      <c r="G2064" s="15">
        <v>367</v>
      </c>
    </row>
    <row r="2065" spans="1:7">
      <c r="A2065" s="14">
        <v>8575</v>
      </c>
      <c r="B2065" s="13" t="s">
        <v>15658</v>
      </c>
      <c r="C2065" s="13" t="s">
        <v>15659</v>
      </c>
      <c r="D2065" s="13" t="s">
        <v>13564</v>
      </c>
      <c r="E2065" s="13" t="s">
        <v>1150</v>
      </c>
      <c r="F2065" s="15">
        <v>367</v>
      </c>
      <c r="G2065" s="15">
        <v>367</v>
      </c>
    </row>
    <row r="2066" spans="1:7">
      <c r="A2066" s="14">
        <v>8580</v>
      </c>
      <c r="B2066" s="13" t="s">
        <v>15660</v>
      </c>
      <c r="C2066" s="13" t="s">
        <v>15661</v>
      </c>
      <c r="D2066" s="13" t="s">
        <v>13564</v>
      </c>
      <c r="E2066" s="13" t="s">
        <v>1150</v>
      </c>
      <c r="F2066" s="15">
        <v>367</v>
      </c>
      <c r="G2066" s="15">
        <v>367</v>
      </c>
    </row>
    <row r="2067" spans="1:7">
      <c r="A2067" s="14">
        <v>8585</v>
      </c>
      <c r="B2067" s="13" t="s">
        <v>15662</v>
      </c>
      <c r="C2067" s="13" t="s">
        <v>15663</v>
      </c>
      <c r="D2067" s="13" t="s">
        <v>13564</v>
      </c>
      <c r="E2067" s="13" t="s">
        <v>1150</v>
      </c>
      <c r="F2067" s="15">
        <v>367</v>
      </c>
      <c r="G2067" s="15">
        <v>367</v>
      </c>
    </row>
    <row r="2068" spans="1:7">
      <c r="A2068" s="14">
        <v>8590</v>
      </c>
      <c r="B2068" s="13" t="s">
        <v>15664</v>
      </c>
      <c r="C2068" s="13" t="s">
        <v>15665</v>
      </c>
      <c r="D2068" s="13" t="s">
        <v>13564</v>
      </c>
      <c r="E2068" s="13" t="s">
        <v>1150</v>
      </c>
      <c r="F2068" s="15">
        <v>367</v>
      </c>
      <c r="G2068" s="15">
        <v>367</v>
      </c>
    </row>
    <row r="2069" spans="1:7">
      <c r="A2069" s="14">
        <v>8595</v>
      </c>
      <c r="B2069" s="13" t="s">
        <v>15666</v>
      </c>
      <c r="C2069" s="13" t="s">
        <v>15667</v>
      </c>
      <c r="D2069" s="13" t="s">
        <v>13564</v>
      </c>
      <c r="E2069" s="13" t="s">
        <v>1150</v>
      </c>
      <c r="F2069" s="15">
        <v>367</v>
      </c>
      <c r="G2069" s="15">
        <v>367</v>
      </c>
    </row>
    <row r="2070" spans="1:7">
      <c r="A2070" s="14">
        <v>8600</v>
      </c>
      <c r="B2070" s="13" t="s">
        <v>15668</v>
      </c>
      <c r="C2070" s="13" t="s">
        <v>15669</v>
      </c>
      <c r="D2070" s="13" t="s">
        <v>13564</v>
      </c>
      <c r="E2070" s="13" t="s">
        <v>1150</v>
      </c>
      <c r="F2070" s="15">
        <v>367</v>
      </c>
      <c r="G2070" s="15">
        <v>367</v>
      </c>
    </row>
    <row r="2071" spans="1:7">
      <c r="A2071" s="14">
        <v>8605</v>
      </c>
      <c r="B2071" s="13" t="s">
        <v>15670</v>
      </c>
      <c r="C2071" s="13" t="s">
        <v>15671</v>
      </c>
      <c r="D2071" s="13" t="s">
        <v>13564</v>
      </c>
      <c r="E2071" s="13" t="s">
        <v>1150</v>
      </c>
      <c r="F2071" s="15">
        <v>367</v>
      </c>
      <c r="G2071" s="15">
        <v>367</v>
      </c>
    </row>
    <row r="2072" spans="1:7">
      <c r="A2072" s="14">
        <v>8610</v>
      </c>
      <c r="B2072" s="13" t="s">
        <v>15672</v>
      </c>
      <c r="C2072" s="13" t="s">
        <v>15673</v>
      </c>
      <c r="D2072" s="13" t="s">
        <v>13564</v>
      </c>
      <c r="E2072" s="13" t="s">
        <v>1150</v>
      </c>
      <c r="F2072" s="15">
        <v>367</v>
      </c>
      <c r="G2072" s="15">
        <v>367</v>
      </c>
    </row>
    <row r="2073" spans="1:7">
      <c r="A2073" s="14">
        <v>8615</v>
      </c>
      <c r="B2073" s="13" t="s">
        <v>15674</v>
      </c>
      <c r="C2073" s="13" t="s">
        <v>15675</v>
      </c>
      <c r="D2073" s="13" t="s">
        <v>13564</v>
      </c>
      <c r="E2073" s="13" t="s">
        <v>1150</v>
      </c>
      <c r="F2073" s="15">
        <v>367</v>
      </c>
      <c r="G2073" s="15">
        <v>367</v>
      </c>
    </row>
    <row r="2074" spans="1:7">
      <c r="A2074" s="14">
        <v>8620</v>
      </c>
      <c r="B2074" s="13" t="s">
        <v>15676</v>
      </c>
      <c r="C2074" s="13" t="s">
        <v>15677</v>
      </c>
      <c r="D2074" s="13" t="s">
        <v>13564</v>
      </c>
      <c r="E2074" s="13" t="s">
        <v>1150</v>
      </c>
      <c r="F2074" s="15">
        <v>367</v>
      </c>
      <c r="G2074" s="15">
        <v>367</v>
      </c>
    </row>
    <row r="2075" spans="1:7">
      <c r="A2075" s="14">
        <v>8625</v>
      </c>
      <c r="B2075" s="13" t="s">
        <v>15678</v>
      </c>
      <c r="C2075" s="13" t="s">
        <v>15679</v>
      </c>
      <c r="D2075" s="13" t="s">
        <v>13564</v>
      </c>
      <c r="E2075" s="13" t="s">
        <v>1150</v>
      </c>
      <c r="F2075" s="15">
        <v>367</v>
      </c>
      <c r="G2075" s="15">
        <v>367</v>
      </c>
    </row>
    <row r="2076" spans="1:7">
      <c r="A2076" s="14">
        <v>8630</v>
      </c>
      <c r="B2076" s="13" t="s">
        <v>15680</v>
      </c>
      <c r="C2076" s="13" t="s">
        <v>15681</v>
      </c>
      <c r="D2076" s="13" t="s">
        <v>13564</v>
      </c>
      <c r="E2076" s="13" t="s">
        <v>1150</v>
      </c>
      <c r="F2076" s="15">
        <v>367</v>
      </c>
      <c r="G2076" s="15">
        <v>367</v>
      </c>
    </row>
    <row r="2077" spans="1:7">
      <c r="A2077" s="14">
        <v>8635</v>
      </c>
      <c r="B2077" s="13" t="s">
        <v>15682</v>
      </c>
      <c r="C2077" s="13" t="s">
        <v>15683</v>
      </c>
      <c r="D2077" s="13" t="s">
        <v>13564</v>
      </c>
      <c r="E2077" s="13" t="s">
        <v>1150</v>
      </c>
      <c r="F2077" s="15">
        <v>367</v>
      </c>
      <c r="G2077" s="15">
        <v>367</v>
      </c>
    </row>
    <row r="2078" spans="1:7">
      <c r="A2078" s="14">
        <v>8640</v>
      </c>
      <c r="B2078" s="13" t="s">
        <v>15684</v>
      </c>
      <c r="C2078" s="13" t="s">
        <v>15685</v>
      </c>
      <c r="D2078" s="13" t="s">
        <v>13564</v>
      </c>
      <c r="E2078" s="13" t="s">
        <v>1150</v>
      </c>
      <c r="F2078" s="15">
        <v>367</v>
      </c>
      <c r="G2078" s="15">
        <v>367</v>
      </c>
    </row>
    <row r="2079" spans="1:7">
      <c r="A2079" s="14">
        <v>8645</v>
      </c>
      <c r="B2079" s="13" t="s">
        <v>15686</v>
      </c>
      <c r="C2079" s="13" t="s">
        <v>15687</v>
      </c>
      <c r="D2079" s="13" t="s">
        <v>13564</v>
      </c>
      <c r="E2079" s="13" t="s">
        <v>1150</v>
      </c>
      <c r="F2079" s="15">
        <v>367</v>
      </c>
      <c r="G2079" s="15">
        <v>367</v>
      </c>
    </row>
    <row r="2080" spans="1:7">
      <c r="A2080" s="14">
        <v>8650</v>
      </c>
      <c r="B2080" s="13" t="s">
        <v>15688</v>
      </c>
      <c r="C2080" s="13" t="s">
        <v>15689</v>
      </c>
      <c r="D2080" s="13" t="s">
        <v>13564</v>
      </c>
      <c r="E2080" s="13" t="s">
        <v>1150</v>
      </c>
      <c r="F2080" s="15">
        <v>367</v>
      </c>
      <c r="G2080" s="15">
        <v>367</v>
      </c>
    </row>
    <row r="2081" spans="1:7">
      <c r="A2081" s="14">
        <v>8655</v>
      </c>
      <c r="B2081" s="13" t="s">
        <v>15690</v>
      </c>
      <c r="C2081" s="13" t="s">
        <v>15691</v>
      </c>
      <c r="D2081" s="13" t="s">
        <v>13564</v>
      </c>
      <c r="E2081" s="13" t="s">
        <v>1150</v>
      </c>
      <c r="F2081" s="15">
        <v>367</v>
      </c>
      <c r="G2081" s="15">
        <v>367</v>
      </c>
    </row>
    <row r="2082" spans="1:7">
      <c r="A2082" s="14">
        <v>8660</v>
      </c>
      <c r="B2082" s="13" t="s">
        <v>15692</v>
      </c>
      <c r="C2082" s="13" t="s">
        <v>15693</v>
      </c>
      <c r="D2082" s="13" t="s">
        <v>13564</v>
      </c>
      <c r="E2082" s="13" t="s">
        <v>1150</v>
      </c>
      <c r="F2082" s="15">
        <v>367</v>
      </c>
      <c r="G2082" s="15">
        <v>367</v>
      </c>
    </row>
    <row r="2083" spans="1:7">
      <c r="A2083" s="14">
        <v>8665</v>
      </c>
      <c r="B2083" s="13" t="s">
        <v>15694</v>
      </c>
      <c r="C2083" s="13" t="s">
        <v>15695</v>
      </c>
      <c r="D2083" s="13" t="s">
        <v>13564</v>
      </c>
      <c r="E2083" s="13" t="s">
        <v>1150</v>
      </c>
      <c r="F2083" s="15">
        <v>367</v>
      </c>
      <c r="G2083" s="15">
        <v>367</v>
      </c>
    </row>
    <row r="2084" spans="1:7">
      <c r="A2084" s="14">
        <v>8670</v>
      </c>
      <c r="B2084" s="13" t="s">
        <v>15696</v>
      </c>
      <c r="C2084" s="13" t="s">
        <v>15697</v>
      </c>
      <c r="D2084" s="13" t="s">
        <v>13564</v>
      </c>
      <c r="E2084" s="13" t="s">
        <v>1150</v>
      </c>
      <c r="F2084" s="15">
        <v>367</v>
      </c>
      <c r="G2084" s="15">
        <v>367</v>
      </c>
    </row>
    <row r="2085" spans="1:7">
      <c r="A2085" s="14">
        <v>8675</v>
      </c>
      <c r="B2085" s="13" t="s">
        <v>15698</v>
      </c>
      <c r="C2085" s="13" t="s">
        <v>15699</v>
      </c>
      <c r="D2085" s="13" t="s">
        <v>13564</v>
      </c>
      <c r="E2085" s="13" t="s">
        <v>1150</v>
      </c>
      <c r="F2085" s="15">
        <v>367</v>
      </c>
      <c r="G2085" s="15">
        <v>367</v>
      </c>
    </row>
    <row r="2086" spans="1:7">
      <c r="A2086" s="14">
        <v>8680</v>
      </c>
      <c r="B2086" s="13" t="s">
        <v>15700</v>
      </c>
      <c r="C2086" s="13" t="s">
        <v>15701</v>
      </c>
      <c r="D2086" s="13" t="s">
        <v>13564</v>
      </c>
      <c r="E2086" s="13" t="s">
        <v>1150</v>
      </c>
      <c r="F2086" s="15">
        <v>367</v>
      </c>
      <c r="G2086" s="15">
        <v>367</v>
      </c>
    </row>
    <row r="2087" spans="1:7">
      <c r="A2087" s="14">
        <v>8685</v>
      </c>
      <c r="B2087" s="13" t="s">
        <v>15702</v>
      </c>
      <c r="C2087" s="13" t="s">
        <v>15703</v>
      </c>
      <c r="D2087" s="13" t="s">
        <v>13564</v>
      </c>
      <c r="E2087" s="13" t="s">
        <v>1150</v>
      </c>
      <c r="F2087" s="15">
        <v>367</v>
      </c>
      <c r="G2087" s="15">
        <v>367</v>
      </c>
    </row>
    <row r="2088" spans="1:7">
      <c r="A2088" s="14">
        <v>8690</v>
      </c>
      <c r="B2088" s="13" t="s">
        <v>15704</v>
      </c>
      <c r="C2088" s="13" t="s">
        <v>15705</v>
      </c>
      <c r="D2088" s="13" t="s">
        <v>13564</v>
      </c>
      <c r="E2088" s="13" t="s">
        <v>1150</v>
      </c>
      <c r="F2088" s="15">
        <v>367</v>
      </c>
      <c r="G2088" s="15">
        <v>367</v>
      </c>
    </row>
    <row r="2089" spans="1:7">
      <c r="A2089" s="14">
        <v>8695</v>
      </c>
      <c r="B2089" s="13" t="s">
        <v>15706</v>
      </c>
      <c r="C2089" s="13" t="s">
        <v>15707</v>
      </c>
      <c r="D2089" s="13" t="s">
        <v>13564</v>
      </c>
      <c r="E2089" s="13" t="s">
        <v>1150</v>
      </c>
      <c r="F2089" s="15">
        <v>367</v>
      </c>
      <c r="G2089" s="15">
        <v>367</v>
      </c>
    </row>
    <row r="2090" spans="1:7">
      <c r="A2090" s="14">
        <v>8700</v>
      </c>
      <c r="B2090" s="13" t="s">
        <v>15708</v>
      </c>
      <c r="C2090" s="13" t="s">
        <v>15709</v>
      </c>
      <c r="D2090" s="13" t="s">
        <v>13564</v>
      </c>
      <c r="E2090" s="13" t="s">
        <v>1150</v>
      </c>
      <c r="F2090" s="15">
        <v>367</v>
      </c>
      <c r="G2090" s="15">
        <v>367</v>
      </c>
    </row>
    <row r="2091" spans="1:7">
      <c r="A2091" s="14">
        <v>8705</v>
      </c>
      <c r="B2091" s="13" t="s">
        <v>15710</v>
      </c>
      <c r="C2091" s="13" t="s">
        <v>15711</v>
      </c>
      <c r="D2091" s="13" t="s">
        <v>13564</v>
      </c>
      <c r="E2091" s="13" t="s">
        <v>1150</v>
      </c>
      <c r="F2091" s="15">
        <v>367</v>
      </c>
      <c r="G2091" s="15">
        <v>367</v>
      </c>
    </row>
    <row r="2092" spans="1:7">
      <c r="A2092" s="14">
        <v>8710</v>
      </c>
      <c r="B2092" s="13" t="s">
        <v>15712</v>
      </c>
      <c r="C2092" s="13" t="s">
        <v>15713</v>
      </c>
      <c r="D2092" s="13" t="s">
        <v>13564</v>
      </c>
      <c r="E2092" s="13" t="s">
        <v>1150</v>
      </c>
      <c r="F2092" s="15">
        <v>367</v>
      </c>
      <c r="G2092" s="15">
        <v>367</v>
      </c>
    </row>
    <row r="2093" spans="1:7">
      <c r="A2093" s="14">
        <v>8715</v>
      </c>
      <c r="B2093" s="13" t="s">
        <v>15714</v>
      </c>
      <c r="C2093" s="13" t="s">
        <v>15715</v>
      </c>
      <c r="D2093" s="13" t="s">
        <v>13564</v>
      </c>
      <c r="E2093" s="13" t="s">
        <v>1150</v>
      </c>
      <c r="F2093" s="15">
        <v>367</v>
      </c>
      <c r="G2093" s="15">
        <v>367</v>
      </c>
    </row>
    <row r="2094" spans="1:7">
      <c r="A2094" s="14">
        <v>8720</v>
      </c>
      <c r="B2094" s="13" t="s">
        <v>15716</v>
      </c>
      <c r="C2094" s="13" t="s">
        <v>15717</v>
      </c>
      <c r="D2094" s="13" t="s">
        <v>13564</v>
      </c>
      <c r="E2094" s="13" t="s">
        <v>1150</v>
      </c>
      <c r="F2094" s="15">
        <v>367</v>
      </c>
      <c r="G2094" s="15">
        <v>367</v>
      </c>
    </row>
    <row r="2095" spans="1:7">
      <c r="A2095" s="14">
        <v>8725</v>
      </c>
      <c r="B2095" s="13" t="s">
        <v>15718</v>
      </c>
      <c r="C2095" s="13" t="s">
        <v>15719</v>
      </c>
      <c r="D2095" s="13" t="s">
        <v>13564</v>
      </c>
      <c r="E2095" s="13" t="s">
        <v>1150</v>
      </c>
      <c r="F2095" s="15">
        <v>367</v>
      </c>
      <c r="G2095" s="15">
        <v>367</v>
      </c>
    </row>
    <row r="2096" spans="1:7">
      <c r="A2096" s="14">
        <v>8730</v>
      </c>
      <c r="B2096" s="13" t="s">
        <v>15720</v>
      </c>
      <c r="C2096" s="13" t="s">
        <v>15721</v>
      </c>
      <c r="D2096" s="13" t="s">
        <v>13564</v>
      </c>
      <c r="E2096" s="13" t="s">
        <v>1150</v>
      </c>
      <c r="F2096" s="15">
        <v>367</v>
      </c>
      <c r="G2096" s="15">
        <v>367</v>
      </c>
    </row>
    <row r="2097" spans="1:7">
      <c r="A2097" s="14">
        <v>8735</v>
      </c>
      <c r="B2097" s="13" t="s">
        <v>15722</v>
      </c>
      <c r="C2097" s="13" t="s">
        <v>15723</v>
      </c>
      <c r="D2097" s="13" t="s">
        <v>13564</v>
      </c>
      <c r="E2097" s="13" t="s">
        <v>1150</v>
      </c>
      <c r="F2097" s="15">
        <v>367</v>
      </c>
      <c r="G2097" s="15">
        <v>367</v>
      </c>
    </row>
    <row r="2098" spans="1:7">
      <c r="A2098" s="14">
        <v>8740</v>
      </c>
      <c r="B2098" s="13" t="s">
        <v>15724</v>
      </c>
      <c r="C2098" s="13" t="s">
        <v>15725</v>
      </c>
      <c r="D2098" s="13" t="s">
        <v>13564</v>
      </c>
      <c r="E2098" s="13" t="s">
        <v>1150</v>
      </c>
      <c r="F2098" s="15">
        <v>367</v>
      </c>
      <c r="G2098" s="15">
        <v>367</v>
      </c>
    </row>
    <row r="2099" spans="1:7">
      <c r="A2099" s="14">
        <v>8745</v>
      </c>
      <c r="B2099" s="13" t="s">
        <v>15726</v>
      </c>
      <c r="C2099" s="13" t="s">
        <v>15727</v>
      </c>
      <c r="D2099" s="13" t="s">
        <v>13564</v>
      </c>
      <c r="E2099" s="13" t="s">
        <v>1150</v>
      </c>
      <c r="F2099" s="15">
        <v>367</v>
      </c>
      <c r="G2099" s="15">
        <v>367</v>
      </c>
    </row>
    <row r="2100" spans="1:7">
      <c r="A2100" s="14">
        <v>8750</v>
      </c>
      <c r="B2100" s="13" t="s">
        <v>15728</v>
      </c>
      <c r="C2100" s="13" t="s">
        <v>15729</v>
      </c>
      <c r="D2100" s="13" t="s">
        <v>13564</v>
      </c>
      <c r="E2100" s="13" t="s">
        <v>1150</v>
      </c>
      <c r="F2100" s="15">
        <v>367</v>
      </c>
      <c r="G2100" s="15">
        <v>367</v>
      </c>
    </row>
    <row r="2101" spans="1:7">
      <c r="A2101" s="14">
        <v>8755</v>
      </c>
      <c r="B2101" s="13" t="s">
        <v>15730</v>
      </c>
      <c r="C2101" s="13" t="s">
        <v>15731</v>
      </c>
      <c r="D2101" s="13" t="s">
        <v>13564</v>
      </c>
      <c r="E2101" s="13" t="s">
        <v>1150</v>
      </c>
      <c r="F2101" s="15">
        <v>367</v>
      </c>
      <c r="G2101" s="15">
        <v>367</v>
      </c>
    </row>
    <row r="2102" spans="1:7">
      <c r="A2102" s="14">
        <v>8760</v>
      </c>
      <c r="B2102" s="13" t="s">
        <v>15732</v>
      </c>
      <c r="C2102" s="13" t="s">
        <v>15733</v>
      </c>
      <c r="D2102" s="13" t="s">
        <v>13564</v>
      </c>
      <c r="E2102" s="13" t="s">
        <v>1150</v>
      </c>
      <c r="F2102" s="15">
        <v>367</v>
      </c>
      <c r="G2102" s="15">
        <v>367</v>
      </c>
    </row>
    <row r="2103" spans="1:7">
      <c r="A2103" s="14">
        <v>8765</v>
      </c>
      <c r="B2103" s="13" t="s">
        <v>15734</v>
      </c>
      <c r="C2103" s="13" t="s">
        <v>15735</v>
      </c>
      <c r="D2103" s="13" t="s">
        <v>13564</v>
      </c>
      <c r="E2103" s="13" t="s">
        <v>1150</v>
      </c>
      <c r="F2103" s="15">
        <v>367</v>
      </c>
      <c r="G2103" s="15">
        <v>367</v>
      </c>
    </row>
    <row r="2104" spans="1:7">
      <c r="A2104" s="14">
        <v>8770</v>
      </c>
      <c r="B2104" s="13" t="s">
        <v>15736</v>
      </c>
      <c r="C2104" s="13" t="s">
        <v>15737</v>
      </c>
      <c r="D2104" s="13" t="s">
        <v>13564</v>
      </c>
      <c r="E2104" s="13" t="s">
        <v>1150</v>
      </c>
      <c r="F2104" s="15">
        <v>367</v>
      </c>
      <c r="G2104" s="15">
        <v>367</v>
      </c>
    </row>
    <row r="2105" spans="1:7">
      <c r="A2105" s="14">
        <v>8775</v>
      </c>
      <c r="B2105" s="13" t="s">
        <v>15738</v>
      </c>
      <c r="C2105" s="13" t="s">
        <v>15739</v>
      </c>
      <c r="D2105" s="13" t="s">
        <v>13564</v>
      </c>
      <c r="E2105" s="13" t="s">
        <v>1150</v>
      </c>
      <c r="F2105" s="15">
        <v>367</v>
      </c>
      <c r="G2105" s="15">
        <v>367</v>
      </c>
    </row>
    <row r="2106" spans="1:7">
      <c r="A2106" s="14">
        <v>8780</v>
      </c>
      <c r="B2106" s="13" t="s">
        <v>15740</v>
      </c>
      <c r="C2106" s="13" t="s">
        <v>15741</v>
      </c>
      <c r="D2106" s="13" t="s">
        <v>13564</v>
      </c>
      <c r="E2106" s="13" t="s">
        <v>1150</v>
      </c>
      <c r="F2106" s="15">
        <v>367</v>
      </c>
      <c r="G2106" s="15">
        <v>367</v>
      </c>
    </row>
    <row r="2107" spans="1:7">
      <c r="A2107" s="14">
        <v>8785</v>
      </c>
      <c r="B2107" s="13" t="s">
        <v>15742</v>
      </c>
      <c r="C2107" s="13" t="s">
        <v>15743</v>
      </c>
      <c r="D2107" s="13" t="s">
        <v>13564</v>
      </c>
      <c r="E2107" s="13" t="s">
        <v>1150</v>
      </c>
      <c r="F2107" s="15">
        <v>367</v>
      </c>
      <c r="G2107" s="15">
        <v>367</v>
      </c>
    </row>
    <row r="2108" spans="1:7">
      <c r="A2108" s="14">
        <v>8790</v>
      </c>
      <c r="B2108" s="13" t="s">
        <v>15744</v>
      </c>
      <c r="C2108" s="13" t="s">
        <v>15745</v>
      </c>
      <c r="D2108" s="13" t="s">
        <v>13564</v>
      </c>
      <c r="E2108" s="13" t="s">
        <v>1150</v>
      </c>
      <c r="F2108" s="15">
        <v>367</v>
      </c>
      <c r="G2108" s="15">
        <v>367</v>
      </c>
    </row>
    <row r="2109" spans="1:7">
      <c r="A2109" s="14">
        <v>8795</v>
      </c>
      <c r="B2109" s="13" t="s">
        <v>15746</v>
      </c>
      <c r="C2109" s="13" t="s">
        <v>15747</v>
      </c>
      <c r="D2109" s="13" t="s">
        <v>13564</v>
      </c>
      <c r="E2109" s="13" t="s">
        <v>1150</v>
      </c>
      <c r="F2109" s="15">
        <v>367</v>
      </c>
      <c r="G2109" s="15">
        <v>367</v>
      </c>
    </row>
    <row r="2110" spans="1:7">
      <c r="A2110" s="14">
        <v>8800</v>
      </c>
      <c r="B2110" s="13" t="s">
        <v>15748</v>
      </c>
      <c r="C2110" s="13" t="s">
        <v>15749</v>
      </c>
      <c r="D2110" s="13" t="s">
        <v>13564</v>
      </c>
      <c r="E2110" s="13" t="s">
        <v>1150</v>
      </c>
      <c r="F2110" s="15">
        <v>367</v>
      </c>
      <c r="G2110" s="15">
        <v>367</v>
      </c>
    </row>
    <row r="2111" spans="1:7">
      <c r="A2111" s="14">
        <v>8801</v>
      </c>
      <c r="B2111" s="13" t="s">
        <v>15750</v>
      </c>
      <c r="C2111" s="13" t="s">
        <v>15751</v>
      </c>
      <c r="D2111" s="13" t="s">
        <v>13564</v>
      </c>
      <c r="E2111" s="13" t="s">
        <v>1150</v>
      </c>
      <c r="F2111" s="15">
        <v>38133</v>
      </c>
      <c r="G2111" s="15">
        <v>38133</v>
      </c>
    </row>
    <row r="2112" spans="1:7">
      <c r="A2112" s="14">
        <v>8805</v>
      </c>
      <c r="B2112" s="13" t="s">
        <v>15752</v>
      </c>
      <c r="C2112" s="13" t="s">
        <v>15753</v>
      </c>
      <c r="D2112" s="13" t="s">
        <v>13564</v>
      </c>
      <c r="E2112" s="13" t="s">
        <v>1150</v>
      </c>
      <c r="F2112" s="15">
        <v>367</v>
      </c>
      <c r="G2112" s="15">
        <v>367</v>
      </c>
    </row>
    <row r="2113" spans="1:7">
      <c r="A2113" s="14">
        <v>8810</v>
      </c>
      <c r="B2113" s="13" t="s">
        <v>15754</v>
      </c>
      <c r="C2113" s="13" t="s">
        <v>15755</v>
      </c>
      <c r="D2113" s="13" t="s">
        <v>13564</v>
      </c>
      <c r="E2113" s="13" t="s">
        <v>1150</v>
      </c>
      <c r="F2113" s="15">
        <v>367</v>
      </c>
      <c r="G2113" s="15">
        <v>367</v>
      </c>
    </row>
    <row r="2114" spans="1:7">
      <c r="A2114" s="14">
        <v>8815</v>
      </c>
      <c r="B2114" s="13" t="s">
        <v>15756</v>
      </c>
      <c r="C2114" s="13" t="s">
        <v>15757</v>
      </c>
      <c r="D2114" s="13" t="s">
        <v>13564</v>
      </c>
      <c r="E2114" s="13" t="s">
        <v>1150</v>
      </c>
      <c r="F2114" s="15">
        <v>367</v>
      </c>
      <c r="G2114" s="15">
        <v>367</v>
      </c>
    </row>
    <row r="2115" spans="1:7">
      <c r="A2115" s="14">
        <v>8820</v>
      </c>
      <c r="B2115" s="13" t="s">
        <v>15758</v>
      </c>
      <c r="C2115" s="13" t="s">
        <v>15759</v>
      </c>
      <c r="D2115" s="13" t="s">
        <v>13564</v>
      </c>
      <c r="E2115" s="13" t="s">
        <v>1150</v>
      </c>
      <c r="F2115" s="15">
        <v>367</v>
      </c>
      <c r="G2115" s="15">
        <v>367</v>
      </c>
    </row>
    <row r="2116" spans="1:7">
      <c r="A2116" s="14">
        <v>8825</v>
      </c>
      <c r="B2116" s="13" t="s">
        <v>15760</v>
      </c>
      <c r="C2116" s="13" t="s">
        <v>15761</v>
      </c>
      <c r="D2116" s="13" t="s">
        <v>13564</v>
      </c>
      <c r="E2116" s="13" t="s">
        <v>1150</v>
      </c>
      <c r="F2116" s="15">
        <v>367</v>
      </c>
      <c r="G2116" s="15">
        <v>367</v>
      </c>
    </row>
    <row r="2117" spans="1:7">
      <c r="A2117" s="14">
        <v>8830</v>
      </c>
      <c r="B2117" s="13" t="s">
        <v>15762</v>
      </c>
      <c r="C2117" s="13" t="s">
        <v>15763</v>
      </c>
      <c r="D2117" s="13" t="s">
        <v>13564</v>
      </c>
      <c r="E2117" s="13" t="s">
        <v>1150</v>
      </c>
      <c r="F2117" s="15">
        <v>367</v>
      </c>
      <c r="G2117" s="15">
        <v>367</v>
      </c>
    </row>
    <row r="2118" spans="1:7">
      <c r="A2118" s="14">
        <v>8835</v>
      </c>
      <c r="B2118" s="13" t="s">
        <v>15764</v>
      </c>
      <c r="C2118" s="13" t="s">
        <v>15765</v>
      </c>
      <c r="D2118" s="13" t="s">
        <v>13564</v>
      </c>
      <c r="E2118" s="13" t="s">
        <v>1150</v>
      </c>
      <c r="F2118" s="15">
        <v>367</v>
      </c>
      <c r="G2118" s="15">
        <v>367</v>
      </c>
    </row>
    <row r="2119" spans="1:7">
      <c r="A2119" s="14">
        <v>8840</v>
      </c>
      <c r="B2119" s="13" t="s">
        <v>15766</v>
      </c>
      <c r="C2119" s="13" t="s">
        <v>15767</v>
      </c>
      <c r="D2119" s="13" t="s">
        <v>13564</v>
      </c>
      <c r="E2119" s="13" t="s">
        <v>1150</v>
      </c>
      <c r="F2119" s="15">
        <v>367</v>
      </c>
      <c r="G2119" s="15">
        <v>367</v>
      </c>
    </row>
    <row r="2120" spans="1:7">
      <c r="A2120" s="14">
        <v>8845</v>
      </c>
      <c r="B2120" s="13" t="s">
        <v>15768</v>
      </c>
      <c r="C2120" s="13" t="s">
        <v>15769</v>
      </c>
      <c r="D2120" s="13" t="s">
        <v>13564</v>
      </c>
      <c r="E2120" s="13" t="s">
        <v>1150</v>
      </c>
      <c r="F2120" s="15">
        <v>367</v>
      </c>
      <c r="G2120" s="15">
        <v>367</v>
      </c>
    </row>
    <row r="2121" spans="1:7">
      <c r="A2121" s="14">
        <v>8850</v>
      </c>
      <c r="B2121" s="13" t="s">
        <v>15770</v>
      </c>
      <c r="C2121" s="13" t="s">
        <v>15771</v>
      </c>
      <c r="D2121" s="13" t="s">
        <v>13564</v>
      </c>
      <c r="E2121" s="13" t="s">
        <v>1150</v>
      </c>
      <c r="F2121" s="15">
        <v>367</v>
      </c>
      <c r="G2121" s="15">
        <v>367</v>
      </c>
    </row>
    <row r="2122" spans="1:7">
      <c r="A2122" s="14">
        <v>8855</v>
      </c>
      <c r="B2122" s="13" t="s">
        <v>15772</v>
      </c>
      <c r="C2122" s="13" t="s">
        <v>15773</v>
      </c>
      <c r="D2122" s="13" t="s">
        <v>13564</v>
      </c>
      <c r="E2122" s="13" t="s">
        <v>1150</v>
      </c>
      <c r="F2122" s="15">
        <v>367</v>
      </c>
      <c r="G2122" s="15">
        <v>367</v>
      </c>
    </row>
    <row r="2123" spans="1:7">
      <c r="A2123" s="14">
        <v>8860</v>
      </c>
      <c r="B2123" s="13" t="s">
        <v>15774</v>
      </c>
      <c r="C2123" s="13" t="s">
        <v>15775</v>
      </c>
      <c r="D2123" s="13" t="s">
        <v>13564</v>
      </c>
      <c r="E2123" s="13" t="s">
        <v>1150</v>
      </c>
      <c r="F2123" s="15">
        <v>367</v>
      </c>
      <c r="G2123" s="15">
        <v>367</v>
      </c>
    </row>
    <row r="2124" spans="1:7">
      <c r="A2124" s="14">
        <v>8865</v>
      </c>
      <c r="B2124" s="13" t="s">
        <v>15776</v>
      </c>
      <c r="C2124" s="13" t="s">
        <v>15777</v>
      </c>
      <c r="D2124" s="13" t="s">
        <v>13564</v>
      </c>
      <c r="E2124" s="13" t="s">
        <v>1150</v>
      </c>
      <c r="F2124" s="15">
        <v>367</v>
      </c>
      <c r="G2124" s="15">
        <v>367</v>
      </c>
    </row>
    <row r="2125" spans="1:7">
      <c r="A2125" s="14">
        <v>8870</v>
      </c>
      <c r="B2125" s="13" t="s">
        <v>15778</v>
      </c>
      <c r="C2125" s="13" t="s">
        <v>15779</v>
      </c>
      <c r="D2125" s="13" t="s">
        <v>13564</v>
      </c>
      <c r="E2125" s="13" t="s">
        <v>1150</v>
      </c>
      <c r="F2125" s="15">
        <v>367</v>
      </c>
      <c r="G2125" s="15">
        <v>367</v>
      </c>
    </row>
    <row r="2126" spans="1:7">
      <c r="A2126" s="14">
        <v>8875</v>
      </c>
      <c r="B2126" s="13" t="s">
        <v>15780</v>
      </c>
      <c r="C2126" s="13" t="s">
        <v>15781</v>
      </c>
      <c r="D2126" s="13" t="s">
        <v>13564</v>
      </c>
      <c r="E2126" s="13" t="s">
        <v>1150</v>
      </c>
      <c r="F2126" s="15">
        <v>367</v>
      </c>
      <c r="G2126" s="15">
        <v>367</v>
      </c>
    </row>
    <row r="2127" spans="1:7">
      <c r="A2127" s="14">
        <v>8880</v>
      </c>
      <c r="B2127" s="13" t="s">
        <v>15782</v>
      </c>
      <c r="C2127" s="13" t="s">
        <v>15783</v>
      </c>
      <c r="D2127" s="13" t="s">
        <v>13564</v>
      </c>
      <c r="E2127" s="13" t="s">
        <v>1150</v>
      </c>
      <c r="F2127" s="15">
        <v>367</v>
      </c>
      <c r="G2127" s="15">
        <v>367</v>
      </c>
    </row>
    <row r="2128" spans="1:7">
      <c r="A2128" s="14">
        <v>8885</v>
      </c>
      <c r="B2128" s="13" t="s">
        <v>15784</v>
      </c>
      <c r="C2128" s="13" t="s">
        <v>15785</v>
      </c>
      <c r="D2128" s="13" t="s">
        <v>13564</v>
      </c>
      <c r="E2128" s="13" t="s">
        <v>1150</v>
      </c>
      <c r="F2128" s="15">
        <v>367</v>
      </c>
      <c r="G2128" s="15">
        <v>367</v>
      </c>
    </row>
    <row r="2129" spans="1:7">
      <c r="A2129" s="14">
        <v>8890</v>
      </c>
      <c r="B2129" s="13" t="s">
        <v>15786</v>
      </c>
      <c r="C2129" s="13" t="s">
        <v>15787</v>
      </c>
      <c r="D2129" s="13" t="s">
        <v>13564</v>
      </c>
      <c r="E2129" s="13" t="s">
        <v>1150</v>
      </c>
      <c r="F2129" s="15">
        <v>367</v>
      </c>
      <c r="G2129" s="15">
        <v>367</v>
      </c>
    </row>
    <row r="2130" spans="1:7">
      <c r="A2130" s="14">
        <v>8895</v>
      </c>
      <c r="B2130" s="13" t="s">
        <v>15788</v>
      </c>
      <c r="C2130" s="13" t="s">
        <v>15789</v>
      </c>
      <c r="D2130" s="13" t="s">
        <v>13564</v>
      </c>
      <c r="E2130" s="13" t="s">
        <v>1150</v>
      </c>
      <c r="F2130" s="15">
        <v>367</v>
      </c>
      <c r="G2130" s="15">
        <v>367</v>
      </c>
    </row>
    <row r="2131" spans="1:7">
      <c r="A2131" s="14">
        <v>8900</v>
      </c>
      <c r="B2131" s="13" t="s">
        <v>15790</v>
      </c>
      <c r="C2131" s="13" t="s">
        <v>15791</v>
      </c>
      <c r="D2131" s="13" t="s">
        <v>13564</v>
      </c>
      <c r="E2131" s="13" t="s">
        <v>1150</v>
      </c>
      <c r="F2131" s="15">
        <v>367</v>
      </c>
      <c r="G2131" s="15">
        <v>367</v>
      </c>
    </row>
    <row r="2132" spans="1:7">
      <c r="A2132" s="14">
        <v>8905</v>
      </c>
      <c r="B2132" s="13" t="s">
        <v>15792</v>
      </c>
      <c r="C2132" s="13" t="s">
        <v>15793</v>
      </c>
      <c r="D2132" s="13" t="s">
        <v>13564</v>
      </c>
      <c r="E2132" s="13" t="s">
        <v>1150</v>
      </c>
      <c r="F2132" s="15">
        <v>367</v>
      </c>
      <c r="G2132" s="15">
        <v>367</v>
      </c>
    </row>
    <row r="2133" spans="1:7">
      <c r="A2133" s="14">
        <v>8910</v>
      </c>
      <c r="B2133" s="13" t="s">
        <v>15794</v>
      </c>
      <c r="C2133" s="13" t="s">
        <v>15795</v>
      </c>
      <c r="D2133" s="13" t="s">
        <v>13564</v>
      </c>
      <c r="E2133" s="13" t="s">
        <v>1150</v>
      </c>
      <c r="F2133" s="15">
        <v>367</v>
      </c>
      <c r="G2133" s="15">
        <v>367</v>
      </c>
    </row>
    <row r="2134" spans="1:7">
      <c r="A2134" s="14">
        <v>8915</v>
      </c>
      <c r="B2134" s="13" t="s">
        <v>15796</v>
      </c>
      <c r="C2134" s="13" t="s">
        <v>15797</v>
      </c>
      <c r="D2134" s="13" t="s">
        <v>13564</v>
      </c>
      <c r="E2134" s="13" t="s">
        <v>1150</v>
      </c>
      <c r="F2134" s="15">
        <v>367</v>
      </c>
      <c r="G2134" s="15">
        <v>367</v>
      </c>
    </row>
    <row r="2135" spans="1:7">
      <c r="A2135" s="14">
        <v>8920</v>
      </c>
      <c r="B2135" s="13" t="s">
        <v>15798</v>
      </c>
      <c r="C2135" s="13" t="s">
        <v>15799</v>
      </c>
      <c r="D2135" s="13" t="s">
        <v>13564</v>
      </c>
      <c r="E2135" s="13" t="s">
        <v>1150</v>
      </c>
      <c r="F2135" s="15">
        <v>367</v>
      </c>
      <c r="G2135" s="15">
        <v>367</v>
      </c>
    </row>
    <row r="2136" spans="1:7">
      <c r="A2136" s="14">
        <v>8925</v>
      </c>
      <c r="B2136" s="13" t="s">
        <v>15800</v>
      </c>
      <c r="C2136" s="13" t="s">
        <v>15801</v>
      </c>
      <c r="D2136" s="13" t="s">
        <v>13564</v>
      </c>
      <c r="E2136" s="13" t="s">
        <v>1150</v>
      </c>
      <c r="F2136" s="15">
        <v>367</v>
      </c>
      <c r="G2136" s="15">
        <v>367</v>
      </c>
    </row>
    <row r="2137" spans="1:7">
      <c r="A2137" s="14">
        <v>8930</v>
      </c>
      <c r="B2137" s="13" t="s">
        <v>15802</v>
      </c>
      <c r="C2137" s="13" t="s">
        <v>15803</v>
      </c>
      <c r="D2137" s="13" t="s">
        <v>13564</v>
      </c>
      <c r="E2137" s="13" t="s">
        <v>1150</v>
      </c>
      <c r="F2137" s="15">
        <v>367</v>
      </c>
      <c r="G2137" s="15">
        <v>367</v>
      </c>
    </row>
    <row r="2138" spans="1:7">
      <c r="A2138" s="14">
        <v>8935</v>
      </c>
      <c r="B2138" s="13" t="s">
        <v>15804</v>
      </c>
      <c r="C2138" s="13" t="s">
        <v>15805</v>
      </c>
      <c r="D2138" s="13" t="s">
        <v>13564</v>
      </c>
      <c r="E2138" s="13" t="s">
        <v>1150</v>
      </c>
      <c r="F2138" s="15">
        <v>367</v>
      </c>
      <c r="G2138" s="15">
        <v>367</v>
      </c>
    </row>
    <row r="2139" spans="1:7">
      <c r="A2139" s="14">
        <v>8940</v>
      </c>
      <c r="B2139" s="13" t="s">
        <v>15806</v>
      </c>
      <c r="C2139" s="13" t="s">
        <v>15807</v>
      </c>
      <c r="D2139" s="13" t="s">
        <v>13564</v>
      </c>
      <c r="E2139" s="13" t="s">
        <v>1150</v>
      </c>
      <c r="F2139" s="15">
        <v>367</v>
      </c>
      <c r="G2139" s="15">
        <v>367</v>
      </c>
    </row>
    <row r="2140" spans="1:7">
      <c r="A2140" s="14">
        <v>8945</v>
      </c>
      <c r="B2140" s="13" t="s">
        <v>15808</v>
      </c>
      <c r="C2140" s="13" t="s">
        <v>15809</v>
      </c>
      <c r="D2140" s="13" t="s">
        <v>13564</v>
      </c>
      <c r="E2140" s="13" t="s">
        <v>1150</v>
      </c>
      <c r="F2140" s="15">
        <v>367</v>
      </c>
      <c r="G2140" s="15">
        <v>367</v>
      </c>
    </row>
    <row r="2141" spans="1:7">
      <c r="A2141" s="14">
        <v>8950</v>
      </c>
      <c r="B2141" s="13" t="s">
        <v>15810</v>
      </c>
      <c r="C2141" s="13" t="s">
        <v>15811</v>
      </c>
      <c r="D2141" s="13" t="s">
        <v>13564</v>
      </c>
      <c r="E2141" s="13" t="s">
        <v>1150</v>
      </c>
      <c r="F2141" s="15">
        <v>367</v>
      </c>
      <c r="G2141" s="15">
        <v>367</v>
      </c>
    </row>
    <row r="2142" spans="1:7">
      <c r="A2142" s="14">
        <v>8955</v>
      </c>
      <c r="B2142" s="13" t="s">
        <v>15812</v>
      </c>
      <c r="C2142" s="13" t="s">
        <v>15813</v>
      </c>
      <c r="D2142" s="13" t="s">
        <v>13564</v>
      </c>
      <c r="E2142" s="13" t="s">
        <v>1150</v>
      </c>
      <c r="F2142" s="15">
        <v>367</v>
      </c>
      <c r="G2142" s="15">
        <v>367</v>
      </c>
    </row>
    <row r="2143" spans="1:7">
      <c r="A2143" s="14">
        <v>8960</v>
      </c>
      <c r="B2143" s="13" t="s">
        <v>15814</v>
      </c>
      <c r="C2143" s="13" t="s">
        <v>15815</v>
      </c>
      <c r="D2143" s="13" t="s">
        <v>13564</v>
      </c>
      <c r="E2143" s="13" t="s">
        <v>1150</v>
      </c>
      <c r="F2143" s="15">
        <v>367</v>
      </c>
      <c r="G2143" s="15">
        <v>367</v>
      </c>
    </row>
    <row r="2144" spans="1:7">
      <c r="A2144" s="14">
        <v>8965</v>
      </c>
      <c r="B2144" s="13" t="s">
        <v>15816</v>
      </c>
      <c r="C2144" s="13" t="s">
        <v>15817</v>
      </c>
      <c r="D2144" s="13" t="s">
        <v>13564</v>
      </c>
      <c r="E2144" s="13" t="s">
        <v>1150</v>
      </c>
      <c r="F2144" s="15">
        <v>367</v>
      </c>
      <c r="G2144" s="15">
        <v>367</v>
      </c>
    </row>
    <row r="2145" spans="1:7">
      <c r="A2145" s="14">
        <v>8970</v>
      </c>
      <c r="B2145" s="13" t="s">
        <v>15818</v>
      </c>
      <c r="C2145" s="13" t="s">
        <v>15819</v>
      </c>
      <c r="D2145" s="13" t="s">
        <v>13564</v>
      </c>
      <c r="E2145" s="13" t="s">
        <v>1150</v>
      </c>
      <c r="F2145" s="15">
        <v>367</v>
      </c>
      <c r="G2145" s="15">
        <v>367</v>
      </c>
    </row>
    <row r="2146" spans="1:7">
      <c r="A2146" s="14">
        <v>8975</v>
      </c>
      <c r="B2146" s="13" t="s">
        <v>15820</v>
      </c>
      <c r="C2146" s="13" t="s">
        <v>15821</v>
      </c>
      <c r="D2146" s="13" t="s">
        <v>13564</v>
      </c>
      <c r="E2146" s="13" t="s">
        <v>1150</v>
      </c>
      <c r="F2146" s="15">
        <v>367</v>
      </c>
      <c r="G2146" s="15">
        <v>367</v>
      </c>
    </row>
    <row r="2147" spans="1:7">
      <c r="A2147" s="14">
        <v>8980</v>
      </c>
      <c r="B2147" s="13" t="s">
        <v>15822</v>
      </c>
      <c r="C2147" s="13" t="s">
        <v>15823</v>
      </c>
      <c r="D2147" s="13" t="s">
        <v>13564</v>
      </c>
      <c r="E2147" s="13" t="s">
        <v>1150</v>
      </c>
      <c r="F2147" s="15">
        <v>367</v>
      </c>
      <c r="G2147" s="15">
        <v>367</v>
      </c>
    </row>
    <row r="2148" spans="1:7">
      <c r="A2148" s="14">
        <v>8985</v>
      </c>
      <c r="B2148" s="13" t="s">
        <v>15824</v>
      </c>
      <c r="C2148" s="13" t="s">
        <v>15825</v>
      </c>
      <c r="D2148" s="13" t="s">
        <v>13564</v>
      </c>
      <c r="E2148" s="13" t="s">
        <v>1150</v>
      </c>
      <c r="F2148" s="15">
        <v>367</v>
      </c>
      <c r="G2148" s="15">
        <v>367</v>
      </c>
    </row>
    <row r="2149" spans="1:7">
      <c r="A2149" s="14">
        <v>8990</v>
      </c>
      <c r="B2149" s="13" t="s">
        <v>15826</v>
      </c>
      <c r="C2149" s="13" t="s">
        <v>15827</v>
      </c>
      <c r="D2149" s="13" t="s">
        <v>13564</v>
      </c>
      <c r="E2149" s="13" t="s">
        <v>1150</v>
      </c>
      <c r="F2149" s="15">
        <v>367</v>
      </c>
      <c r="G2149" s="15">
        <v>367</v>
      </c>
    </row>
    <row r="2150" spans="1:7">
      <c r="A2150" s="14">
        <v>8995</v>
      </c>
      <c r="B2150" s="13" t="s">
        <v>15828</v>
      </c>
      <c r="C2150" s="13" t="s">
        <v>15829</v>
      </c>
      <c r="D2150" s="13" t="s">
        <v>13564</v>
      </c>
      <c r="E2150" s="13" t="s">
        <v>1150</v>
      </c>
      <c r="F2150" s="15">
        <v>367</v>
      </c>
      <c r="G2150" s="15">
        <v>367</v>
      </c>
    </row>
    <row r="2151" spans="1:7">
      <c r="A2151" s="14">
        <v>9000</v>
      </c>
      <c r="B2151" s="13" t="s">
        <v>15830</v>
      </c>
      <c r="C2151" s="13" t="s">
        <v>15831</v>
      </c>
      <c r="D2151" s="13" t="s">
        <v>13564</v>
      </c>
      <c r="E2151" s="13" t="s">
        <v>1150</v>
      </c>
      <c r="F2151" s="15">
        <v>367</v>
      </c>
      <c r="G2151" s="15">
        <v>367</v>
      </c>
    </row>
    <row r="2152" spans="1:7">
      <c r="A2152" s="14">
        <v>9005</v>
      </c>
      <c r="B2152" s="13" t="s">
        <v>15832</v>
      </c>
      <c r="C2152" s="13" t="s">
        <v>15833</v>
      </c>
      <c r="D2152" s="13" t="s">
        <v>13564</v>
      </c>
      <c r="E2152" s="13" t="s">
        <v>1150</v>
      </c>
      <c r="F2152" s="15">
        <v>367</v>
      </c>
      <c r="G2152" s="15">
        <v>367</v>
      </c>
    </row>
    <row r="2153" spans="1:7">
      <c r="A2153" s="14">
        <v>9010</v>
      </c>
      <c r="B2153" s="13" t="s">
        <v>15834</v>
      </c>
      <c r="C2153" s="13" t="s">
        <v>15835</v>
      </c>
      <c r="D2153" s="13" t="s">
        <v>13564</v>
      </c>
      <c r="E2153" s="13" t="s">
        <v>1150</v>
      </c>
      <c r="F2153" s="15">
        <v>367</v>
      </c>
      <c r="G2153" s="15">
        <v>367</v>
      </c>
    </row>
    <row r="2154" spans="1:7">
      <c r="A2154" s="14">
        <v>9015</v>
      </c>
      <c r="B2154" s="13" t="s">
        <v>15836</v>
      </c>
      <c r="C2154" s="13" t="s">
        <v>15837</v>
      </c>
      <c r="D2154" s="13" t="s">
        <v>13564</v>
      </c>
      <c r="E2154" s="13" t="s">
        <v>1150</v>
      </c>
      <c r="F2154" s="15">
        <v>367</v>
      </c>
      <c r="G2154" s="15">
        <v>367</v>
      </c>
    </row>
    <row r="2155" spans="1:7">
      <c r="A2155" s="14">
        <v>9020</v>
      </c>
      <c r="B2155" s="13" t="s">
        <v>15838</v>
      </c>
      <c r="C2155" s="13" t="s">
        <v>15839</v>
      </c>
      <c r="D2155" s="13" t="s">
        <v>13564</v>
      </c>
      <c r="E2155" s="13" t="s">
        <v>1150</v>
      </c>
      <c r="F2155" s="15">
        <v>367</v>
      </c>
      <c r="G2155" s="15">
        <v>367</v>
      </c>
    </row>
    <row r="2156" spans="1:7">
      <c r="A2156" s="14">
        <v>9025</v>
      </c>
      <c r="B2156" s="13" t="s">
        <v>15840</v>
      </c>
      <c r="C2156" s="13" t="s">
        <v>15841</v>
      </c>
      <c r="D2156" s="13" t="s">
        <v>13564</v>
      </c>
      <c r="E2156" s="13" t="s">
        <v>1150</v>
      </c>
      <c r="F2156" s="15">
        <v>367</v>
      </c>
      <c r="G2156" s="15">
        <v>367</v>
      </c>
    </row>
    <row r="2157" spans="1:7">
      <c r="A2157" s="14">
        <v>9030</v>
      </c>
      <c r="B2157" s="13" t="s">
        <v>15842</v>
      </c>
      <c r="C2157" s="13" t="s">
        <v>15843</v>
      </c>
      <c r="D2157" s="13" t="s">
        <v>13564</v>
      </c>
      <c r="E2157" s="13" t="s">
        <v>1150</v>
      </c>
      <c r="F2157" s="15">
        <v>367</v>
      </c>
      <c r="G2157" s="15">
        <v>367</v>
      </c>
    </row>
    <row r="2158" spans="1:7">
      <c r="A2158" s="14">
        <v>9035</v>
      </c>
      <c r="B2158" s="13" t="s">
        <v>15844</v>
      </c>
      <c r="C2158" s="13" t="s">
        <v>15845</v>
      </c>
      <c r="D2158" s="13" t="s">
        <v>13564</v>
      </c>
      <c r="E2158" s="13" t="s">
        <v>1150</v>
      </c>
      <c r="F2158" s="15">
        <v>367</v>
      </c>
      <c r="G2158" s="15">
        <v>367</v>
      </c>
    </row>
    <row r="2159" spans="1:7">
      <c r="A2159" s="14">
        <v>9040</v>
      </c>
      <c r="B2159" s="13" t="s">
        <v>15846</v>
      </c>
      <c r="C2159" s="13" t="s">
        <v>15847</v>
      </c>
      <c r="D2159" s="13" t="s">
        <v>13564</v>
      </c>
      <c r="E2159" s="13" t="s">
        <v>1150</v>
      </c>
      <c r="F2159" s="15">
        <v>367</v>
      </c>
      <c r="G2159" s="15">
        <v>367</v>
      </c>
    </row>
    <row r="2160" spans="1:7">
      <c r="A2160" s="14">
        <v>9045</v>
      </c>
      <c r="B2160" s="13" t="s">
        <v>15848</v>
      </c>
      <c r="C2160" s="13" t="s">
        <v>15849</v>
      </c>
      <c r="D2160" s="13" t="s">
        <v>13564</v>
      </c>
      <c r="E2160" s="13" t="s">
        <v>1150</v>
      </c>
      <c r="F2160" s="15">
        <v>367</v>
      </c>
      <c r="G2160" s="15">
        <v>367</v>
      </c>
    </row>
    <row r="2161" spans="1:7">
      <c r="A2161" s="14">
        <v>9050</v>
      </c>
      <c r="B2161" s="13" t="s">
        <v>15850</v>
      </c>
      <c r="C2161" s="13" t="s">
        <v>15851</v>
      </c>
      <c r="D2161" s="13" t="s">
        <v>13564</v>
      </c>
      <c r="E2161" s="13" t="s">
        <v>1150</v>
      </c>
      <c r="F2161" s="15">
        <v>367</v>
      </c>
      <c r="G2161" s="15">
        <v>367</v>
      </c>
    </row>
    <row r="2162" spans="1:7">
      <c r="A2162" s="14">
        <v>9055</v>
      </c>
      <c r="B2162" s="13" t="s">
        <v>15852</v>
      </c>
      <c r="C2162" s="13" t="s">
        <v>15853</v>
      </c>
      <c r="D2162" s="13" t="s">
        <v>13564</v>
      </c>
      <c r="E2162" s="13" t="s">
        <v>1150</v>
      </c>
      <c r="F2162" s="15">
        <v>367</v>
      </c>
      <c r="G2162" s="15">
        <v>367</v>
      </c>
    </row>
    <row r="2163" spans="1:7">
      <c r="A2163" s="14">
        <v>9060</v>
      </c>
      <c r="B2163" s="13" t="s">
        <v>15854</v>
      </c>
      <c r="C2163" s="13" t="s">
        <v>15855</v>
      </c>
      <c r="D2163" s="13" t="s">
        <v>13564</v>
      </c>
      <c r="E2163" s="13" t="s">
        <v>1150</v>
      </c>
      <c r="F2163" s="15">
        <v>367</v>
      </c>
      <c r="G2163" s="15">
        <v>367</v>
      </c>
    </row>
    <row r="2164" spans="1:7">
      <c r="A2164" s="14">
        <v>9065</v>
      </c>
      <c r="B2164" s="13" t="s">
        <v>15856</v>
      </c>
      <c r="C2164" s="13" t="s">
        <v>15857</v>
      </c>
      <c r="D2164" s="13" t="s">
        <v>13564</v>
      </c>
      <c r="E2164" s="13" t="s">
        <v>1150</v>
      </c>
      <c r="F2164" s="15">
        <v>367</v>
      </c>
      <c r="G2164" s="15">
        <v>367</v>
      </c>
    </row>
    <row r="2165" spans="1:7">
      <c r="A2165" s="14">
        <v>9070</v>
      </c>
      <c r="B2165" s="13" t="s">
        <v>15858</v>
      </c>
      <c r="C2165" s="13" t="s">
        <v>15859</v>
      </c>
      <c r="D2165" s="13" t="s">
        <v>13564</v>
      </c>
      <c r="E2165" s="13" t="s">
        <v>1150</v>
      </c>
      <c r="F2165" s="15">
        <v>367</v>
      </c>
      <c r="G2165" s="15">
        <v>367</v>
      </c>
    </row>
    <row r="2166" spans="1:7">
      <c r="A2166" s="14">
        <v>9075</v>
      </c>
      <c r="B2166" s="13" t="s">
        <v>15860</v>
      </c>
      <c r="C2166" s="13" t="s">
        <v>15861</v>
      </c>
      <c r="D2166" s="13" t="s">
        <v>13564</v>
      </c>
      <c r="E2166" s="13" t="s">
        <v>1150</v>
      </c>
      <c r="F2166" s="15">
        <v>367</v>
      </c>
      <c r="G2166" s="15">
        <v>367</v>
      </c>
    </row>
    <row r="2167" spans="1:7">
      <c r="A2167" s="14">
        <v>9080</v>
      </c>
      <c r="B2167" s="13" t="s">
        <v>15862</v>
      </c>
      <c r="C2167" s="13" t="s">
        <v>15863</v>
      </c>
      <c r="D2167" s="13" t="s">
        <v>13564</v>
      </c>
      <c r="E2167" s="13" t="s">
        <v>1150</v>
      </c>
      <c r="F2167" s="15">
        <v>367</v>
      </c>
      <c r="G2167" s="15">
        <v>367</v>
      </c>
    </row>
    <row r="2168" spans="1:7">
      <c r="A2168" s="14">
        <v>9085</v>
      </c>
      <c r="B2168" s="13" t="s">
        <v>15864</v>
      </c>
      <c r="C2168" s="13" t="s">
        <v>15865</v>
      </c>
      <c r="D2168" s="13" t="s">
        <v>13564</v>
      </c>
      <c r="E2168" s="13" t="s">
        <v>1150</v>
      </c>
      <c r="F2168" s="15">
        <v>367</v>
      </c>
      <c r="G2168" s="15">
        <v>367</v>
      </c>
    </row>
    <row r="2169" spans="1:7">
      <c r="A2169" s="14">
        <v>9090</v>
      </c>
      <c r="B2169" s="13" t="s">
        <v>15866</v>
      </c>
      <c r="C2169" s="13" t="s">
        <v>15867</v>
      </c>
      <c r="D2169" s="13" t="s">
        <v>13564</v>
      </c>
      <c r="E2169" s="13" t="s">
        <v>1150</v>
      </c>
      <c r="F2169" s="15">
        <v>367</v>
      </c>
      <c r="G2169" s="15">
        <v>367</v>
      </c>
    </row>
    <row r="2170" spans="1:7">
      <c r="A2170" s="14">
        <v>9095</v>
      </c>
      <c r="B2170" s="13" t="s">
        <v>15868</v>
      </c>
      <c r="C2170" s="13" t="s">
        <v>15869</v>
      </c>
      <c r="D2170" s="13" t="s">
        <v>13564</v>
      </c>
      <c r="E2170" s="13" t="s">
        <v>1150</v>
      </c>
      <c r="F2170" s="15">
        <v>367</v>
      </c>
      <c r="G2170" s="15">
        <v>367</v>
      </c>
    </row>
    <row r="2171" spans="1:7">
      <c r="A2171" s="14">
        <v>9100</v>
      </c>
      <c r="B2171" s="13" t="s">
        <v>15870</v>
      </c>
      <c r="C2171" s="13" t="s">
        <v>15871</v>
      </c>
      <c r="D2171" s="13" t="s">
        <v>13564</v>
      </c>
      <c r="E2171" s="13" t="s">
        <v>1150</v>
      </c>
      <c r="F2171" s="15">
        <v>367</v>
      </c>
      <c r="G2171" s="15">
        <v>367</v>
      </c>
    </row>
    <row r="2172" spans="1:7">
      <c r="A2172" s="14">
        <v>9105</v>
      </c>
      <c r="B2172" s="13" t="s">
        <v>15872</v>
      </c>
      <c r="C2172" s="13" t="s">
        <v>15873</v>
      </c>
      <c r="D2172" s="13" t="s">
        <v>13564</v>
      </c>
      <c r="E2172" s="13" t="s">
        <v>1150</v>
      </c>
      <c r="F2172" s="15">
        <v>367</v>
      </c>
      <c r="G2172" s="15">
        <v>367</v>
      </c>
    </row>
    <row r="2173" spans="1:7">
      <c r="A2173" s="14">
        <v>9110</v>
      </c>
      <c r="B2173" s="13" t="s">
        <v>15874</v>
      </c>
      <c r="C2173" s="13" t="s">
        <v>15875</v>
      </c>
      <c r="D2173" s="13" t="s">
        <v>13564</v>
      </c>
      <c r="E2173" s="13" t="s">
        <v>1150</v>
      </c>
      <c r="F2173" s="15">
        <v>367</v>
      </c>
      <c r="G2173" s="15">
        <v>367</v>
      </c>
    </row>
    <row r="2174" spans="1:7">
      <c r="A2174" s="14">
        <v>9115</v>
      </c>
      <c r="B2174" s="13" t="s">
        <v>15876</v>
      </c>
      <c r="C2174" s="13" t="s">
        <v>15877</v>
      </c>
      <c r="D2174" s="13" t="s">
        <v>13564</v>
      </c>
      <c r="E2174" s="13" t="s">
        <v>1150</v>
      </c>
      <c r="F2174" s="15">
        <v>367</v>
      </c>
      <c r="G2174" s="15">
        <v>367</v>
      </c>
    </row>
    <row r="2175" spans="1:7">
      <c r="A2175" s="14">
        <v>9120</v>
      </c>
      <c r="B2175" s="13" t="s">
        <v>15878</v>
      </c>
      <c r="C2175" s="13" t="s">
        <v>15879</v>
      </c>
      <c r="D2175" s="13" t="s">
        <v>13564</v>
      </c>
      <c r="E2175" s="13" t="s">
        <v>1150</v>
      </c>
      <c r="F2175" s="15">
        <v>367</v>
      </c>
      <c r="G2175" s="15">
        <v>367</v>
      </c>
    </row>
    <row r="2176" spans="1:7">
      <c r="A2176" s="14">
        <v>9125</v>
      </c>
      <c r="B2176" s="13" t="s">
        <v>15880</v>
      </c>
      <c r="C2176" s="13" t="s">
        <v>15881</v>
      </c>
      <c r="D2176" s="13" t="s">
        <v>13564</v>
      </c>
      <c r="E2176" s="13" t="s">
        <v>1150</v>
      </c>
      <c r="F2176" s="15">
        <v>367</v>
      </c>
      <c r="G2176" s="15">
        <v>367</v>
      </c>
    </row>
    <row r="2177" spans="1:7">
      <c r="A2177" s="14">
        <v>9130</v>
      </c>
      <c r="B2177" s="13" t="s">
        <v>15882</v>
      </c>
      <c r="C2177" s="13" t="s">
        <v>15883</v>
      </c>
      <c r="D2177" s="13" t="s">
        <v>13564</v>
      </c>
      <c r="E2177" s="13" t="s">
        <v>1150</v>
      </c>
      <c r="F2177" s="15">
        <v>367</v>
      </c>
      <c r="G2177" s="15">
        <v>367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DFDED-3BD3-4B8E-858B-47611B1C93DF}">
  <dimension ref="A1:AR49"/>
  <sheetViews>
    <sheetView topLeftCell="A18" workbookViewId="0">
      <selection activeCell="C26" sqref="C26"/>
    </sheetView>
  </sheetViews>
  <sheetFormatPr defaultRowHeight="14.45"/>
  <cols>
    <col min="2" max="2" width="22.42578125" customWidth="1"/>
  </cols>
  <sheetData>
    <row r="1" spans="1:44">
      <c r="A1" t="s">
        <v>15884</v>
      </c>
      <c r="B1" t="s">
        <v>79</v>
      </c>
      <c r="C1" t="s">
        <v>37</v>
      </c>
      <c r="D1" t="s">
        <v>62</v>
      </c>
      <c r="E1" t="s">
        <v>49</v>
      </c>
      <c r="F1" t="s">
        <v>53</v>
      </c>
      <c r="G1" t="s">
        <v>57</v>
      </c>
      <c r="H1" t="s">
        <v>15885</v>
      </c>
      <c r="I1" t="s">
        <v>125</v>
      </c>
      <c r="J1" t="s">
        <v>135</v>
      </c>
      <c r="K1" t="s">
        <v>141</v>
      </c>
      <c r="L1" t="s">
        <v>105</v>
      </c>
      <c r="M1" t="s">
        <v>180</v>
      </c>
      <c r="N1" t="s">
        <v>11488</v>
      </c>
      <c r="O1" t="s">
        <v>69</v>
      </c>
      <c r="P1" t="s">
        <v>15886</v>
      </c>
      <c r="Q1" t="s">
        <v>15887</v>
      </c>
      <c r="R1" t="s">
        <v>213</v>
      </c>
      <c r="S1" t="s">
        <v>15888</v>
      </c>
      <c r="T1" t="s">
        <v>15889</v>
      </c>
      <c r="U1" t="s">
        <v>15890</v>
      </c>
      <c r="V1" t="s">
        <v>272</v>
      </c>
      <c r="W1" t="s">
        <v>15891</v>
      </c>
      <c r="X1" t="s">
        <v>2792</v>
      </c>
      <c r="Y1" t="s">
        <v>15892</v>
      </c>
      <c r="Z1" t="s">
        <v>2794</v>
      </c>
      <c r="AA1" t="s">
        <v>15893</v>
      </c>
      <c r="AB1" t="s">
        <v>15894</v>
      </c>
      <c r="AC1" t="s">
        <v>15895</v>
      </c>
      <c r="AD1" t="s">
        <v>15896</v>
      </c>
      <c r="AE1" t="s">
        <v>2796</v>
      </c>
      <c r="AF1" t="s">
        <v>15897</v>
      </c>
      <c r="AG1" t="s">
        <v>15898</v>
      </c>
      <c r="AH1" t="s">
        <v>834</v>
      </c>
      <c r="AI1" t="s">
        <v>9436</v>
      </c>
      <c r="AJ1" t="s">
        <v>15899</v>
      </c>
      <c r="AK1" t="s">
        <v>15900</v>
      </c>
      <c r="AL1" t="s">
        <v>15901</v>
      </c>
      <c r="AM1" t="s">
        <v>15902</v>
      </c>
      <c r="AN1" t="s">
        <v>416</v>
      </c>
      <c r="AO1" t="s">
        <v>9438</v>
      </c>
      <c r="AP1" t="s">
        <v>15903</v>
      </c>
      <c r="AQ1" t="s">
        <v>41</v>
      </c>
      <c r="AR1" t="s">
        <v>15904</v>
      </c>
    </row>
    <row r="3" spans="1:44">
      <c r="A3" t="s">
        <v>15884</v>
      </c>
    </row>
    <row r="4" spans="1:44">
      <c r="A4" t="s">
        <v>11487</v>
      </c>
      <c r="B4" t="s">
        <v>79</v>
      </c>
    </row>
    <row r="5" spans="1:44">
      <c r="A5" t="s">
        <v>11487</v>
      </c>
      <c r="B5" t="s">
        <v>37</v>
      </c>
    </row>
    <row r="6" spans="1:44">
      <c r="A6" t="s">
        <v>11487</v>
      </c>
      <c r="B6" t="s">
        <v>62</v>
      </c>
    </row>
    <row r="7" spans="1:44">
      <c r="A7" t="s">
        <v>11487</v>
      </c>
      <c r="B7" t="s">
        <v>49</v>
      </c>
    </row>
    <row r="8" spans="1:44">
      <c r="A8" t="s">
        <v>11487</v>
      </c>
      <c r="B8" t="s">
        <v>53</v>
      </c>
    </row>
    <row r="9" spans="1:44">
      <c r="A9" t="s">
        <v>11487</v>
      </c>
      <c r="B9" t="s">
        <v>57</v>
      </c>
    </row>
    <row r="10" spans="1:44">
      <c r="A10" t="s">
        <v>11487</v>
      </c>
      <c r="B10" t="s">
        <v>15885</v>
      </c>
    </row>
    <row r="11" spans="1:44">
      <c r="A11" t="s">
        <v>11487</v>
      </c>
      <c r="B11" t="s">
        <v>125</v>
      </c>
    </row>
    <row r="12" spans="1:44">
      <c r="A12" t="s">
        <v>11487</v>
      </c>
      <c r="B12" t="s">
        <v>135</v>
      </c>
    </row>
    <row r="13" spans="1:44">
      <c r="A13" t="s">
        <v>11487</v>
      </c>
      <c r="B13" t="s">
        <v>141</v>
      </c>
    </row>
    <row r="14" spans="1:44">
      <c r="A14" t="s">
        <v>11487</v>
      </c>
      <c r="B14" t="s">
        <v>105</v>
      </c>
    </row>
    <row r="15" spans="1:44">
      <c r="A15" t="s">
        <v>11487</v>
      </c>
      <c r="B15" t="s">
        <v>180</v>
      </c>
    </row>
    <row r="16" spans="1:44">
      <c r="A16" t="s">
        <v>11487</v>
      </c>
      <c r="B16" t="s">
        <v>11488</v>
      </c>
    </row>
    <row r="17" spans="1:3">
      <c r="A17" t="s">
        <v>11487</v>
      </c>
      <c r="B17" t="s">
        <v>69</v>
      </c>
    </row>
    <row r="18" spans="1:3">
      <c r="A18" t="s">
        <v>11487</v>
      </c>
      <c r="B18" t="s">
        <v>15886</v>
      </c>
    </row>
    <row r="19" spans="1:3">
      <c r="A19" t="s">
        <v>11487</v>
      </c>
      <c r="B19" t="s">
        <v>15887</v>
      </c>
    </row>
    <row r="21" spans="1:3">
      <c r="A21" t="s">
        <v>11487</v>
      </c>
      <c r="B21" t="s">
        <v>213</v>
      </c>
      <c r="C21" s="10" t="s">
        <v>15905</v>
      </c>
    </row>
    <row r="22" spans="1:3">
      <c r="A22" t="s">
        <v>11487</v>
      </c>
      <c r="B22" t="s">
        <v>15888</v>
      </c>
    </row>
    <row r="23" spans="1:3">
      <c r="A23" t="s">
        <v>11487</v>
      </c>
      <c r="B23" t="s">
        <v>15889</v>
      </c>
    </row>
    <row r="24" spans="1:3">
      <c r="A24" t="s">
        <v>11487</v>
      </c>
      <c r="B24" t="s">
        <v>15890</v>
      </c>
    </row>
    <row r="25" spans="1:3">
      <c r="A25" t="s">
        <v>11487</v>
      </c>
      <c r="B25" t="s">
        <v>272</v>
      </c>
      <c r="C25" s="10" t="s">
        <v>15906</v>
      </c>
    </row>
    <row r="26" spans="1:3">
      <c r="A26" t="s">
        <v>11487</v>
      </c>
      <c r="B26" t="s">
        <v>15891</v>
      </c>
    </row>
    <row r="27" spans="1:3">
      <c r="A27" t="s">
        <v>11487</v>
      </c>
      <c r="B27" t="s">
        <v>2792</v>
      </c>
    </row>
    <row r="28" spans="1:3">
      <c r="A28" t="s">
        <v>11487</v>
      </c>
      <c r="B28" t="s">
        <v>15892</v>
      </c>
    </row>
    <row r="29" spans="1:3">
      <c r="A29" t="s">
        <v>11487</v>
      </c>
      <c r="B29" t="s">
        <v>2794</v>
      </c>
    </row>
    <row r="30" spans="1:3">
      <c r="A30" t="s">
        <v>11487</v>
      </c>
      <c r="B30" t="s">
        <v>15893</v>
      </c>
    </row>
    <row r="31" spans="1:3">
      <c r="A31" t="s">
        <v>11487</v>
      </c>
      <c r="B31" t="s">
        <v>15894</v>
      </c>
    </row>
    <row r="32" spans="1:3">
      <c r="A32" t="s">
        <v>11487</v>
      </c>
      <c r="B32" t="s">
        <v>15895</v>
      </c>
    </row>
    <row r="33" spans="1:2">
      <c r="A33" t="s">
        <v>11487</v>
      </c>
      <c r="B33" t="s">
        <v>15896</v>
      </c>
    </row>
    <row r="34" spans="1:2">
      <c r="A34" t="s">
        <v>11487</v>
      </c>
      <c r="B34" t="s">
        <v>2796</v>
      </c>
    </row>
    <row r="35" spans="1:2">
      <c r="A35" t="s">
        <v>11487</v>
      </c>
      <c r="B35" t="s">
        <v>15897</v>
      </c>
    </row>
    <row r="36" spans="1:2">
      <c r="A36" t="s">
        <v>11487</v>
      </c>
      <c r="B36" t="s">
        <v>15898</v>
      </c>
    </row>
    <row r="37" spans="1:2">
      <c r="A37" t="s">
        <v>11487</v>
      </c>
      <c r="B37" t="s">
        <v>834</v>
      </c>
    </row>
    <row r="38" spans="1:2">
      <c r="A38" t="s">
        <v>11487</v>
      </c>
      <c r="B38" t="s">
        <v>9436</v>
      </c>
    </row>
    <row r="39" spans="1:2">
      <c r="A39" t="s">
        <v>11487</v>
      </c>
      <c r="B39" t="s">
        <v>15899</v>
      </c>
    </row>
    <row r="40" spans="1:2">
      <c r="A40" t="s">
        <v>11487</v>
      </c>
      <c r="B40" t="s">
        <v>15900</v>
      </c>
    </row>
    <row r="41" spans="1:2">
      <c r="A41" t="s">
        <v>11487</v>
      </c>
      <c r="B41" t="s">
        <v>15901</v>
      </c>
    </row>
    <row r="42" spans="1:2">
      <c r="A42" t="s">
        <v>11487</v>
      </c>
      <c r="B42" t="s">
        <v>15902</v>
      </c>
    </row>
    <row r="43" spans="1:2">
      <c r="A43" t="s">
        <v>11487</v>
      </c>
      <c r="B43" t="s">
        <v>416</v>
      </c>
    </row>
    <row r="44" spans="1:2">
      <c r="A44" t="s">
        <v>11487</v>
      </c>
      <c r="B44" t="s">
        <v>9438</v>
      </c>
    </row>
    <row r="45" spans="1:2">
      <c r="A45" t="s">
        <v>11487</v>
      </c>
      <c r="B45" t="s">
        <v>15903</v>
      </c>
    </row>
    <row r="46" spans="1:2">
      <c r="A46" t="s">
        <v>11487</v>
      </c>
      <c r="B46" t="s">
        <v>41</v>
      </c>
    </row>
    <row r="47" spans="1:2">
      <c r="A47" t="s">
        <v>11487</v>
      </c>
      <c r="B47" t="s">
        <v>15907</v>
      </c>
    </row>
    <row r="48" spans="1:2">
      <c r="A48" t="s">
        <v>15908</v>
      </c>
    </row>
    <row r="49" spans="1:1">
      <c r="A49" t="s">
        <v>15909</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D284D-948F-43A2-AE47-5086FA2D47C2}">
  <dimension ref="A1"/>
  <sheetViews>
    <sheetView workbookViewId="0">
      <selection activeCell="R13" sqref="R13"/>
    </sheetView>
  </sheetViews>
  <sheetFormatPr defaultRowHeight="14.4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3d6b662-3621-47c0-9d8d-d837c8939903" xsi:nil="true"/>
    <lcf76f155ced4ddcb4097134ff3c332f xmlns="f72683f4-8d14-4e04-aa80-bd0a5e998299">
      <Terms xmlns="http://schemas.microsoft.com/office/infopath/2007/PartnerControls"/>
    </lcf76f155ced4ddcb4097134ff3c332f>
    <_dlc_DocId xmlns="83d6b662-3621-47c0-9d8d-d837c8939903">TFNSW-81060287-30240</_dlc_DocId>
    <_dlc_DocIdUrl xmlns="83d6b662-3621-47c0-9d8d-d837c8939903">
      <Url>https://transportcloud.sharepoint.com/sites/RAISI734/_layouts/15/DocIdRedir.aspx?ID=TFNSW-81060287-30240</Url>
      <Description>TFNSW-81060287-30240</Description>
    </_dlc_DocIdUrl>
    <Owner xmlns="f72683f4-8d14-4e04-aa80-bd0a5e998299">
      <UserInfo>
        <DisplayName>Julius Shen</DisplayName>
        <AccountId>879</AccountId>
        <AccountType/>
      </UserInfo>
    </Owner>
    <Lead_x002f_Owner xmlns="f72683f4-8d14-4e04-aa80-bd0a5e998299">Julius Shen</Lead_x002f_Owner>
    <Details xmlns="f72683f4-8d14-4e04-aa80-bd0a5e99829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FA096099F8552042B58A85D6B4B64A04" ma:contentTypeVersion="19" ma:contentTypeDescription="Create a new document." ma:contentTypeScope="" ma:versionID="4e30db42dbdb31299d92d5c3fdced57b">
  <xsd:schema xmlns:xsd="http://www.w3.org/2001/XMLSchema" xmlns:xs="http://www.w3.org/2001/XMLSchema" xmlns:p="http://schemas.microsoft.com/office/2006/metadata/properties" xmlns:ns2="f72683f4-8d14-4e04-aa80-bd0a5e998299" xmlns:ns3="83d6b662-3621-47c0-9d8d-d837c8939903" targetNamespace="http://schemas.microsoft.com/office/2006/metadata/properties" ma:root="true" ma:fieldsID="cf68de4e4525e9ebc6cb5651ddc9e3e3" ns2:_="" ns3:_="">
    <xsd:import namespace="f72683f4-8d14-4e04-aa80-bd0a5e998299"/>
    <xsd:import namespace="83d6b662-3621-47c0-9d8d-d837c893990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2:lcf76f155ced4ddcb4097134ff3c332f" minOccurs="0"/>
                <xsd:element ref="ns3:TaxCatchAll" minOccurs="0"/>
                <xsd:element ref="ns2:MediaServiceOCR" minOccurs="0"/>
                <xsd:element ref="ns2:MediaServiceLocation" minOccurs="0"/>
                <xsd:element ref="ns3:_dlc_DocId" minOccurs="0"/>
                <xsd:element ref="ns3:_dlc_DocIdUrl" minOccurs="0"/>
                <xsd:element ref="ns3:_dlc_DocIdPersistId" minOccurs="0"/>
                <xsd:element ref="ns2:Lead_x002f_Owner" minOccurs="0"/>
                <xsd:element ref="ns2:Owner" minOccurs="0"/>
                <xsd:element ref="ns2:MediaServiceBillingMetadata" minOccurs="0"/>
                <xsd:element ref="ns2: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2683f4-8d14-4e04-aa80-bd0a5e9982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87ec379-0271-4c41-806b-2ec8a939af5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Lead_x002f_Owner" ma:index="26" nillable="true" ma:displayName="Lead/Owner" ma:format="Dropdown" ma:internalName="Lead_x002f_Owner">
      <xsd:simpleType>
        <xsd:restriction base="dms:Text">
          <xsd:maxLength value="255"/>
        </xsd:restriction>
      </xsd:simpleType>
    </xsd:element>
    <xsd:element name="Owner" ma:index="27"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8" nillable="true" ma:displayName="MediaServiceBillingMetadata" ma:hidden="true" ma:internalName="MediaServiceBillingMetadata" ma:readOnly="true">
      <xsd:simpleType>
        <xsd:restriction base="dms:Note"/>
      </xsd:simpleType>
    </xsd:element>
    <xsd:element name="Details" ma:index="29" nillable="true" ma:displayName="Details" ma:format="Dropdown" ma:internalName="Detail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3d6b662-3621-47c0-9d8d-d837c893990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853ba03-c91e-426b-93f6-94cb447c3dc1}" ma:internalName="TaxCatchAll" ma:showField="CatchAllData" ma:web="83d6b662-3621-47c0-9d8d-d837c8939903">
      <xsd:complexType>
        <xsd:complexContent>
          <xsd:extension base="dms:MultiChoiceLookup">
            <xsd:sequence>
              <xsd:element name="Value" type="dms:Lookup" maxOccurs="unbounded" minOccurs="0" nillable="true"/>
            </xsd:sequence>
          </xsd:extension>
        </xsd:complexContent>
      </xsd:complexType>
    </xsd:element>
    <xsd:element name="_dlc_DocId" ma:index="23" nillable="true" ma:displayName="Document ID Value" ma:description="The value of the document ID assigned to this item." ma:indexed="true" ma:internalName="_dlc_DocId" ma:readOnly="true">
      <xsd:simpleType>
        <xsd:restriction base="dms:Text"/>
      </xsd:simpleType>
    </xsd:element>
    <xsd:element name="_dlc_DocIdUrl" ma:index="2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5"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2841B2-EBA3-448E-A285-7CA2F8752554}"/>
</file>

<file path=customXml/itemProps2.xml><?xml version="1.0" encoding="utf-8"?>
<ds:datastoreItem xmlns:ds="http://schemas.openxmlformats.org/officeDocument/2006/customXml" ds:itemID="{61C40578-48BA-432B-BA43-982A4F2A3CC3}"/>
</file>

<file path=customXml/itemProps3.xml><?xml version="1.0" encoding="utf-8"?>
<ds:datastoreItem xmlns:ds="http://schemas.openxmlformats.org/officeDocument/2006/customXml" ds:itemID="{C43051F1-4E01-40BC-B387-BF171D2A1DB0}"/>
</file>

<file path=customXml/itemProps4.xml><?xml version="1.0" encoding="utf-8"?>
<ds:datastoreItem xmlns:ds="http://schemas.openxmlformats.org/officeDocument/2006/customXml" ds:itemID="{9419A8CE-4501-4FA8-8C88-3840D8309723}"/>
</file>

<file path=docMetadata/LabelInfo.xml><?xml version="1.0" encoding="utf-8"?>
<clbl:labelList xmlns:clbl="http://schemas.microsoft.com/office/2020/mipLabelMetadata">
  <clbl:label id="{83709595-deb9-4ceb-bf06-8305974a2062}" enabled="1" method="Standard" siteId="{cb356782-ad9a-47fb-878b-7ebceb85b86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Julius Shen</dc:creator>
  <cp:keywords/>
  <dc:description/>
  <cp:lastModifiedBy/>
  <cp:revision/>
  <dcterms:created xsi:type="dcterms:W3CDTF">2024-08-01T01:10:28Z</dcterms:created>
  <dcterms:modified xsi:type="dcterms:W3CDTF">2026-05-08T08:33:07Z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709595-deb9-4ceb-bf06-8305974a2062_Enabled">
    <vt:lpwstr>true</vt:lpwstr>
  </property>
  <property fmtid="{D5CDD505-2E9C-101B-9397-08002B2CF9AE}" pid="3" name="MSIP_Label_83709595-deb9-4ceb-bf06-8305974a2062_SetDate">
    <vt:lpwstr>2024-08-01T01:16:30Z</vt:lpwstr>
  </property>
  <property fmtid="{D5CDD505-2E9C-101B-9397-08002B2CF9AE}" pid="4" name="MSIP_Label_83709595-deb9-4ceb-bf06-8305974a2062_Method">
    <vt:lpwstr>Standard</vt:lpwstr>
  </property>
  <property fmtid="{D5CDD505-2E9C-101B-9397-08002B2CF9AE}" pid="5" name="MSIP_Label_83709595-deb9-4ceb-bf06-8305974a2062_Name">
    <vt:lpwstr>Official</vt:lpwstr>
  </property>
  <property fmtid="{D5CDD505-2E9C-101B-9397-08002B2CF9AE}" pid="6" name="MSIP_Label_83709595-deb9-4ceb-bf06-8305974a2062_SiteId">
    <vt:lpwstr>cb356782-ad9a-47fb-878b-7ebceb85b86c</vt:lpwstr>
  </property>
  <property fmtid="{D5CDD505-2E9C-101B-9397-08002B2CF9AE}" pid="7" name="MSIP_Label_83709595-deb9-4ceb-bf06-8305974a2062_ActionId">
    <vt:lpwstr>bf3424f9-dd06-4cdd-b714-8df2ea0ae034</vt:lpwstr>
  </property>
  <property fmtid="{D5CDD505-2E9C-101B-9397-08002B2CF9AE}" pid="8" name="MSIP_Label_83709595-deb9-4ceb-bf06-8305974a2062_ContentBits">
    <vt:lpwstr>2</vt:lpwstr>
  </property>
  <property fmtid="{D5CDD505-2E9C-101B-9397-08002B2CF9AE}" pid="9" name="ContentTypeId">
    <vt:lpwstr>0x010100FA096099F8552042B58A85D6B4B64A04</vt:lpwstr>
  </property>
  <property fmtid="{D5CDD505-2E9C-101B-9397-08002B2CF9AE}" pid="10" name="_dlc_DocIdItemGuid">
    <vt:lpwstr>4f589d64-d038-40a6-98b0-1c00f47a6842</vt:lpwstr>
  </property>
  <property fmtid="{D5CDD505-2E9C-101B-9397-08002B2CF9AE}" pid="11" name="MediaServiceImageTags">
    <vt:lpwstr/>
  </property>
</Properties>
</file>